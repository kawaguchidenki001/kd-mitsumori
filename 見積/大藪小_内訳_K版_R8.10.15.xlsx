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24226"/>
  <mc:AlternateContent xmlns:mc="http://schemas.openxmlformats.org/markup-compatibility/2006">
    <mc:Choice Requires="x15">
      <x15ac:absPath xmlns:x15ac="http://schemas.microsoft.com/office/spreadsheetml/2010/11/ac" url="G:\マイドライブ\デスクトップ\戸島工業\戸島工業　大藪小学校空調更新工事\提出　R8.10.15\"/>
    </mc:Choice>
  </mc:AlternateContent>
  <xr:revisionPtr revIDLastSave="0" documentId="13_ncr:1_{CE57DAF4-240B-4CB9-A223-109B2840EDEA}" xr6:coauthVersionLast="47" xr6:coauthVersionMax="47" xr10:uidLastSave="{00000000-0000-0000-0000-000000000000}"/>
  <bookViews>
    <workbookView xWindow="-108" yWindow="-108" windowWidth="23256" windowHeight="12456" tabRatio="752" activeTab="6" xr2:uid="{00000000-000D-0000-FFFF-FFFF00000000}"/>
  </bookViews>
  <sheets>
    <sheet name="表紙" sheetId="20" r:id="rId1"/>
    <sheet name="総括" sheetId="1" r:id="rId2"/>
    <sheet name="A+B+C" sheetId="4" r:id="rId3"/>
    <sheet name="A空調－計 " sheetId="28" r:id="rId4"/>
    <sheet name="空調(明細)" sheetId="29" r:id="rId5"/>
    <sheet name="Ｂ電気－計" sheetId="53" r:id="rId6"/>
    <sheet name="電気（明細）" sheetId="54" r:id="rId7"/>
    <sheet name="Ｃ付帯－計" sheetId="59" r:id="rId8"/>
    <sheet name="付帯（明細）" sheetId="60" r:id="rId9"/>
    <sheet name="GHP空調機-複単" sheetId="30" r:id="rId10"/>
    <sheet name="バルクタンク" sheetId="31" r:id="rId11"/>
    <sheet name="ガス工事　大垣ガス" sheetId="47" r:id="rId12"/>
    <sheet name="（計装工事） " sheetId="32" r:id="rId13"/>
    <sheet name="架台比較" sheetId="35" r:id="rId14"/>
    <sheet name="代価-1 " sheetId="51" r:id="rId15"/>
    <sheet name="代価-2" sheetId="39" r:id="rId16"/>
    <sheet name="代価-3 " sheetId="52" r:id="rId17"/>
    <sheet name="E複合単価" sheetId="55" r:id="rId18"/>
    <sheet name="E見積比較(1)" sheetId="56" r:id="rId19"/>
    <sheet name="E見積比較 (2)" sheetId="58" r:id="rId20"/>
    <sheet name="分電盤歩掛り" sheetId="57" r:id="rId21"/>
    <sheet name="付帯建築代価" sheetId="62" r:id="rId22"/>
    <sheet name="付帯建築見積比較" sheetId="63" r:id="rId23"/>
    <sheet name="付帯建築物価版比較" sheetId="64" r:id="rId24"/>
    <sheet name="付帯建築単価比較" sheetId="65" r:id="rId25"/>
  </sheets>
  <externalReferences>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____ANS2">#REF!</definedName>
    <definedName name="___ANS1">#REF!</definedName>
    <definedName name="___ANS2">#REF!</definedName>
    <definedName name="___FIR1">[1]建築!#REF!</definedName>
    <definedName name="___KEI1">#REF!</definedName>
    <definedName name="___KEI2">#REF!</definedName>
    <definedName name="___KEI3">#REF!</definedName>
    <definedName name="___RE2">#REF!</definedName>
    <definedName name="___SEC1">[1]建築!#REF!</definedName>
    <definedName name="___sen1">#REF!</definedName>
    <definedName name="___sen2">#REF!</definedName>
    <definedName name="___sen3">#REF!</definedName>
    <definedName name="___sen4">#REF!</definedName>
    <definedName name="___SUB2">#REF!</definedName>
    <definedName name="___SUB3">#REF!</definedName>
    <definedName name="___SUB4">#REF!</definedName>
    <definedName name="___SUM3">[1]建築!#REF!</definedName>
    <definedName name="___T1">#REF!</definedName>
    <definedName name="___TC1">#REF!</definedName>
    <definedName name="___TTL01">#REF!</definedName>
    <definedName name="___TTL02">#REF!</definedName>
    <definedName name="___TTL03">#REF!</definedName>
    <definedName name="___TTL1">#REF!</definedName>
    <definedName name="___TTL2">#REF!</definedName>
    <definedName name="___TTL3">#REF!</definedName>
    <definedName name="___TTL5">#REF!</definedName>
    <definedName name="___TTL51">#REF!</definedName>
    <definedName name="___TTL52">#REF!</definedName>
    <definedName name="___TTL53">#REF!</definedName>
    <definedName name="__ANS1">#REF!</definedName>
    <definedName name="__ANS2">#REF!</definedName>
    <definedName name="__FIR1">[1]建築!#REF!</definedName>
    <definedName name="__KEI1">#REF!</definedName>
    <definedName name="__KEI2">#REF!</definedName>
    <definedName name="__KEI3">#REF!</definedName>
    <definedName name="__RE2">#REF!</definedName>
    <definedName name="__SEC1">[1]建築!#REF!</definedName>
    <definedName name="__sen1">#REF!</definedName>
    <definedName name="__sen2">#REF!</definedName>
    <definedName name="__sen3">#REF!</definedName>
    <definedName name="__sen4">#REF!</definedName>
    <definedName name="__SUB2">#REF!</definedName>
    <definedName name="__SUB3">#REF!</definedName>
    <definedName name="__SUB4">#REF!</definedName>
    <definedName name="__SUM3">[1]建築!#REF!</definedName>
    <definedName name="__T1">#REF!</definedName>
    <definedName name="__TC1">#REF!</definedName>
    <definedName name="__TTL01">#REF!</definedName>
    <definedName name="__TTL02">#REF!</definedName>
    <definedName name="__TTL03">#REF!</definedName>
    <definedName name="__TTL1">#REF!</definedName>
    <definedName name="__TTL2">#REF!</definedName>
    <definedName name="__TTL3">#REF!</definedName>
    <definedName name="__TTL5">#REF!</definedName>
    <definedName name="__TTL51">#REF!</definedName>
    <definedName name="__TTL52">#REF!</definedName>
    <definedName name="__TTL53">#REF!</definedName>
    <definedName name="_0" localSheetId="12">[2]建築!#REF!</definedName>
    <definedName name="_0" localSheetId="9">[2]建築!#REF!</definedName>
    <definedName name="_0" localSheetId="11">[2]建築!#REF!</definedName>
    <definedName name="_0" localSheetId="10">[2]建築!#REF!</definedName>
    <definedName name="_0" localSheetId="13">[2]建築!#REF!</definedName>
    <definedName name="_0">[2]建築!#REF!</definedName>
    <definedName name="_1" localSheetId="12">#REF!</definedName>
    <definedName name="_1" localSheetId="9">#REF!</definedName>
    <definedName name="_1" localSheetId="11">#REF!</definedName>
    <definedName name="_1" localSheetId="10">#REF!</definedName>
    <definedName name="_1" localSheetId="13">#REF!</definedName>
    <definedName name="_1">#REF!</definedName>
    <definedName name="_10" localSheetId="12">#REF!</definedName>
    <definedName name="_10" localSheetId="9">#REF!</definedName>
    <definedName name="_10" localSheetId="11">#REF!</definedName>
    <definedName name="_10" localSheetId="10">#REF!</definedName>
    <definedName name="_10" localSheetId="13">#REF!</definedName>
    <definedName name="_10">#REF!</definedName>
    <definedName name="_11" localSheetId="12">#REF!</definedName>
    <definedName name="_11" localSheetId="9">#REF!</definedName>
    <definedName name="_11" localSheetId="11">#REF!</definedName>
    <definedName name="_11" localSheetId="10">#REF!</definedName>
    <definedName name="_11" localSheetId="13">#REF!</definedName>
    <definedName name="_11">#REF!</definedName>
    <definedName name="_1Print_Area_02">#REF!</definedName>
    <definedName name="_2">#REF!</definedName>
    <definedName name="_2Print_Area_03">#REF!</definedName>
    <definedName name="_2ページまで">#REF!</definedName>
    <definedName name="_3">#REF!</definedName>
    <definedName name="_3ページまで">#REF!</definedName>
    <definedName name="_4">#REF!</definedName>
    <definedName name="_4ページまで">#REF!</definedName>
    <definedName name="_5">#REF!</definedName>
    <definedName name="_5ページまで">#REF!</definedName>
    <definedName name="_6" localSheetId="12">#REF!</definedName>
    <definedName name="_6" localSheetId="9">#REF!</definedName>
    <definedName name="_6" localSheetId="11">#REF!</definedName>
    <definedName name="_6" localSheetId="10">#REF!</definedName>
    <definedName name="_6" localSheetId="13">#REF!</definedName>
    <definedName name="_6">#REF!</definedName>
    <definedName name="_6ページまで">#REF!</definedName>
    <definedName name="_7" localSheetId="12">#REF!</definedName>
    <definedName name="_7" localSheetId="9">#REF!</definedName>
    <definedName name="_7" localSheetId="11">#REF!</definedName>
    <definedName name="_7" localSheetId="10">#REF!</definedName>
    <definedName name="_7" localSheetId="13">#REF!</definedName>
    <definedName name="_7">#REF!</definedName>
    <definedName name="_7ページまで">#REF!</definedName>
    <definedName name="_8" localSheetId="12">#REF!</definedName>
    <definedName name="_8" localSheetId="9">#REF!</definedName>
    <definedName name="_8" localSheetId="11">#REF!</definedName>
    <definedName name="_8" localSheetId="10">#REF!</definedName>
    <definedName name="_8" localSheetId="13">#REF!</definedName>
    <definedName name="_8">#REF!</definedName>
    <definedName name="_9" localSheetId="12">#REF!</definedName>
    <definedName name="_9" localSheetId="9">#REF!</definedName>
    <definedName name="_9" localSheetId="11">#REF!</definedName>
    <definedName name="_9" localSheetId="10">#REF!</definedName>
    <definedName name="_9" localSheetId="13">#REF!</definedName>
    <definedName name="_9">#REF!</definedName>
    <definedName name="_ANS1">#REF!</definedName>
    <definedName name="_ANS2">#REF!</definedName>
    <definedName name="_FIR1" localSheetId="12">[1]建築!#REF!</definedName>
    <definedName name="_FIR1" localSheetId="9">[1]建築!#REF!</definedName>
    <definedName name="_FIR1" localSheetId="11">[1]建築!#REF!</definedName>
    <definedName name="_FIR1" localSheetId="10">[1]建築!#REF!</definedName>
    <definedName name="_FIR1" localSheetId="13">[1]建築!#REF!</definedName>
    <definedName name="_FIR1">[1]建築!#REF!</definedName>
    <definedName name="_KEI1">#REF!</definedName>
    <definedName name="_KEI2">#REF!</definedName>
    <definedName name="_KEI3">#REF!</definedName>
    <definedName name="_Order1" hidden="1">255</definedName>
    <definedName name="_Order2" hidden="1">255</definedName>
    <definedName name="_RE2" localSheetId="12">#REF!</definedName>
    <definedName name="_RE2" localSheetId="9">#REF!</definedName>
    <definedName name="_RE2" localSheetId="11">#REF!</definedName>
    <definedName name="_RE2" localSheetId="10">#REF!</definedName>
    <definedName name="_RE2" localSheetId="13">#REF!</definedName>
    <definedName name="_RE2">#REF!</definedName>
    <definedName name="_SEC1" localSheetId="12">[1]建築!#REF!</definedName>
    <definedName name="_SEC1" localSheetId="9">[1]建築!#REF!</definedName>
    <definedName name="_SEC1" localSheetId="11">[1]建築!#REF!</definedName>
    <definedName name="_SEC1" localSheetId="10">[1]建築!#REF!</definedName>
    <definedName name="_SEC1" localSheetId="13">[1]建築!#REF!</definedName>
    <definedName name="_SEC1">[1]建築!#REF!</definedName>
    <definedName name="_sen1">#REF!</definedName>
    <definedName name="_sen2">#REF!</definedName>
    <definedName name="_sen3">#REF!</definedName>
    <definedName name="_sen4">#REF!</definedName>
    <definedName name="_Sort" hidden="1">#REF!</definedName>
    <definedName name="_SUB2" localSheetId="12">#REF!</definedName>
    <definedName name="_SUB2" localSheetId="9">#REF!</definedName>
    <definedName name="_SUB2" localSheetId="11">#REF!</definedName>
    <definedName name="_SUB2" localSheetId="10">#REF!</definedName>
    <definedName name="_SUB2" localSheetId="13">#REF!</definedName>
    <definedName name="_SUB2">#REF!</definedName>
    <definedName name="_SUB3" localSheetId="12">#REF!</definedName>
    <definedName name="_SUB3" localSheetId="9">#REF!</definedName>
    <definedName name="_SUB3" localSheetId="11">#REF!</definedName>
    <definedName name="_SUB3" localSheetId="10">#REF!</definedName>
    <definedName name="_SUB3" localSheetId="13">#REF!</definedName>
    <definedName name="_SUB3">#REF!</definedName>
    <definedName name="_SUB4" localSheetId="12">#REF!</definedName>
    <definedName name="_SUB4" localSheetId="9">#REF!</definedName>
    <definedName name="_SUB4" localSheetId="11">#REF!</definedName>
    <definedName name="_SUB4" localSheetId="10">#REF!</definedName>
    <definedName name="_SUB4" localSheetId="13">#REF!</definedName>
    <definedName name="_SUB4">#REF!</definedName>
    <definedName name="_SUM3" localSheetId="12">[1]建築!#REF!</definedName>
    <definedName name="_SUM3" localSheetId="9">[1]建築!#REF!</definedName>
    <definedName name="_SUM3" localSheetId="11">[1]建築!#REF!</definedName>
    <definedName name="_SUM3" localSheetId="10">[1]建築!#REF!</definedName>
    <definedName name="_SUM3" localSheetId="13">[1]建築!#REF!</definedName>
    <definedName name="_SUM3">[1]建築!#REF!</definedName>
    <definedName name="_T1">#REF!</definedName>
    <definedName name="_TC1" localSheetId="12">#REF!</definedName>
    <definedName name="_TC1" localSheetId="9">#REF!</definedName>
    <definedName name="_TC1" localSheetId="11">#REF!</definedName>
    <definedName name="_TC1" localSheetId="10">#REF!</definedName>
    <definedName name="_TC1" localSheetId="13">#REF!</definedName>
    <definedName name="_TC1">#REF!</definedName>
    <definedName name="_TTL01">#REF!</definedName>
    <definedName name="_TTL02">#REF!</definedName>
    <definedName name="_TTL03">#REF!</definedName>
    <definedName name="_TTL1">#REF!</definedName>
    <definedName name="_TTL2">#REF!</definedName>
    <definedName name="_TTL3">#REF!</definedName>
    <definedName name="_TTL5">#REF!</definedName>
    <definedName name="_TTL51">#REF!</definedName>
    <definedName name="_TTL52">#REF!</definedName>
    <definedName name="_TTL53">#REF!</definedName>
    <definedName name="\0" localSheetId="12">[1]建築!#REF!</definedName>
    <definedName name="\0" localSheetId="9">[1]建築!#REF!</definedName>
    <definedName name="\0" localSheetId="11">[1]建築!#REF!</definedName>
    <definedName name="\0" localSheetId="10">[1]建築!#REF!</definedName>
    <definedName name="\0" localSheetId="13">[1]建築!#REF!</definedName>
    <definedName name="\0">[1]建築!#REF!</definedName>
    <definedName name="\a">#REF!</definedName>
    <definedName name="\b">#N/A</definedName>
    <definedName name="\C" localSheetId="12">#REF!</definedName>
    <definedName name="\C" localSheetId="9">#REF!</definedName>
    <definedName name="\C" localSheetId="11">#REF!</definedName>
    <definedName name="\C" localSheetId="10">#REF!</definedName>
    <definedName name="\C" localSheetId="13">#REF!</definedName>
    <definedName name="\C">#REF!</definedName>
    <definedName name="\D" localSheetId="12">#REF!</definedName>
    <definedName name="\D" localSheetId="9">#REF!</definedName>
    <definedName name="\D" localSheetId="11">#REF!</definedName>
    <definedName name="\D" localSheetId="10">#REF!</definedName>
    <definedName name="\D" localSheetId="13">#REF!</definedName>
    <definedName name="\D">#REF!</definedName>
    <definedName name="\e">#N/A</definedName>
    <definedName name="\g">#N/A</definedName>
    <definedName name="\K" localSheetId="12">#REF!</definedName>
    <definedName name="\K" localSheetId="9">#REF!</definedName>
    <definedName name="\K" localSheetId="11">#REF!</definedName>
    <definedName name="\K" localSheetId="10">#REF!</definedName>
    <definedName name="\K" localSheetId="13">#REF!</definedName>
    <definedName name="\K">#REF!</definedName>
    <definedName name="\m">#REF!</definedName>
    <definedName name="\P" localSheetId="12">[3]表紙!#REF!</definedName>
    <definedName name="\P" localSheetId="9">[3]表紙!#REF!</definedName>
    <definedName name="\P" localSheetId="11">[3]表紙!#REF!</definedName>
    <definedName name="\P" localSheetId="10">[3]表紙!#REF!</definedName>
    <definedName name="\P" localSheetId="13">[3]表紙!#REF!</definedName>
    <definedName name="\P">[3]表紙!#REF!</definedName>
    <definedName name="\Q" localSheetId="12">#REF!</definedName>
    <definedName name="\Q" localSheetId="9">#REF!</definedName>
    <definedName name="\Q" localSheetId="11">#REF!</definedName>
    <definedName name="\Q" localSheetId="10">#REF!</definedName>
    <definedName name="\Q" localSheetId="13">#REF!</definedName>
    <definedName name="\Q">#REF!</definedName>
    <definedName name="\R">#REF!</definedName>
    <definedName name="\s" localSheetId="12">[1]建築!#REF!</definedName>
    <definedName name="\s" localSheetId="9">[1]建築!#REF!</definedName>
    <definedName name="\s" localSheetId="11">[1]建築!#REF!</definedName>
    <definedName name="\s" localSheetId="10">[1]建築!#REF!</definedName>
    <definedName name="\s" localSheetId="13">[1]建築!#REF!</definedName>
    <definedName name="\s">[1]建築!#REF!</definedName>
    <definedName name="\T">#REF!</definedName>
    <definedName name="\U">#REF!</definedName>
    <definedName name="\v">#REF!</definedName>
    <definedName name="\X" localSheetId="12">#REF!</definedName>
    <definedName name="\X" localSheetId="9">#REF!</definedName>
    <definedName name="\X" localSheetId="11">#REF!</definedName>
    <definedName name="\X" localSheetId="10">#REF!</definedName>
    <definedName name="\X" localSheetId="13">#REF!</definedName>
    <definedName name="\X">#REF!</definedName>
    <definedName name="\Y" localSheetId="12">#REF!</definedName>
    <definedName name="\Y" localSheetId="9">#REF!</definedName>
    <definedName name="\Y" localSheetId="11">#REF!</definedName>
    <definedName name="\Y" localSheetId="10">#REF!</definedName>
    <definedName name="\Y" localSheetId="13">#REF!</definedName>
    <definedName name="\Y">#REF!</definedName>
    <definedName name="\Z" localSheetId="12">#REF!</definedName>
    <definedName name="\Z" localSheetId="9">#REF!</definedName>
    <definedName name="\Z" localSheetId="11">#REF!</definedName>
    <definedName name="\Z" localSheetId="10">#REF!</definedName>
    <definedName name="\Z" localSheetId="13">#REF!</definedName>
    <definedName name="\Z">#REF!</definedName>
    <definedName name="A">#REF!</definedName>
    <definedName name="AA">#REF!</definedName>
    <definedName name="AAA">#REF!</definedName>
    <definedName name="AAAA" localSheetId="12">#REF!</definedName>
    <definedName name="AAAA" localSheetId="9">#REF!</definedName>
    <definedName name="AAAA" localSheetId="11">#REF!</definedName>
    <definedName name="AAAA" localSheetId="10">#REF!</definedName>
    <definedName name="AAAA" localSheetId="13">#REF!</definedName>
    <definedName name="AAAA">#REF!</definedName>
    <definedName name="AccessDatabase" hidden="1">"C:\My Documents\キンニャモニャセンター計算集計1.mdb"</definedName>
    <definedName name="ANZEN">#REF!</definedName>
    <definedName name="AREA" localSheetId="12">#REF!</definedName>
    <definedName name="AREA" localSheetId="9">#REF!</definedName>
    <definedName name="AREA" localSheetId="11">#REF!</definedName>
    <definedName name="AREA" localSheetId="10">#REF!</definedName>
    <definedName name="AREA" localSheetId="13">#REF!</definedName>
    <definedName name="AREA">#REF!</definedName>
    <definedName name="AS" localSheetId="12">#REF!</definedName>
    <definedName name="AS" localSheetId="9">#REF!</definedName>
    <definedName name="AS" localSheetId="11">#REF!</definedName>
    <definedName name="AS" localSheetId="10">#REF!</definedName>
    <definedName name="AS" localSheetId="13">#REF!</definedName>
    <definedName name="AS">#REF!</definedName>
    <definedName name="ASDVIUI">#REF!</definedName>
    <definedName name="B">#REF!</definedName>
    <definedName name="B4OUT" localSheetId="12">#REF!</definedName>
    <definedName name="B4OUT" localSheetId="9">#REF!</definedName>
    <definedName name="B4OUT" localSheetId="11">#REF!</definedName>
    <definedName name="B4OUT" localSheetId="10">#REF!</definedName>
    <definedName name="B4OUT" localSheetId="13">#REF!</definedName>
    <definedName name="B4OUT">#REF!</definedName>
    <definedName name="B5OUT" localSheetId="12">#REF!</definedName>
    <definedName name="B5OUT" localSheetId="9">#REF!</definedName>
    <definedName name="B5OUT" localSheetId="11">#REF!</definedName>
    <definedName name="B5OUT" localSheetId="10">#REF!</definedName>
    <definedName name="B5OUT" localSheetId="13">#REF!</definedName>
    <definedName name="B5OUT">#REF!</definedName>
    <definedName name="BANGOU">#REF!</definedName>
    <definedName name="CC">#REF!</definedName>
    <definedName name="CODEN" localSheetId="12">#REF!</definedName>
    <definedName name="CODEN" localSheetId="9">#REF!</definedName>
    <definedName name="CODEN" localSheetId="11">#REF!</definedName>
    <definedName name="CODEN" localSheetId="10">#REF!</definedName>
    <definedName name="CODEN" localSheetId="13">#REF!</definedName>
    <definedName name="CODEN">#REF!</definedName>
    <definedName name="COLF" localSheetId="12">[1]建築!#REF!</definedName>
    <definedName name="COLF" localSheetId="9">[1]建築!#REF!</definedName>
    <definedName name="COLF" localSheetId="11">[1]建築!#REF!</definedName>
    <definedName name="COLF" localSheetId="10">[1]建築!#REF!</definedName>
    <definedName name="COLF" localSheetId="13">[1]建築!#REF!</definedName>
    <definedName name="COLF">[1]建築!#REF!</definedName>
    <definedName name="COLS" localSheetId="12">[1]建築!#REF!</definedName>
    <definedName name="COLS" localSheetId="9">[1]建築!#REF!</definedName>
    <definedName name="COLS" localSheetId="11">[1]建築!#REF!</definedName>
    <definedName name="COLS" localSheetId="10">[1]建築!#REF!</definedName>
    <definedName name="COLS" localSheetId="13">[1]建築!#REF!</definedName>
    <definedName name="COLS">[1]建築!#REF!</definedName>
    <definedName name="CONTENTS" localSheetId="12">[1]建築!#REF!</definedName>
    <definedName name="CONTENTS" localSheetId="9">[1]建築!#REF!</definedName>
    <definedName name="CONTENTS" localSheetId="11">[1]建築!#REF!</definedName>
    <definedName name="CONTENTS" localSheetId="10">[1]建築!#REF!</definedName>
    <definedName name="CONTENTS" localSheetId="13">[1]建築!#REF!</definedName>
    <definedName name="CONTENTS">[1]建築!#REF!</definedName>
    <definedName name="CONTENTS2" localSheetId="12">[1]建築!#REF!</definedName>
    <definedName name="CONTENTS2" localSheetId="9">[1]建築!#REF!</definedName>
    <definedName name="CONTENTS2" localSheetId="11">[1]建築!#REF!</definedName>
    <definedName name="CONTENTS2" localSheetId="10">[1]建築!#REF!</definedName>
    <definedName name="CONTENTS2" localSheetId="13">[1]建築!#REF!</definedName>
    <definedName name="CONTENTS2">[1]建築!#REF!</definedName>
    <definedName name="COUNTER" localSheetId="12">[3]表紙!#REF!</definedName>
    <definedName name="COUNTER" localSheetId="9">[3]表紙!#REF!</definedName>
    <definedName name="COUNTER" localSheetId="11">[3]表紙!#REF!</definedName>
    <definedName name="COUNTER" localSheetId="10">[3]表紙!#REF!</definedName>
    <definedName name="COUNTER" localSheetId="13">[3]表紙!#REF!</definedName>
    <definedName name="COUNTER">[3]表紙!#REF!</definedName>
    <definedName name="_xlnm.Criteria">#REF!</definedName>
    <definedName name="D">#REF!</definedName>
    <definedName name="data">[4]一位代価!$A:$IV</definedName>
    <definedName name="DATE" localSheetId="12">#REF!</definedName>
    <definedName name="DATE" localSheetId="9">#REF!</definedName>
    <definedName name="DATE" localSheetId="11">#REF!</definedName>
    <definedName name="DATE" localSheetId="10">#REF!</definedName>
    <definedName name="DATE" localSheetId="13">#REF!</definedName>
    <definedName name="DATE">#REF!</definedName>
    <definedName name="ＤＳ" localSheetId="12">#REF!</definedName>
    <definedName name="ＤＳ" localSheetId="9">#REF!</definedName>
    <definedName name="ＤＳ" localSheetId="11">#REF!</definedName>
    <definedName name="ＤＳ" localSheetId="10">#REF!</definedName>
    <definedName name="ＤＳ" localSheetId="13">#REF!</definedName>
    <definedName name="ＤＳ">#REF!</definedName>
    <definedName name="E" localSheetId="12">#REF!</definedName>
    <definedName name="E" localSheetId="9">#REF!</definedName>
    <definedName name="E" localSheetId="11">#REF!</definedName>
    <definedName name="E" localSheetId="10">#REF!</definedName>
    <definedName name="E" localSheetId="13">#REF!</definedName>
    <definedName name="E">#REF!</definedName>
    <definedName name="EC">#REF!</definedName>
    <definedName name="ED" localSheetId="12">#REF!</definedName>
    <definedName name="ED" localSheetId="9">#REF!</definedName>
    <definedName name="ED" localSheetId="11">#REF!</definedName>
    <definedName name="ED" localSheetId="10">#REF!</definedName>
    <definedName name="ED" localSheetId="13">#REF!</definedName>
    <definedName name="ED">#REF!</definedName>
    <definedName name="EF" localSheetId="12">#REF!</definedName>
    <definedName name="EF" localSheetId="9">#REF!</definedName>
    <definedName name="EF" localSheetId="11">#REF!</definedName>
    <definedName name="EF" localSheetId="10">#REF!</definedName>
    <definedName name="EF" localSheetId="13">#REF!</definedName>
    <definedName name="EF">#REF!</definedName>
    <definedName name="EG">#REF!</definedName>
    <definedName name="EIZEN">#REF!</definedName>
    <definedName name="EK" localSheetId="12">#REF!</definedName>
    <definedName name="EK" localSheetId="9">#REF!</definedName>
    <definedName name="EK" localSheetId="11">#REF!</definedName>
    <definedName name="EK" localSheetId="10">#REF!</definedName>
    <definedName name="EK" localSheetId="13">#REF!</definedName>
    <definedName name="EK">#REF!</definedName>
    <definedName name="END" localSheetId="12">[1]建築!#REF!</definedName>
    <definedName name="END" localSheetId="9">[1]建築!#REF!</definedName>
    <definedName name="END" localSheetId="11">[1]建築!#REF!</definedName>
    <definedName name="END" localSheetId="10">[1]建築!#REF!</definedName>
    <definedName name="END" localSheetId="13">[1]建築!#REF!</definedName>
    <definedName name="END">[1]建築!#REF!</definedName>
    <definedName name="END１" localSheetId="12">[5]建築!#REF!</definedName>
    <definedName name="END１" localSheetId="9">[5]建築!#REF!</definedName>
    <definedName name="END１" localSheetId="11">[5]建築!#REF!</definedName>
    <definedName name="END１" localSheetId="10">[5]建築!#REF!</definedName>
    <definedName name="END１" localSheetId="13">[5]建築!#REF!</definedName>
    <definedName name="END１">[5]建築!#REF!</definedName>
    <definedName name="ES" localSheetId="12">#REF!</definedName>
    <definedName name="ES" localSheetId="9">#REF!</definedName>
    <definedName name="ES" localSheetId="11">#REF!</definedName>
    <definedName name="ES" localSheetId="10">#REF!</definedName>
    <definedName name="ES" localSheetId="13">#REF!</definedName>
    <definedName name="ES">#REF!</definedName>
    <definedName name="EV" localSheetId="12">#REF!</definedName>
    <definedName name="EV" localSheetId="9">#REF!</definedName>
    <definedName name="EV" localSheetId="11">#REF!</definedName>
    <definedName name="EV" localSheetId="10">#REF!</definedName>
    <definedName name="EV" localSheetId="13">#REF!</definedName>
    <definedName name="EV">#REF!</definedName>
    <definedName name="_xlnm.Extract" localSheetId="12">[6]一位代価!#REF!</definedName>
    <definedName name="_xlnm.Extract" localSheetId="9">[6]一位代価!#REF!</definedName>
    <definedName name="_xlnm.Extract" localSheetId="11">[6]一位代価!#REF!</definedName>
    <definedName name="_xlnm.Extract" localSheetId="10">[6]一位代価!#REF!</definedName>
    <definedName name="_xlnm.Extract" localSheetId="13">[6]一位代価!#REF!</definedName>
    <definedName name="_xlnm.Extract">[6]一位代価!#REF!</definedName>
    <definedName name="F">#REF!</definedName>
    <definedName name="FIR" localSheetId="12">[1]建築!#REF!</definedName>
    <definedName name="FIR" localSheetId="9">[1]建築!#REF!</definedName>
    <definedName name="FIR" localSheetId="11">[1]建築!#REF!</definedName>
    <definedName name="FIR" localSheetId="10">[1]建築!#REF!</definedName>
    <definedName name="FIR" localSheetId="13">[1]建築!#REF!</definedName>
    <definedName name="FIR">[1]建築!#REF!</definedName>
    <definedName name="G">#REF!</definedName>
    <definedName name="GENBA">#REF!</definedName>
    <definedName name="H">#REF!</definedName>
    <definedName name="HTML_CodePage" hidden="1">932</definedName>
    <definedName name="HTML_Control" localSheetId="12" hidden="1">{"'予定表'!$A$1:$W$38"}</definedName>
    <definedName name="HTML_Control" localSheetId="9" hidden="1">{"'予定表'!$A$1:$W$38"}</definedName>
    <definedName name="HTML_Control" localSheetId="11" hidden="1">{"'予定表'!$A$1:$W$38"}</definedName>
    <definedName name="HTML_Control" localSheetId="10" hidden="1">{"'予定表'!$A$1:$W$38"}</definedName>
    <definedName name="HTML_Control" localSheetId="13" hidden="1">{"'予定表'!$A$1:$W$38"}</definedName>
    <definedName name="HTML_Control" localSheetId="15" hidden="1">{"'予定表'!$A$1:$W$38"}</definedName>
    <definedName name="HTML_Control" hidden="1">{"'予定表'!$A$1:$W$38"}</definedName>
    <definedName name="HTML_Description" hidden="1">""</definedName>
    <definedName name="HTML_Email" hidden="1">"masatoshi@togiya.net"</definedName>
    <definedName name="HTML_Header" hidden="1">"予定表"</definedName>
    <definedName name="HTML_LastUpdate" hidden="1">"01/02/01"</definedName>
    <definedName name="HTML_LineAfter" hidden="1">TRUE</definedName>
    <definedName name="HTML_LineBefore" hidden="1">TRUE</definedName>
    <definedName name="HTML_Name" hidden="1">"硎谷 将紀"</definedName>
    <definedName name="HTML_OBDlg2" hidden="1">TRUE</definedName>
    <definedName name="HTML_OBDlg4" hidden="1">TRUE</definedName>
    <definedName name="HTML_OS" hidden="1">0</definedName>
    <definedName name="HTML_PathFile" hidden="1">"A:\My Documents\ﾎｰﾑﾍﾟｰｼﾞ\予定.htm"</definedName>
    <definedName name="HTML_Title" hidden="1">"予定表"</definedName>
    <definedName name="ｈとうし">#REF!</definedName>
    <definedName name="I">#REF!</definedName>
    <definedName name="IAS" localSheetId="12">#REF!</definedName>
    <definedName name="IAS" localSheetId="9">#REF!</definedName>
    <definedName name="IAS" localSheetId="11">#REF!</definedName>
    <definedName name="IAS" localSheetId="10">#REF!</definedName>
    <definedName name="IAS" localSheetId="13">#REF!</definedName>
    <definedName name="IAS">#REF!</definedName>
    <definedName name="J">#REF!</definedName>
    <definedName name="K">#REF!</definedName>
    <definedName name="kankyo">#REF!</definedName>
    <definedName name="KEI">#REF!</definedName>
    <definedName name="L" localSheetId="12">[7]!印刷</definedName>
    <definedName name="L" localSheetId="19">[7]!印刷</definedName>
    <definedName name="L" localSheetId="9">[7]!印刷</definedName>
    <definedName name="L" localSheetId="11">[7]!印刷</definedName>
    <definedName name="L" localSheetId="10">[7]!印刷</definedName>
    <definedName name="L" localSheetId="13">[7]!印刷</definedName>
    <definedName name="L" localSheetId="14">[7]!印刷</definedName>
    <definedName name="L" localSheetId="15">[7]!印刷</definedName>
    <definedName name="L" localSheetId="16">[7]!印刷</definedName>
    <definedName name="L">[7]!印刷</definedName>
    <definedName name="LL" localSheetId="12">#REF!</definedName>
    <definedName name="LL" localSheetId="9">#REF!</definedName>
    <definedName name="LL" localSheetId="11">#REF!</definedName>
    <definedName name="LL" localSheetId="10">#REF!</definedName>
    <definedName name="LL" localSheetId="13">#REF!</definedName>
    <definedName name="LL">#REF!</definedName>
    <definedName name="LOOPD" localSheetId="12">[1]建築!#REF!</definedName>
    <definedName name="LOOPD" localSheetId="9">[1]建築!#REF!</definedName>
    <definedName name="LOOPD" localSheetId="11">[1]建築!#REF!</definedName>
    <definedName name="LOOPD" localSheetId="10">[1]建築!#REF!</definedName>
    <definedName name="LOOPD" localSheetId="13">[1]建築!#REF!</definedName>
    <definedName name="LOOPD">[1]建築!#REF!</definedName>
    <definedName name="LOOPN" localSheetId="12">[3]表紙!#REF!</definedName>
    <definedName name="LOOPN" localSheetId="9">[3]表紙!#REF!</definedName>
    <definedName name="LOOPN" localSheetId="11">[3]表紙!#REF!</definedName>
    <definedName name="LOOPN" localSheetId="10">[3]表紙!#REF!</definedName>
    <definedName name="LOOPN" localSheetId="13">[3]表紙!#REF!</definedName>
    <definedName name="LOOPN">[3]表紙!#REF!</definedName>
    <definedName name="LOOPS" localSheetId="12">[1]建築!#REF!</definedName>
    <definedName name="LOOPS" localSheetId="9">[1]建築!#REF!</definedName>
    <definedName name="LOOPS" localSheetId="11">[1]建築!#REF!</definedName>
    <definedName name="LOOPS" localSheetId="10">[1]建築!#REF!</definedName>
    <definedName name="LOOPS" localSheetId="13">[1]建築!#REF!</definedName>
    <definedName name="LOOPS">[1]建築!#REF!</definedName>
    <definedName name="LOOPSET" localSheetId="12">[1]建築!#REF!</definedName>
    <definedName name="LOOPSET" localSheetId="9">[1]建築!#REF!</definedName>
    <definedName name="LOOPSET" localSheetId="11">[1]建築!#REF!</definedName>
    <definedName name="LOOPSET" localSheetId="10">[1]建築!#REF!</definedName>
    <definedName name="LOOPSET" localSheetId="13">[1]建築!#REF!</definedName>
    <definedName name="LOOPSET">[1]建築!#REF!</definedName>
    <definedName name="LOOP印" localSheetId="12">[1]建築!#REF!</definedName>
    <definedName name="LOOP印" localSheetId="9">[1]建築!#REF!</definedName>
    <definedName name="LOOP印" localSheetId="11">[1]建築!#REF!</definedName>
    <definedName name="LOOP印" localSheetId="10">[1]建築!#REF!</definedName>
    <definedName name="LOOP印" localSheetId="13">[1]建築!#REF!</definedName>
    <definedName name="LOOP印">[1]建築!#REF!</definedName>
    <definedName name="LOOP入" localSheetId="12">[3]表紙!#REF!</definedName>
    <definedName name="LOOP入" localSheetId="9">[3]表紙!#REF!</definedName>
    <definedName name="LOOP入" localSheetId="11">[3]表紙!#REF!</definedName>
    <definedName name="LOOP入" localSheetId="10">[3]表紙!#REF!</definedName>
    <definedName name="LOOP入" localSheetId="13">[3]表紙!#REF!</definedName>
    <definedName name="LOOP入">[3]表紙!#REF!</definedName>
    <definedName name="LOOP抜" localSheetId="12">[3]表紙!#REF!</definedName>
    <definedName name="LOOP抜" localSheetId="9">[3]表紙!#REF!</definedName>
    <definedName name="LOOP抜" localSheetId="11">[3]表紙!#REF!</definedName>
    <definedName name="LOOP抜" localSheetId="10">[3]表紙!#REF!</definedName>
    <definedName name="LOOP抜" localSheetId="13">[3]表紙!#REF!</definedName>
    <definedName name="LOOP抜">[3]表紙!#REF!</definedName>
    <definedName name="M">#REF!</definedName>
    <definedName name="MENU" localSheetId="12">[1]建築!#REF!</definedName>
    <definedName name="MENU" localSheetId="9">[1]建築!#REF!</definedName>
    <definedName name="MENU" localSheetId="11">[1]建築!#REF!</definedName>
    <definedName name="MENU" localSheetId="10">[1]建築!#REF!</definedName>
    <definedName name="MENU" localSheetId="13">[1]建築!#REF!</definedName>
    <definedName name="MENU">[1]建築!#REF!</definedName>
    <definedName name="MENU1" localSheetId="12">[1]建築!#REF!</definedName>
    <definedName name="MENU1" localSheetId="9">[1]建築!#REF!</definedName>
    <definedName name="MENU1" localSheetId="11">[1]建築!#REF!</definedName>
    <definedName name="MENU1" localSheetId="10">[1]建築!#REF!</definedName>
    <definedName name="MENU1" localSheetId="13">[1]建築!#REF!</definedName>
    <definedName name="MENU1">[1]建築!#REF!</definedName>
    <definedName name="MENU2" localSheetId="12">[1]建築!#REF!</definedName>
    <definedName name="MENU2" localSheetId="9">[1]建築!#REF!</definedName>
    <definedName name="MENU2" localSheetId="11">[1]建築!#REF!</definedName>
    <definedName name="MENU2" localSheetId="10">[1]建築!#REF!</definedName>
    <definedName name="MENU2" localSheetId="13">[1]建築!#REF!</definedName>
    <definedName name="MENU2">[1]建築!#REF!</definedName>
    <definedName name="MENUA" localSheetId="12">[3]表紙!#REF!</definedName>
    <definedName name="MENUA" localSheetId="9">[3]表紙!#REF!</definedName>
    <definedName name="MENUA" localSheetId="11">[3]表紙!#REF!</definedName>
    <definedName name="MENUA" localSheetId="10">[3]表紙!#REF!</definedName>
    <definedName name="MENUA" localSheetId="13">[3]表紙!#REF!</definedName>
    <definedName name="MENUA">[3]表紙!#REF!</definedName>
    <definedName name="MENUB" localSheetId="12">[3]表紙!#REF!</definedName>
    <definedName name="MENUB" localSheetId="9">[3]表紙!#REF!</definedName>
    <definedName name="MENUB" localSheetId="11">[3]表紙!#REF!</definedName>
    <definedName name="MENUB" localSheetId="10">[3]表紙!#REF!</definedName>
    <definedName name="MENUB" localSheetId="13">[3]表紙!#REF!</definedName>
    <definedName name="MENUB">[3]表紙!#REF!</definedName>
    <definedName name="MENUE">#N/A</definedName>
    <definedName name="MENUP" localSheetId="12">[3]表紙!#REF!</definedName>
    <definedName name="MENUP" localSheetId="9">[3]表紙!#REF!</definedName>
    <definedName name="MENUP" localSheetId="11">[3]表紙!#REF!</definedName>
    <definedName name="MENUP" localSheetId="10">[3]表紙!#REF!</definedName>
    <definedName name="MENUP" localSheetId="13">[3]表紙!#REF!</definedName>
    <definedName name="MENUP">[3]表紙!#REF!</definedName>
    <definedName name="MENUP2" localSheetId="12">[3]表紙!#REF!</definedName>
    <definedName name="MENUP2" localSheetId="9">[3]表紙!#REF!</definedName>
    <definedName name="MENUP2" localSheetId="11">[3]表紙!#REF!</definedName>
    <definedName name="MENUP2" localSheetId="10">[3]表紙!#REF!</definedName>
    <definedName name="MENUP2" localSheetId="13">[3]表紙!#REF!</definedName>
    <definedName name="MENUP2">[3]表紙!#REF!</definedName>
    <definedName name="MENU印" localSheetId="12">[1]建築!#REF!</definedName>
    <definedName name="MENU印" localSheetId="9">[1]建築!#REF!</definedName>
    <definedName name="MENU印" localSheetId="11">[1]建築!#REF!</definedName>
    <definedName name="MENU印" localSheetId="10">[1]建築!#REF!</definedName>
    <definedName name="MENU印" localSheetId="13">[1]建築!#REF!</definedName>
    <definedName name="MENU印">[1]建築!#REF!</definedName>
    <definedName name="ＭＭ" localSheetId="12">[8]表紙!#REF!</definedName>
    <definedName name="ＭＭ" localSheetId="9">[8]表紙!#REF!</definedName>
    <definedName name="ＭＭ" localSheetId="11">[8]表紙!#REF!</definedName>
    <definedName name="ＭＭ" localSheetId="10">[8]表紙!#REF!</definedName>
    <definedName name="ＭＭ" localSheetId="13">[8]表紙!#REF!</definedName>
    <definedName name="ＭＭ">[9]表紙!#REF!</definedName>
    <definedName name="MOVE_R1">#REF!</definedName>
    <definedName name="MOVE_R2">#REF!</definedName>
    <definedName name="n" localSheetId="12">#REF!</definedName>
    <definedName name="n" localSheetId="9">#REF!</definedName>
    <definedName name="n" localSheetId="11">#REF!</definedName>
    <definedName name="n" localSheetId="10">#REF!</definedName>
    <definedName name="n" localSheetId="13">#REF!</definedName>
    <definedName name="n">#REF!</definedName>
    <definedName name="NAIYOU">#REF!</definedName>
    <definedName name="P" localSheetId="12">#REF!</definedName>
    <definedName name="P" localSheetId="9">#REF!</definedName>
    <definedName name="P" localSheetId="11">#REF!</definedName>
    <definedName name="P" localSheetId="10">#REF!</definedName>
    <definedName name="P" localSheetId="13">#REF!</definedName>
    <definedName name="P">#REF!</definedName>
    <definedName name="P\" localSheetId="12">[10]市住耐震!#REF!</definedName>
    <definedName name="P\" localSheetId="9">[10]市住耐震!#REF!</definedName>
    <definedName name="P\" localSheetId="11">[10]市住耐震!#REF!</definedName>
    <definedName name="P\" localSheetId="10">[10]市住耐震!#REF!</definedName>
    <definedName name="P\" localSheetId="13">[10]市住耐震!#REF!</definedName>
    <definedName name="P\">[11]市住耐震!#REF!</definedName>
    <definedName name="PAGE01" localSheetId="12">#REF!</definedName>
    <definedName name="PAGE01" localSheetId="9">#REF!</definedName>
    <definedName name="PAGE01" localSheetId="11">#REF!</definedName>
    <definedName name="PAGE01" localSheetId="10">#REF!</definedName>
    <definedName name="PAGE01" localSheetId="13">#REF!</definedName>
    <definedName name="PAGE01">#REF!</definedName>
    <definedName name="PAGE23">#REF!</definedName>
    <definedName name="PAGE24">#REF!</definedName>
    <definedName name="PAGE26">#REF!</definedName>
    <definedName name="PAGE27">#REF!</definedName>
    <definedName name="PAGE28">#REF!</definedName>
    <definedName name="PLUS" localSheetId="12">[1]建築!#REF!</definedName>
    <definedName name="PLUS" localSheetId="9">[1]建築!#REF!</definedName>
    <definedName name="PLUS" localSheetId="11">[1]建築!#REF!</definedName>
    <definedName name="PLUS" localSheetId="10">[1]建築!#REF!</definedName>
    <definedName name="PLUS" localSheetId="13">[1]建築!#REF!</definedName>
    <definedName name="PLUS">[1]建築!#REF!</definedName>
    <definedName name="PLUS1" localSheetId="12">[1]建築!#REF!</definedName>
    <definedName name="PLUS1" localSheetId="9">[1]建築!#REF!</definedName>
    <definedName name="PLUS1" localSheetId="11">[1]建築!#REF!</definedName>
    <definedName name="PLUS1" localSheetId="10">[1]建築!#REF!</definedName>
    <definedName name="PLUS1" localSheetId="13">[1]建築!#REF!</definedName>
    <definedName name="PLUS1">[1]建築!#REF!</definedName>
    <definedName name="PLUS2" localSheetId="12">[1]建築!#REF!</definedName>
    <definedName name="PLUS2" localSheetId="9">[1]建築!#REF!</definedName>
    <definedName name="PLUS2" localSheetId="11">[1]建築!#REF!</definedName>
    <definedName name="PLUS2" localSheetId="10">[1]建築!#REF!</definedName>
    <definedName name="PLUS2" localSheetId="13">[1]建築!#REF!</definedName>
    <definedName name="PLUS2">[1]建築!#REF!</definedName>
    <definedName name="PLUS3" localSheetId="12">[1]建築!#REF!</definedName>
    <definedName name="PLUS3" localSheetId="9">[1]建築!#REF!</definedName>
    <definedName name="PLUS3" localSheetId="11">[1]建築!#REF!</definedName>
    <definedName name="PLUS3" localSheetId="10">[1]建築!#REF!</definedName>
    <definedName name="PLUS3" localSheetId="13">[1]建築!#REF!</definedName>
    <definedName name="PLUS3">[1]建築!#REF!</definedName>
    <definedName name="PLUS4" localSheetId="12">[1]建築!#REF!</definedName>
    <definedName name="PLUS4" localSheetId="9">[1]建築!#REF!</definedName>
    <definedName name="PLUS4" localSheetId="11">[1]建築!#REF!</definedName>
    <definedName name="PLUS4" localSheetId="10">[1]建築!#REF!</definedName>
    <definedName name="PLUS4" localSheetId="13">[1]建築!#REF!</definedName>
    <definedName name="PLUS4">[1]建築!#REF!</definedName>
    <definedName name="PLUS5" localSheetId="12">[1]建築!#REF!</definedName>
    <definedName name="PLUS5" localSheetId="9">[1]建築!#REF!</definedName>
    <definedName name="PLUS5" localSheetId="11">[1]建築!#REF!</definedName>
    <definedName name="PLUS5" localSheetId="10">[1]建築!#REF!</definedName>
    <definedName name="PLUS5" localSheetId="13">[1]建築!#REF!</definedName>
    <definedName name="PLUS5">[1]建築!#REF!</definedName>
    <definedName name="PLUS6" localSheetId="12">[1]建築!#REF!</definedName>
    <definedName name="PLUS6" localSheetId="9">[1]建築!#REF!</definedName>
    <definedName name="PLUS6" localSheetId="11">[1]建築!#REF!</definedName>
    <definedName name="PLUS6" localSheetId="10">[1]建築!#REF!</definedName>
    <definedName name="PLUS6" localSheetId="13">[1]建築!#REF!</definedName>
    <definedName name="PLUS6">[1]建築!#REF!</definedName>
    <definedName name="PLUS7" localSheetId="12">[1]建築!#REF!</definedName>
    <definedName name="PLUS7" localSheetId="9">[1]建築!#REF!</definedName>
    <definedName name="PLUS7" localSheetId="11">[1]建築!#REF!</definedName>
    <definedName name="PLUS7" localSheetId="10">[1]建築!#REF!</definedName>
    <definedName name="PLUS7" localSheetId="13">[1]建築!#REF!</definedName>
    <definedName name="PLUS7">[1]建築!#REF!</definedName>
    <definedName name="PLUS8" localSheetId="12">[1]建築!#REF!</definedName>
    <definedName name="PLUS8" localSheetId="9">[1]建築!#REF!</definedName>
    <definedName name="PLUS8" localSheetId="11">[1]建築!#REF!</definedName>
    <definedName name="PLUS8" localSheetId="10">[1]建築!#REF!</definedName>
    <definedName name="PLUS8" localSheetId="13">[1]建築!#REF!</definedName>
    <definedName name="PLUS8">[1]建築!#REF!</definedName>
    <definedName name="print">#REF!</definedName>
    <definedName name="_xlnm.Print_Area" localSheetId="2">'A+B+C'!$A$1:$H$24</definedName>
    <definedName name="_xlnm.Print_Area" localSheetId="3">'A空調－計 '!$A$1:$H$24</definedName>
    <definedName name="_xlnm.Print_Area" localSheetId="5">'Ｂ電気－計'!$A$1:$H$24</definedName>
    <definedName name="_xlnm.Print_Area" localSheetId="7">'Ｃ付帯－計'!$A$1:$H$24</definedName>
    <definedName name="_xlnm.Print_Area" localSheetId="19">'E見積比較 (2)'!$A$1:$P$35</definedName>
    <definedName name="_xlnm.Print_Area" localSheetId="18">'E見積比較(1)'!$A$1:$P$35</definedName>
    <definedName name="_xlnm.Print_Area" localSheetId="17">E複合単価!$A$1:$P$32</definedName>
    <definedName name="_xlnm.Print_Area" localSheetId="4">'空調(明細)'!$A$1:$H$239</definedName>
    <definedName name="_xlnm.Print_Area" localSheetId="1">総括!$A$1:$H$25</definedName>
    <definedName name="_xlnm.Print_Area" localSheetId="14">'代価-1 '!$A$1:$H$69</definedName>
    <definedName name="_xlnm.Print_Area" localSheetId="15">'代価-2'!$A$1:$N$48</definedName>
    <definedName name="_xlnm.Print_Area" localSheetId="16">'代価-3 '!$A$1:$H$92</definedName>
    <definedName name="_xlnm.Print_Area" localSheetId="6">'電気（明細）'!$A$1:$H$74</definedName>
    <definedName name="_xlnm.Print_Area" localSheetId="0">表紙!$A$1:$S$24</definedName>
    <definedName name="_xlnm.Print_Area" localSheetId="8">'付帯（明細）'!$A$1:$H$268</definedName>
    <definedName name="_xlnm.Print_Area" localSheetId="20">分電盤歩掛り!$A$1:$R$35</definedName>
    <definedName name="_xlnm.Print_Area">#REF!</definedName>
    <definedName name="Print_Area_MI">#REF!</definedName>
    <definedName name="_xlnm.Print_Titles" localSheetId="17">E複合単価!$1:$4</definedName>
    <definedName name="_xlnm.Print_Titles" localSheetId="15">'代価-2'!$1:$1</definedName>
    <definedName name="_xlnm.Print_Titles">#REF!</definedName>
    <definedName name="PRINT_TITLES_MI">#REF!</definedName>
    <definedName name="Q" localSheetId="12">[10]市住耐震!#REF!</definedName>
    <definedName name="Q" localSheetId="9">[10]市住耐震!#REF!</definedName>
    <definedName name="Q" localSheetId="11">[10]市住耐震!#REF!</definedName>
    <definedName name="Q" localSheetId="10">[10]市住耐震!#REF!</definedName>
    <definedName name="Q" localSheetId="13">[10]市住耐震!#REF!</definedName>
    <definedName name="Q">[11]市住耐震!#REF!</definedName>
    <definedName name="QD" localSheetId="12">#REF!</definedName>
    <definedName name="QD" localSheetId="9">#REF!</definedName>
    <definedName name="QD" localSheetId="11">#REF!</definedName>
    <definedName name="QD" localSheetId="10">#REF!</definedName>
    <definedName name="QD" localSheetId="13">#REF!</definedName>
    <definedName name="QD">#REF!</definedName>
    <definedName name="QH" localSheetId="12">#REF!</definedName>
    <definedName name="QH" localSheetId="9">#REF!</definedName>
    <definedName name="QH" localSheetId="11">#REF!</definedName>
    <definedName name="QH" localSheetId="10">#REF!</definedName>
    <definedName name="QH" localSheetId="13">#REF!</definedName>
    <definedName name="QH">#REF!</definedName>
    <definedName name="RE" localSheetId="12">#REF!</definedName>
    <definedName name="RE" localSheetId="9">#REF!</definedName>
    <definedName name="RE" localSheetId="11">#REF!</definedName>
    <definedName name="RE" localSheetId="10">#REF!</definedName>
    <definedName name="RE" localSheetId="13">#REF!</definedName>
    <definedName name="RE">#REF!</definedName>
    <definedName name="RECORD" localSheetId="12">[12]VE!#REF!</definedName>
    <definedName name="RECORD" localSheetId="9">[12]VE!#REF!</definedName>
    <definedName name="RECORD" localSheetId="11">[12]VE!#REF!</definedName>
    <definedName name="RECORD" localSheetId="10">[12]VE!#REF!</definedName>
    <definedName name="RECORD" localSheetId="13">[12]VE!#REF!</definedName>
    <definedName name="RECORD">[12]VE!#REF!</definedName>
    <definedName name="RECORD1" localSheetId="12">#REF!</definedName>
    <definedName name="RECORD1" localSheetId="9">#REF!</definedName>
    <definedName name="RECORD1" localSheetId="11">#REF!</definedName>
    <definedName name="RECORD1" localSheetId="10">#REF!</definedName>
    <definedName name="RECORD1" localSheetId="13">#REF!</definedName>
    <definedName name="RECORD1">#REF!</definedName>
    <definedName name="_xlnm.Recorder">#REF!</definedName>
    <definedName name="RF" localSheetId="12">#REF!</definedName>
    <definedName name="RF" localSheetId="9">#REF!</definedName>
    <definedName name="RF" localSheetId="11">#REF!</definedName>
    <definedName name="RF" localSheetId="10">#REF!</definedName>
    <definedName name="RF" localSheetId="13">#REF!</definedName>
    <definedName name="RF">#REF!</definedName>
    <definedName name="RITU001">#REF!</definedName>
    <definedName name="RITU002">#REF!</definedName>
    <definedName name="RS" localSheetId="12">#REF!</definedName>
    <definedName name="RS" localSheetId="9">#REF!</definedName>
    <definedName name="RS" localSheetId="11">#REF!</definedName>
    <definedName name="RS" localSheetId="10">#REF!</definedName>
    <definedName name="RS" localSheetId="13">#REF!</definedName>
    <definedName name="RS">#REF!</definedName>
    <definedName name="RUM">#REF!</definedName>
    <definedName name="RV" localSheetId="12">#REF!</definedName>
    <definedName name="RV" localSheetId="9">#REF!</definedName>
    <definedName name="RV" localSheetId="11">#REF!</definedName>
    <definedName name="RV" localSheetId="10">#REF!</definedName>
    <definedName name="RV" localSheetId="13">#REF!</definedName>
    <definedName name="RV">#REF!</definedName>
    <definedName name="S" localSheetId="12">#REF!</definedName>
    <definedName name="S" localSheetId="9">#REF!</definedName>
    <definedName name="S" localSheetId="11">#REF!</definedName>
    <definedName name="S" localSheetId="10">#REF!</definedName>
    <definedName name="S" localSheetId="13">#REF!</definedName>
    <definedName name="S">#REF!</definedName>
    <definedName name="SAB" localSheetId="12">#REF!</definedName>
    <definedName name="SAB" localSheetId="9">#REF!</definedName>
    <definedName name="SAB" localSheetId="11">#REF!</definedName>
    <definedName name="SAB" localSheetId="10">#REF!</definedName>
    <definedName name="SAB" localSheetId="13">#REF!</definedName>
    <definedName name="SAB">#REF!</definedName>
    <definedName name="SCV">#REF!</definedName>
    <definedName name="SEC" localSheetId="12">[1]建築!#REF!</definedName>
    <definedName name="SEC" localSheetId="9">[1]建築!#REF!</definedName>
    <definedName name="SEC" localSheetId="11">[1]建築!#REF!</definedName>
    <definedName name="SEC" localSheetId="10">[1]建築!#REF!</definedName>
    <definedName name="SEC" localSheetId="13">[1]建築!#REF!</definedName>
    <definedName name="SEC">[1]建築!#REF!</definedName>
    <definedName name="SET" localSheetId="12">[1]建築!#REF!</definedName>
    <definedName name="SET" localSheetId="9">[1]建築!#REF!</definedName>
    <definedName name="SET" localSheetId="11">[1]建築!#REF!</definedName>
    <definedName name="SET" localSheetId="10">[1]建築!#REF!</definedName>
    <definedName name="SET" localSheetId="13">[1]建築!#REF!</definedName>
    <definedName name="SET">[1]建築!#REF!</definedName>
    <definedName name="ｓｓｓｓ">[13]大項目!$B$1:$N$80</definedName>
    <definedName name="SUB" localSheetId="12">#REF!</definedName>
    <definedName name="SUB" localSheetId="9">#REF!</definedName>
    <definedName name="SUB" localSheetId="11">#REF!</definedName>
    <definedName name="SUB" localSheetId="10">#REF!</definedName>
    <definedName name="SUB" localSheetId="13">#REF!</definedName>
    <definedName name="SUB">#REF!</definedName>
    <definedName name="T">#REF!</definedName>
    <definedName name="TC" localSheetId="12">#REF!</definedName>
    <definedName name="TC" localSheetId="9">#REF!</definedName>
    <definedName name="TC" localSheetId="11">#REF!</definedName>
    <definedName name="TC" localSheetId="10">#REF!</definedName>
    <definedName name="TC" localSheetId="13">#REF!</definedName>
    <definedName name="TC">#REF!</definedName>
    <definedName name="TF" localSheetId="12">#REF!</definedName>
    <definedName name="TF" localSheetId="9">#REF!</definedName>
    <definedName name="TF" localSheetId="11">#REF!</definedName>
    <definedName name="TF" localSheetId="10">#REF!</definedName>
    <definedName name="TF" localSheetId="13">#REF!</definedName>
    <definedName name="TF">#REF!</definedName>
    <definedName name="TITLE">#REF!</definedName>
    <definedName name="tokusyu">#REF!</definedName>
    <definedName name="TTL">#REF!</definedName>
    <definedName name="TTL0">#REF!</definedName>
    <definedName name="U" localSheetId="12">#REF!</definedName>
    <definedName name="U" localSheetId="9">#REF!</definedName>
    <definedName name="U" localSheetId="11">#REF!</definedName>
    <definedName name="U" localSheetId="10">#REF!</definedName>
    <definedName name="U" localSheetId="13">#REF!</definedName>
    <definedName name="U">#REF!</definedName>
    <definedName name="UG" localSheetId="12">#REF!</definedName>
    <definedName name="UG" localSheetId="9">#REF!</definedName>
    <definedName name="UG" localSheetId="11">#REF!</definedName>
    <definedName name="UG" localSheetId="10">#REF!</definedName>
    <definedName name="UG" localSheetId="13">#REF!</definedName>
    <definedName name="UG">#REF!</definedName>
    <definedName name="UHY" localSheetId="12">#REF!</definedName>
    <definedName name="UHY" localSheetId="9">#REF!</definedName>
    <definedName name="UHY" localSheetId="11">#REF!</definedName>
    <definedName name="UHY" localSheetId="10">#REF!</definedName>
    <definedName name="UHY" localSheetId="13">#REF!</definedName>
    <definedName name="UHY">#REF!</definedName>
    <definedName name="V" localSheetId="12">#REF!</definedName>
    <definedName name="V" localSheetId="9">#REF!</definedName>
    <definedName name="V" localSheetId="11">#REF!</definedName>
    <definedName name="V" localSheetId="10">#REF!</definedName>
    <definedName name="V" localSheetId="13">#REF!</definedName>
    <definedName name="V">#REF!</definedName>
    <definedName name="VNJ" localSheetId="12">#REF!</definedName>
    <definedName name="VNJ" localSheetId="9">#REF!</definedName>
    <definedName name="VNJ" localSheetId="11">#REF!</definedName>
    <definedName name="VNJ" localSheetId="10">#REF!</definedName>
    <definedName name="VNJ" localSheetId="13">#REF!</definedName>
    <definedName name="VNJ">#REF!</definedName>
    <definedName name="W">#REF!</definedName>
    <definedName name="WA" localSheetId="12">#REF!</definedName>
    <definedName name="WA" localSheetId="9">#REF!</definedName>
    <definedName name="WA" localSheetId="11">#REF!</definedName>
    <definedName name="WA" localSheetId="10">#REF!</definedName>
    <definedName name="WA" localSheetId="13">#REF!</definedName>
    <definedName name="WA">#REF!</definedName>
    <definedName name="WWWW" localSheetId="12">#REF!</definedName>
    <definedName name="WWWW" localSheetId="9">#REF!</definedName>
    <definedName name="WWWW" localSheetId="11">#REF!</definedName>
    <definedName name="WWWW" localSheetId="10">#REF!</definedName>
    <definedName name="WWWW" localSheetId="13">#REF!</definedName>
    <definedName name="WWWW">#REF!</definedName>
    <definedName name="X" localSheetId="12">#REF!</definedName>
    <definedName name="X" localSheetId="9">#REF!</definedName>
    <definedName name="X" localSheetId="11">#REF!</definedName>
    <definedName name="X" localSheetId="10">#REF!</definedName>
    <definedName name="X" localSheetId="13">#REF!</definedName>
    <definedName name="X">#REF!</definedName>
    <definedName name="Y" localSheetId="12">#REF!</definedName>
    <definedName name="Y" localSheetId="9">#REF!</definedName>
    <definedName name="Y" localSheetId="11">#REF!</definedName>
    <definedName name="Y" localSheetId="10">#REF!</definedName>
    <definedName name="Y" localSheetId="13">#REF!</definedName>
    <definedName name="Y">#REF!</definedName>
    <definedName name="Z" localSheetId="12">#REF!</definedName>
    <definedName name="Z" localSheetId="9">#REF!</definedName>
    <definedName name="Z" localSheetId="11">#REF!</definedName>
    <definedName name="Z" localSheetId="10">#REF!</definedName>
    <definedName name="Z" localSheetId="13">#REF!</definedName>
    <definedName name="Z">#REF!</definedName>
    <definedName name="ああああ" localSheetId="12">[13]大項目!#REF!</definedName>
    <definedName name="ああああ" localSheetId="9">[13]大項目!#REF!</definedName>
    <definedName name="ああああ" localSheetId="11">[13]大項目!#REF!</definedName>
    <definedName name="ああああ" localSheetId="10">[13]大項目!#REF!</definedName>
    <definedName name="ああああ" localSheetId="13">[13]大項目!#REF!</definedName>
    <definedName name="ああああ">[13]大項目!#REF!</definedName>
    <definedName name="ｱﾝｶｰ">#REF!</definedName>
    <definedName name="ｲﾝｻﾂ">#REF!</definedName>
    <definedName name="ｶﾞﾗｽ工">#REF!</definedName>
    <definedName name="ガラス工２">[14]府県別労務!$C$50</definedName>
    <definedName name="コンクリート・型枠・鉄筋工事" localSheetId="12">#REF!</definedName>
    <definedName name="コンクリート・型枠・鉄筋工事" localSheetId="9">#REF!</definedName>
    <definedName name="コンクリート・型枠・鉄筋工事" localSheetId="11">#REF!</definedName>
    <definedName name="コンクリート・型枠・鉄筋工事" localSheetId="10">#REF!</definedName>
    <definedName name="コンクリート・型枠・鉄筋工事" localSheetId="13">#REF!</definedName>
    <definedName name="コンクリート・型枠・鉄筋工事">#REF!</definedName>
    <definedName name="さく岩工">#REF!</definedName>
    <definedName name="ささＳ" localSheetId="12">#REF!</definedName>
    <definedName name="ささＳ" localSheetId="9">#REF!</definedName>
    <definedName name="ささＳ" localSheetId="11">#REF!</definedName>
    <definedName name="ささＳ" localSheetId="10">#REF!</definedName>
    <definedName name="ささＳ" localSheetId="13">#REF!</definedName>
    <definedName name="ささＳ">#REF!</definedName>
    <definedName name="サッシ工">#REF!</definedName>
    <definedName name="スコアボード比較">#REF!</definedName>
    <definedName name="その" localSheetId="12">[15]大項目!#REF!</definedName>
    <definedName name="その" localSheetId="9">[15]大項目!#REF!</definedName>
    <definedName name="その" localSheetId="11">[15]大項目!#REF!</definedName>
    <definedName name="その" localSheetId="10">[15]大項目!#REF!</definedName>
    <definedName name="その" localSheetId="13">[15]大項目!#REF!</definedName>
    <definedName name="その">[15]大項目!#REF!</definedName>
    <definedName name="その他">#REF!</definedName>
    <definedName name="その他１" localSheetId="12">[15]大項目!#REF!</definedName>
    <definedName name="その他１" localSheetId="9">[15]大項目!#REF!</definedName>
    <definedName name="その他１" localSheetId="11">[15]大項目!#REF!</definedName>
    <definedName name="その他１" localSheetId="10">[15]大項目!#REF!</definedName>
    <definedName name="その他１" localSheetId="13">[15]大項目!#REF!</definedName>
    <definedName name="その他１">[15]大項目!#REF!</definedName>
    <definedName name="その他2">#REF!</definedName>
    <definedName name="た" localSheetId="12">[10]市住耐震!#REF!</definedName>
    <definedName name="た" localSheetId="9">[10]市住耐震!#REF!</definedName>
    <definedName name="た" localSheetId="11">[10]市住耐震!#REF!</definedName>
    <definedName name="た" localSheetId="10">[10]市住耐震!#REF!</definedName>
    <definedName name="た" localSheetId="13">[10]市住耐震!#REF!</definedName>
    <definedName name="た">[11]市住耐震!#REF!</definedName>
    <definedName name="タイル工">#REF!</definedName>
    <definedName name="ダクト工">#REF!</definedName>
    <definedName name="テント" localSheetId="12">[15]大項目!#REF!</definedName>
    <definedName name="テント" localSheetId="9">[15]大項目!#REF!</definedName>
    <definedName name="テント" localSheetId="11">[15]大項目!#REF!</definedName>
    <definedName name="テント" localSheetId="10">[15]大項目!#REF!</definedName>
    <definedName name="テント" localSheetId="13">[15]大項目!#REF!</definedName>
    <definedName name="テント">[15]大項目!#REF!</definedName>
    <definedName name="とび工">#REF!</definedName>
    <definedName name="トンネル作業員">#REF!</definedName>
    <definedName name="トンネル世話役">#REF!</definedName>
    <definedName name="トンネル特殊工">#REF!</definedName>
    <definedName name="はつり工">#REF!</definedName>
    <definedName name="ばら">#REF!</definedName>
    <definedName name="ふ" localSheetId="12">#REF!</definedName>
    <definedName name="ふ" localSheetId="9">#REF!</definedName>
    <definedName name="ふ" localSheetId="11">#REF!</definedName>
    <definedName name="ふ" localSheetId="10">#REF!</definedName>
    <definedName name="ふ" localSheetId="13">#REF!</definedName>
    <definedName name="ふ">#REF!</definedName>
    <definedName name="ブロック工">#REF!</definedName>
    <definedName name="ﾍﾟｰｼﾞ入力">#REF!</definedName>
    <definedName name="ﾏｸﾛ">#REF!</definedName>
    <definedName name="ﾒﾆｭｰ" localSheetId="12">#REF!</definedName>
    <definedName name="ﾒﾆｭｰ" localSheetId="9">#REF!</definedName>
    <definedName name="ﾒﾆｭｰ" localSheetId="11">#REF!</definedName>
    <definedName name="ﾒﾆｭｰ" localSheetId="10">#REF!</definedName>
    <definedName name="ﾒﾆｭｰ" localSheetId="13">#REF!</definedName>
    <definedName name="ﾒﾆｭｰ">#REF!</definedName>
    <definedName name="一位代価">#REF!</definedName>
    <definedName name="一般運転手">#REF!</definedName>
    <definedName name="印" localSheetId="12">[1]建築!#REF!</definedName>
    <definedName name="印" localSheetId="9">[1]建築!#REF!</definedName>
    <definedName name="印" localSheetId="11">[1]建築!#REF!</definedName>
    <definedName name="印" localSheetId="10">[1]建築!#REF!</definedName>
    <definedName name="印" localSheetId="13">[1]建築!#REF!</definedName>
    <definedName name="印">[1]建築!#REF!</definedName>
    <definedName name="印刷" localSheetId="12">[16]!印刷</definedName>
    <definedName name="印刷" localSheetId="19">[16]!印刷</definedName>
    <definedName name="印刷" localSheetId="9">[16]!印刷</definedName>
    <definedName name="印刷" localSheetId="11">[16]!印刷</definedName>
    <definedName name="印刷" localSheetId="10">[16]!印刷</definedName>
    <definedName name="印刷" localSheetId="13">[16]!印刷</definedName>
    <definedName name="印刷" localSheetId="14">[16]!印刷</definedName>
    <definedName name="印刷" localSheetId="15">[16]!印刷</definedName>
    <definedName name="印刷" localSheetId="16">[16]!印刷</definedName>
    <definedName name="印刷">[16]!印刷</definedName>
    <definedName name="印刷1" localSheetId="12">[16]!印刷</definedName>
    <definedName name="印刷1" localSheetId="19">[16]!印刷</definedName>
    <definedName name="印刷1" localSheetId="9">[16]!印刷</definedName>
    <definedName name="印刷1" localSheetId="11">[16]!印刷</definedName>
    <definedName name="印刷1" localSheetId="10">[16]!印刷</definedName>
    <definedName name="印刷1" localSheetId="13">[16]!印刷</definedName>
    <definedName name="印刷1" localSheetId="14">[16]!印刷</definedName>
    <definedName name="印刷1" localSheetId="15">[16]!印刷</definedName>
    <definedName name="印刷1" localSheetId="16">[16]!印刷</definedName>
    <definedName name="印刷1">[16]!印刷</definedName>
    <definedName name="印刷3" localSheetId="12">[16]!印刷</definedName>
    <definedName name="印刷3" localSheetId="19">[16]!印刷</definedName>
    <definedName name="印刷3" localSheetId="9">[16]!印刷</definedName>
    <definedName name="印刷3" localSheetId="11">[16]!印刷</definedName>
    <definedName name="印刷3" localSheetId="10">[16]!印刷</definedName>
    <definedName name="印刷3" localSheetId="13">[16]!印刷</definedName>
    <definedName name="印刷3" localSheetId="14">[16]!印刷</definedName>
    <definedName name="印刷3" localSheetId="15">[16]!印刷</definedName>
    <definedName name="印刷3" localSheetId="16">[16]!印刷</definedName>
    <definedName name="印刷3">[16]!印刷</definedName>
    <definedName name="印刷P" localSheetId="12">[1]建築!#REF!</definedName>
    <definedName name="印刷P" localSheetId="9">[1]建築!#REF!</definedName>
    <definedName name="印刷P" localSheetId="11">[1]建築!#REF!</definedName>
    <definedName name="印刷P" localSheetId="10">[1]建築!#REF!</definedName>
    <definedName name="印刷P" localSheetId="13">[1]建築!#REF!</definedName>
    <definedName name="印刷P">[1]建築!#REF!</definedName>
    <definedName name="印刷画面" localSheetId="12">[1]建築!#REF!</definedName>
    <definedName name="印刷画面" localSheetId="9">[1]建築!#REF!</definedName>
    <definedName name="印刷画面" localSheetId="11">[1]建築!#REF!</definedName>
    <definedName name="印刷画面" localSheetId="10">[1]建築!#REF!</definedName>
    <definedName name="印刷画面" localSheetId="13">[1]建築!#REF!</definedName>
    <definedName name="印刷画面">[1]建築!#REF!</definedName>
    <definedName name="印刷計" localSheetId="12">[1]建築!#REF!</definedName>
    <definedName name="印刷計" localSheetId="9">[1]建築!#REF!</definedName>
    <definedName name="印刷計" localSheetId="11">[1]建築!#REF!</definedName>
    <definedName name="印刷計" localSheetId="10">[1]建築!#REF!</definedName>
    <definedName name="印刷計" localSheetId="13">[1]建築!#REF!</definedName>
    <definedName name="印刷計">[1]建築!#REF!</definedName>
    <definedName name="印刷積" localSheetId="12">[1]建築!#REF!</definedName>
    <definedName name="印刷積" localSheetId="9">[1]建築!#REF!</definedName>
    <definedName name="印刷積" localSheetId="11">[1]建築!#REF!</definedName>
    <definedName name="印刷積" localSheetId="10">[1]建築!#REF!</definedName>
    <definedName name="印刷積" localSheetId="13">[1]建築!#REF!</definedName>
    <definedName name="印刷積">[1]建築!#REF!</definedName>
    <definedName name="印刷全" localSheetId="12">[1]建築!#REF!</definedName>
    <definedName name="印刷全" localSheetId="9">[1]建築!#REF!</definedName>
    <definedName name="印刷全" localSheetId="11">[1]建築!#REF!</definedName>
    <definedName name="印刷全" localSheetId="10">[1]建築!#REF!</definedName>
    <definedName name="印刷全" localSheetId="13">[1]建築!#REF!</definedName>
    <definedName name="印刷全">[1]建築!#REF!</definedName>
    <definedName name="印刷範囲">#REF!</definedName>
    <definedName name="印刷表" localSheetId="12">[1]建築!#REF!</definedName>
    <definedName name="印刷表" localSheetId="9">[1]建築!#REF!</definedName>
    <definedName name="印刷表" localSheetId="11">[1]建築!#REF!</definedName>
    <definedName name="印刷表" localSheetId="10">[1]建築!#REF!</definedName>
    <definedName name="印刷表" localSheetId="13">[1]建築!#REF!</definedName>
    <definedName name="印刷表">[1]建築!#REF!</definedName>
    <definedName name="印刷部" localSheetId="12">[1]建築!#REF!</definedName>
    <definedName name="印刷部" localSheetId="9">[1]建築!#REF!</definedName>
    <definedName name="印刷部" localSheetId="11">[1]建築!#REF!</definedName>
    <definedName name="印刷部" localSheetId="10">[1]建築!#REF!</definedName>
    <definedName name="印刷部" localSheetId="13">[1]建築!#REF!</definedName>
    <definedName name="印刷部">[1]建築!#REF!</definedName>
    <definedName name="印刷部1" localSheetId="12">[1]建築!#REF!</definedName>
    <definedName name="印刷部1" localSheetId="9">[1]建築!#REF!</definedName>
    <definedName name="印刷部1" localSheetId="11">[1]建築!#REF!</definedName>
    <definedName name="印刷部1" localSheetId="10">[1]建築!#REF!</definedName>
    <definedName name="印刷部1" localSheetId="13">[1]建築!#REF!</definedName>
    <definedName name="印刷部1">[1]建築!#REF!</definedName>
    <definedName name="印刷部2" localSheetId="12">[1]建築!#REF!</definedName>
    <definedName name="印刷部2" localSheetId="9">[1]建築!#REF!</definedName>
    <definedName name="印刷部2" localSheetId="11">[1]建築!#REF!</definedName>
    <definedName name="印刷部2" localSheetId="10">[1]建築!#REF!</definedName>
    <definedName name="印刷部2" localSheetId="13">[1]建築!#REF!</definedName>
    <definedName name="印刷部2">[1]建築!#REF!</definedName>
    <definedName name="印刷部3" localSheetId="12">[1]建築!#REF!</definedName>
    <definedName name="印刷部3" localSheetId="9">[1]建築!#REF!</definedName>
    <definedName name="印刷部3" localSheetId="11">[1]建築!#REF!</definedName>
    <definedName name="印刷部3" localSheetId="10">[1]建築!#REF!</definedName>
    <definedName name="印刷部3" localSheetId="13">[1]建築!#REF!</definedName>
    <definedName name="印刷部3">[1]建築!#REF!</definedName>
    <definedName name="印刷複" localSheetId="12">[1]建築!#REF!</definedName>
    <definedName name="印刷複" localSheetId="9">[1]建築!#REF!</definedName>
    <definedName name="印刷複" localSheetId="11">[1]建築!#REF!</definedName>
    <definedName name="印刷複" localSheetId="10">[1]建築!#REF!</definedName>
    <definedName name="印刷複" localSheetId="13">[1]建築!#REF!</definedName>
    <definedName name="印刷複">[1]建築!#REF!</definedName>
    <definedName name="運転手_一般">#REF!</definedName>
    <definedName name="運転手_特殊">#REF!</definedName>
    <definedName name="屋根ふき工">#REF!</definedName>
    <definedName name="温泉タンク" localSheetId="12">[13]大項目!#REF!</definedName>
    <definedName name="温泉タンク" localSheetId="9">[13]大項目!#REF!</definedName>
    <definedName name="温泉タンク" localSheetId="11">[13]大項目!#REF!</definedName>
    <definedName name="温泉タンク" localSheetId="10">[13]大項目!#REF!</definedName>
    <definedName name="温泉タンク" localSheetId="13">[13]大項目!#REF!</definedName>
    <definedName name="温泉タンク">[13]大項目!#REF!</definedName>
    <definedName name="仮ＮＯ">#REF!</definedName>
    <definedName name="開始頁" localSheetId="12">[3]表紙!#REF!</definedName>
    <definedName name="開始頁" localSheetId="9">[3]表紙!#REF!</definedName>
    <definedName name="開始頁" localSheetId="11">[3]表紙!#REF!</definedName>
    <definedName name="開始頁" localSheetId="10">[3]表紙!#REF!</definedName>
    <definedName name="開始頁" localSheetId="13">[3]表紙!#REF!</definedName>
    <definedName name="開始頁">[3]表紙!#REF!</definedName>
    <definedName name="外構工事" localSheetId="12">[13]大項目!#REF!</definedName>
    <definedName name="外構工事" localSheetId="9">[13]大項目!#REF!</definedName>
    <definedName name="外構工事" localSheetId="11">[13]大項目!#REF!</definedName>
    <definedName name="外構工事" localSheetId="10">[13]大項目!#REF!</definedName>
    <definedName name="外構工事" localSheetId="13">[13]大項目!#REF!</definedName>
    <definedName name="外構工事">[13]大項目!#REF!</definedName>
    <definedName name="掛け率">#REF!</definedName>
    <definedName name="換気" localSheetId="12">[7]!印刷</definedName>
    <definedName name="換気" localSheetId="19">[7]!印刷</definedName>
    <definedName name="換気" localSheetId="11">[7]!印刷</definedName>
    <definedName name="換気" localSheetId="10">[7]!印刷</definedName>
    <definedName name="換気" localSheetId="13">[7]!印刷</definedName>
    <definedName name="換気" localSheetId="14">[7]!印刷</definedName>
    <definedName name="換気" localSheetId="16">[7]!印刷</definedName>
    <definedName name="換気">[7]!印刷</definedName>
    <definedName name="器" localSheetId="12">#REF!</definedName>
    <definedName name="器" localSheetId="9">#REF!</definedName>
    <definedName name="器" localSheetId="11">#REF!</definedName>
    <definedName name="器" localSheetId="10">#REF!</definedName>
    <definedName name="器" localSheetId="13">#REF!</definedName>
    <definedName name="器">#REF!</definedName>
    <definedName name="器具庫" localSheetId="12">[15]大項目!#REF!</definedName>
    <definedName name="器具庫" localSheetId="9">[15]大項目!#REF!</definedName>
    <definedName name="器具庫" localSheetId="11">[15]大項目!#REF!</definedName>
    <definedName name="器具庫" localSheetId="10">[15]大項目!#REF!</definedName>
    <definedName name="器具庫" localSheetId="13">[15]大項目!#REF!</definedName>
    <definedName name="器具庫">[15]大項目!#REF!</definedName>
    <definedName name="機改仮">[17]共通仮設費!$I$49:$K$70</definedName>
    <definedName name="機改諸">[17]諸経費!$U$4:$W$56</definedName>
    <definedName name="機械運搬費">#REF!</definedName>
    <definedName name="機新仮">[17]共通仮設費!$I$4:$K$25</definedName>
    <definedName name="機新諸">[17]諸経費!$Q$4:$S$56</definedName>
    <definedName name="軌道工">#REF!</definedName>
    <definedName name="技師_Ａ">#REF!</definedName>
    <definedName name="技師_Ｂ">#REF!</definedName>
    <definedName name="技師_Ｃ">#REF!</definedName>
    <definedName name="技術員">#REF!</definedName>
    <definedName name="技術者Ａ">#REF!</definedName>
    <definedName name="技術者Ｂ">#REF!</definedName>
    <definedName name="給水土工事">#REF!</definedName>
    <definedName name="給湯設備">#REF!</definedName>
    <definedName name="共仮1">#N/A</definedName>
    <definedName name="共仮2">#N/A</definedName>
    <definedName name="橋梁世話役">#REF!</definedName>
    <definedName name="橋梁塗装工">#REF!</definedName>
    <definedName name="橋梁特殊工">#REF!</definedName>
    <definedName name="金属工事" localSheetId="12">#REF!</definedName>
    <definedName name="金属工事" localSheetId="9">#REF!</definedName>
    <definedName name="金属工事" localSheetId="11">#REF!</definedName>
    <definedName name="金属工事" localSheetId="10">#REF!</definedName>
    <definedName name="金属工事" localSheetId="13">#REF!</definedName>
    <definedName name="金属工事">#REF!</definedName>
    <definedName name="金属製建具工事" localSheetId="12">#REF!</definedName>
    <definedName name="金属製建具工事" localSheetId="9">#REF!</definedName>
    <definedName name="金属製建具工事" localSheetId="11">#REF!</definedName>
    <definedName name="金属製建具工事" localSheetId="10">#REF!</definedName>
    <definedName name="金属製建具工事" localSheetId="13">#REF!</definedName>
    <definedName name="金属製建具工事">#REF!</definedName>
    <definedName name="金入設定" localSheetId="12">[3]表紙!#REF!</definedName>
    <definedName name="金入設定" localSheetId="9">[3]表紙!#REF!</definedName>
    <definedName name="金入設定" localSheetId="11">[3]表紙!#REF!</definedName>
    <definedName name="金入設定" localSheetId="10">[3]表紙!#REF!</definedName>
    <definedName name="金入設定" localSheetId="13">[3]表紙!#REF!</definedName>
    <definedName name="金入設定">[3]表紙!#REF!</definedName>
    <definedName name="金抜設定" localSheetId="12">[3]表紙!#REF!</definedName>
    <definedName name="金抜設定" localSheetId="9">[3]表紙!#REF!</definedName>
    <definedName name="金抜設定" localSheetId="11">[3]表紙!#REF!</definedName>
    <definedName name="金抜設定" localSheetId="10">[3]表紙!#REF!</definedName>
    <definedName name="金抜設定" localSheetId="13">[3]表紙!#REF!</definedName>
    <definedName name="金抜設定">[3]表紙!#REF!</definedName>
    <definedName name="空調" localSheetId="12">[16]!印刷</definedName>
    <definedName name="空調" localSheetId="19">[16]!印刷</definedName>
    <definedName name="空調" localSheetId="11">[16]!印刷</definedName>
    <definedName name="空調" localSheetId="10">[16]!印刷</definedName>
    <definedName name="空調" localSheetId="13">[16]!印刷</definedName>
    <definedName name="空調" localSheetId="14">[16]!印刷</definedName>
    <definedName name="空調" localSheetId="16">[16]!印刷</definedName>
    <definedName name="空調">[16]!印刷</definedName>
    <definedName name="型わく工">#REF!</definedName>
    <definedName name="軽作業員">#REF!</definedName>
    <definedName name="建改諸">[17]諸経費!$E$4:$G$56</definedName>
    <definedName name="建具工">#REF!</definedName>
    <definedName name="建新仮">[17]共通仮設費!$A$4:$C$41</definedName>
    <definedName name="建新諸">[17]諸経費!$A$4:$C$56</definedName>
    <definedName name="建築ﾌﾞﾛｯｸ工">#REF!</definedName>
    <definedName name="県名">#REF!</definedName>
    <definedName name="見積・ｲﾝﾀｰﾎﾝ">#REF!</definedName>
    <definedName name="見積・時計">#REF!</definedName>
    <definedName name="見積・照明">#REF!</definedName>
    <definedName name="見積・盤">#REF!</definedName>
    <definedName name="見積・放送">#REF!</definedName>
    <definedName name="見積・放送2">#REF!</definedName>
    <definedName name="交通整理員">#REF!</definedName>
    <definedName name="公団ｽﾘｰﾌﾞ">#REF!</definedName>
    <definedName name="工事区分">#REF!</definedName>
    <definedName name="工事件名">[18]工事総括!$C$3</definedName>
    <definedName name="工事名">#REF!</definedName>
    <definedName name="項____目">#REF!</definedName>
    <definedName name="高級船員">#REF!</definedName>
    <definedName name="合算特殊">#REF!</definedName>
    <definedName name="根拠設定" localSheetId="12">[3]表紙!#REF!</definedName>
    <definedName name="根拠設定" localSheetId="9">[3]表紙!#REF!</definedName>
    <definedName name="根拠設定" localSheetId="11">[3]表紙!#REF!</definedName>
    <definedName name="根拠設定" localSheetId="10">[3]表紙!#REF!</definedName>
    <definedName name="根拠設定" localSheetId="13">[3]表紙!#REF!</definedName>
    <definedName name="根拠設定">[3]表紙!#REF!</definedName>
    <definedName name="根切り_H__1">#REF!</definedName>
    <definedName name="根切り_H__2">#REF!</definedName>
    <definedName name="根切り_H_2">#REF!</definedName>
    <definedName name="左官">#REF!</definedName>
    <definedName name="左官工事" localSheetId="12">#REF!</definedName>
    <definedName name="左官工事" localSheetId="9">#REF!</definedName>
    <definedName name="左官工事" localSheetId="11">#REF!</definedName>
    <definedName name="左官工事" localSheetId="10">#REF!</definedName>
    <definedName name="左官工事" localSheetId="13">#REF!</definedName>
    <definedName name="左官工事">#REF!</definedName>
    <definedName name="査定率">#REF!</definedName>
    <definedName name="撮影士">#REF!</definedName>
    <definedName name="撮影助手">#REF!</definedName>
    <definedName name="雑工事" localSheetId="12">#REF!</definedName>
    <definedName name="雑工事" localSheetId="9">#REF!</definedName>
    <definedName name="雑工事" localSheetId="11">#REF!</definedName>
    <definedName name="雑工事" localSheetId="10">#REF!</definedName>
    <definedName name="雑工事" localSheetId="13">#REF!</definedName>
    <definedName name="雑工事">#REF!</definedName>
    <definedName name="雑材率">#REF!</definedName>
    <definedName name="山砂">#REF!</definedName>
    <definedName name="山林砂防工">#REF!</definedName>
    <definedName name="残土処分">#REF!</definedName>
    <definedName name="施工">#REF!</definedName>
    <definedName name="車庫建築" localSheetId="12">[13]大項目!#REF!</definedName>
    <definedName name="車庫建築" localSheetId="9">[13]大項目!#REF!</definedName>
    <definedName name="車庫建築" localSheetId="11">[13]大項目!#REF!</definedName>
    <definedName name="車庫建築" localSheetId="10">[13]大項目!#REF!</definedName>
    <definedName name="車庫建築" localSheetId="13">[13]大項目!#REF!</definedName>
    <definedName name="車庫建築">[13]大項目!#REF!</definedName>
    <definedName name="主任技師">#REF!</definedName>
    <definedName name="主任技術者">#REF!</definedName>
    <definedName name="主任地質調査員">#REF!</definedName>
    <definedName name="取壊諸">[17]諸経費!$AG$4:$AI$56</definedName>
    <definedName name="修正" localSheetId="12">[1]建築!#REF!</definedName>
    <definedName name="修正" localSheetId="9">[1]建築!#REF!</definedName>
    <definedName name="修正" localSheetId="11">[1]建築!#REF!</definedName>
    <definedName name="修正" localSheetId="10">[1]建築!#REF!</definedName>
    <definedName name="修正" localSheetId="13">[1]建築!#REF!</definedName>
    <definedName name="修正">[1]建築!#REF!</definedName>
    <definedName name="修正1" localSheetId="12">[1]建築!#REF!</definedName>
    <definedName name="修正1" localSheetId="9">[1]建築!#REF!</definedName>
    <definedName name="修正1" localSheetId="11">[1]建築!#REF!</definedName>
    <definedName name="修正1" localSheetId="10">[1]建築!#REF!</definedName>
    <definedName name="修正1" localSheetId="13">[1]建築!#REF!</definedName>
    <definedName name="修正1">[1]建築!#REF!</definedName>
    <definedName name="修正2" localSheetId="12">[1]建築!#REF!</definedName>
    <definedName name="修正2" localSheetId="9">[1]建築!#REF!</definedName>
    <definedName name="修正2" localSheetId="11">[1]建築!#REF!</definedName>
    <definedName name="修正2" localSheetId="10">[1]建築!#REF!</definedName>
    <definedName name="修正2" localSheetId="13">[1]建築!#REF!</definedName>
    <definedName name="修正2">[1]建築!#REF!</definedName>
    <definedName name="修正3" localSheetId="12">[1]建築!#REF!</definedName>
    <definedName name="修正3" localSheetId="9">[1]建築!#REF!</definedName>
    <definedName name="修正3" localSheetId="11">[1]建築!#REF!</definedName>
    <definedName name="修正3" localSheetId="10">[1]建築!#REF!</definedName>
    <definedName name="修正3" localSheetId="13">[1]建築!#REF!</definedName>
    <definedName name="修正3">[1]建築!#REF!</definedName>
    <definedName name="修正4" localSheetId="12">[3]表紙!#REF!</definedName>
    <definedName name="修正4" localSheetId="9">[3]表紙!#REF!</definedName>
    <definedName name="修正4" localSheetId="11">[3]表紙!#REF!</definedName>
    <definedName name="修正4" localSheetId="10">[3]表紙!#REF!</definedName>
    <definedName name="修正4" localSheetId="13">[3]表紙!#REF!</definedName>
    <definedName name="修正4">[3]表紙!#REF!</definedName>
    <definedName name="修正5" localSheetId="12">[3]表紙!#REF!</definedName>
    <definedName name="修正5" localSheetId="9">[3]表紙!#REF!</definedName>
    <definedName name="修正5" localSheetId="11">[3]表紙!#REF!</definedName>
    <definedName name="修正5" localSheetId="10">[3]表紙!#REF!</definedName>
    <definedName name="修正5" localSheetId="13">[3]表紙!#REF!</definedName>
    <definedName name="修正5">[3]表紙!#REF!</definedName>
    <definedName name="修正6" localSheetId="12">[3]表紙!#REF!</definedName>
    <definedName name="修正6" localSheetId="9">[3]表紙!#REF!</definedName>
    <definedName name="修正6" localSheetId="11">[3]表紙!#REF!</definedName>
    <definedName name="修正6" localSheetId="10">[3]表紙!#REF!</definedName>
    <definedName name="修正6" localSheetId="13">[3]表紙!#REF!</definedName>
    <definedName name="修正6">[3]表紙!#REF!</definedName>
    <definedName name="諸経1">#N/A</definedName>
    <definedName name="諸経2">#N/A</definedName>
    <definedName name="昇降仮">[17]共通仮設費!$M$4:$O$25</definedName>
    <definedName name="昇降諸">[17]諸経費!$Y$4:$AA$56</definedName>
    <definedName name="消去1">#REF!</definedName>
    <definedName name="消去2">#REF!</definedName>
    <definedName name="硝子工事" localSheetId="12">#REF!</definedName>
    <definedName name="硝子工事" localSheetId="9">#REF!</definedName>
    <definedName name="硝子工事" localSheetId="11">#REF!</definedName>
    <definedName name="硝子工事" localSheetId="10">#REF!</definedName>
    <definedName name="硝子工事" localSheetId="13">#REF!</definedName>
    <definedName name="硝子工事">#REF!</definedName>
    <definedName name="人">#REF!</definedName>
    <definedName name="人工費" localSheetId="17">E複合単価!$AA$17:$AC$26</definedName>
    <definedName name="人工費">#REF!</definedName>
    <definedName name="人工費１">#REF!</definedName>
    <definedName name="整備士">#REF!</definedName>
    <definedName name="石工">#REF!</definedName>
    <definedName name="設計" localSheetId="12">[19]拾い!#REF!</definedName>
    <definedName name="設計" localSheetId="9">[19]拾い!#REF!</definedName>
    <definedName name="設計" localSheetId="11">[19]拾い!#REF!</definedName>
    <definedName name="設計" localSheetId="10">[19]拾い!#REF!</definedName>
    <definedName name="設計" localSheetId="13">[19]拾い!#REF!</definedName>
    <definedName name="設計">[20]拾い!#REF!</definedName>
    <definedName name="設計技術員">#REF!</definedName>
    <definedName name="設計書">#REF!</definedName>
    <definedName name="設定P" localSheetId="12">[1]建築!#REF!</definedName>
    <definedName name="設定P" localSheetId="9">[1]建築!#REF!</definedName>
    <definedName name="設定P" localSheetId="11">[1]建築!#REF!</definedName>
    <definedName name="設定P" localSheetId="10">[1]建築!#REF!</definedName>
    <definedName name="設定P" localSheetId="13">[1]建築!#REF!</definedName>
    <definedName name="設定P">[1]建築!#REF!</definedName>
    <definedName name="設備機械工">#REF!</definedName>
    <definedName name="潜かん工">#REF!</definedName>
    <definedName name="潜かん世話役">#REF!</definedName>
    <definedName name="潜水士">#REF!</definedName>
    <definedName name="潜水世話役">#REF!</definedName>
    <definedName name="潜水送気員">#REF!</definedName>
    <definedName name="潜水連絡員">#REF!</definedName>
    <definedName name="船団長">#REF!</definedName>
    <definedName name="全体" localSheetId="12">[13]大項目!#REF!</definedName>
    <definedName name="全体" localSheetId="9">[13]大項目!#REF!</definedName>
    <definedName name="全体" localSheetId="11">[13]大項目!#REF!</definedName>
    <definedName name="全体" localSheetId="10">[13]大項目!#REF!</definedName>
    <definedName name="全体" localSheetId="13">[13]大項目!#REF!</definedName>
    <definedName name="全体">[13]大項目!#REF!</definedName>
    <definedName name="全頁印刷" localSheetId="12">[3]表紙!#REF!</definedName>
    <definedName name="全頁印刷" localSheetId="9">[3]表紙!#REF!</definedName>
    <definedName name="全頁印刷" localSheetId="11">[3]表紙!#REF!</definedName>
    <definedName name="全頁印刷" localSheetId="10">[3]表紙!#REF!</definedName>
    <definedName name="全頁印刷" localSheetId="13">[3]表紙!#REF!</definedName>
    <definedName name="全頁印刷">[3]表紙!#REF!</definedName>
    <definedName name="全枚" localSheetId="12">[1]建築!#REF!</definedName>
    <definedName name="全枚" localSheetId="9">[1]建築!#REF!</definedName>
    <definedName name="全枚" localSheetId="11">[1]建築!#REF!</definedName>
    <definedName name="全枚" localSheetId="10">[1]建築!#REF!</definedName>
    <definedName name="全枚" localSheetId="13">[1]建築!#REF!</definedName>
    <definedName name="全枚">[1]建築!#REF!</definedName>
    <definedName name="操縦士">#REF!</definedName>
    <definedName name="総合諸">[17]率表!$Q$5:$R$14</definedName>
    <definedName name="総事業費">#REF!</definedName>
    <definedName name="造園工">#REF!</definedName>
    <definedName name="造成仮">[17]共通仮設費!$Q$4:$S$9</definedName>
    <definedName name="造成諸">[17]諸経費!$AC$4:$AE$8</definedName>
    <definedName name="測量技師">#REF!</definedName>
    <definedName name="測量技師補">#REF!</definedName>
    <definedName name="測量主任技師">#REF!</definedName>
    <definedName name="測量助手">#REF!</definedName>
    <definedName name="測量上級主任技師">#REF!</definedName>
    <definedName name="代価1">#REF!</definedName>
    <definedName name="代価2">#REF!</definedName>
    <definedName name="代価3">#REF!</definedName>
    <definedName name="代価4">#REF!</definedName>
    <definedName name="代価5">#REF!</definedName>
    <definedName name="代価電気">[21]一位代価!$A:$IV</definedName>
    <definedName name="大工">#REF!</definedName>
    <definedName name="単">#REF!</definedName>
    <definedName name="単価根拠" localSheetId="17">E複合単価!$AA$2:$AB$15</definedName>
    <definedName name="単価根拠">#REF!</definedName>
    <definedName name="単価根拠１">#REF!</definedName>
    <definedName name="単価入力">#REF!</definedName>
    <definedName name="単価入力１">#REF!</definedName>
    <definedName name="単独仮">[17]率表!$N$29:$W$38</definedName>
    <definedName name="単独諸">[17]率表!$N$87:$W$96</definedName>
    <definedName name="単独特殊">#REF!</definedName>
    <definedName name="地質調査員">#REF!</definedName>
    <definedName name="地質調査技師">#REF!</definedName>
    <definedName name="直接仮設工事" localSheetId="12">#REF!</definedName>
    <definedName name="直接仮設工事" localSheetId="9">#REF!</definedName>
    <definedName name="直接仮設工事" localSheetId="11">#REF!</definedName>
    <definedName name="直接仮設工事" localSheetId="10">#REF!</definedName>
    <definedName name="直接仮設工事" localSheetId="13">#REF!</definedName>
    <definedName name="直接仮設工事">#REF!</definedName>
    <definedName name="低減率">#REF!</definedName>
    <definedName name="撤去工事" localSheetId="12">#REF!</definedName>
    <definedName name="撤去工事" localSheetId="9">#REF!</definedName>
    <definedName name="撤去工事" localSheetId="11">#REF!</definedName>
    <definedName name="撤去工事" localSheetId="10">#REF!</definedName>
    <definedName name="撤去工事" localSheetId="13">#REF!</definedName>
    <definedName name="撤去工事">#REF!</definedName>
    <definedName name="鉄筋工">#REF!</definedName>
    <definedName name="鉄筋表">#REF!</definedName>
    <definedName name="鉄骨工">#REF!</definedName>
    <definedName name="電改仮">[17]共通仮設費!$E$49:$G$70</definedName>
    <definedName name="電改諸">[17]諸経費!$M$4:$O$56</definedName>
    <definedName name="電工">#REF!</definedName>
    <definedName name="電工費">#REF!</definedName>
    <definedName name="電新仮">[17]共通仮設費!$E$4:$G$25</definedName>
    <definedName name="電新諸">[17]諸経費!$I$4:$K$56</definedName>
    <definedName name="塗装工">#REF!</definedName>
    <definedName name="塗装工事" localSheetId="12">#REF!</definedName>
    <definedName name="塗装工事" localSheetId="9">#REF!</definedName>
    <definedName name="塗装工事" localSheetId="11">#REF!</definedName>
    <definedName name="塗装工事" localSheetId="10">#REF!</definedName>
    <definedName name="塗装工事" localSheetId="13">#REF!</definedName>
    <definedName name="塗装工事">#REF!</definedName>
    <definedName name="塗装費">#REF!</definedName>
    <definedName name="土工">#REF!</definedName>
    <definedName name="土工事" localSheetId="12">#REF!</definedName>
    <definedName name="土工事" localSheetId="9">#REF!</definedName>
    <definedName name="土工事" localSheetId="11">#REF!</definedName>
    <definedName name="土工事" localSheetId="10">#REF!</definedName>
    <definedName name="土工事" localSheetId="13">#REF!</definedName>
    <definedName name="土工事">#REF!</definedName>
    <definedName name="土木一般世話役">#REF!</definedName>
    <definedName name="特殊運転手">#REF!</definedName>
    <definedName name="特殊作業員">#REF!</definedName>
    <definedName name="内外装工事" localSheetId="12">#REF!</definedName>
    <definedName name="内外装工事" localSheetId="9">#REF!</definedName>
    <definedName name="内外装工事" localSheetId="11">#REF!</definedName>
    <definedName name="内外装工事" localSheetId="10">#REF!</definedName>
    <definedName name="内外装工事" localSheetId="13">#REF!</definedName>
    <definedName name="内外装工事">#REF!</definedName>
    <definedName name="内装工">#REF!</definedName>
    <definedName name="内訳2" localSheetId="12">[22]内訳!#REF!</definedName>
    <definedName name="内訳2" localSheetId="9">[22]内訳!#REF!</definedName>
    <definedName name="内訳2" localSheetId="11">[22]内訳!#REF!</definedName>
    <definedName name="内訳2" localSheetId="10">[22]内訳!#REF!</definedName>
    <definedName name="内訳2" localSheetId="13">[22]内訳!#REF!</definedName>
    <definedName name="内訳2">[22]内訳!#REF!</definedName>
    <definedName name="内訳書" localSheetId="12">[23]別紙内訳!#REF!</definedName>
    <definedName name="内訳書" localSheetId="9">[23]別紙内訳!#REF!</definedName>
    <definedName name="内訳書" localSheetId="11">[23]別紙内訳!#REF!</definedName>
    <definedName name="内訳書" localSheetId="10">[23]別紙内訳!#REF!</definedName>
    <definedName name="内訳書" localSheetId="13">[23]別紙内訳!#REF!</definedName>
    <definedName name="内訳書">[23]別紙内訳!#REF!</definedName>
    <definedName name="入力" localSheetId="12">#REF!</definedName>
    <definedName name="入力" localSheetId="9">#REF!</definedName>
    <definedName name="入力" localSheetId="11">#REF!</definedName>
    <definedName name="入力" localSheetId="10">#REF!</definedName>
    <definedName name="入力" localSheetId="13">#REF!</definedName>
    <definedName name="入力">#REF!</definedName>
    <definedName name="入力給水1">#REF!</definedName>
    <definedName name="入力排水1">#REF!</definedName>
    <definedName name="入力排水2">#REF!</definedName>
    <definedName name="排水土工事">#REF!</definedName>
    <definedName name="排水入力表">#REF!</definedName>
    <definedName name="排水桝入力表">#REF!</definedName>
    <definedName name="配管工">#REF!</definedName>
    <definedName name="板金工">#REF!</definedName>
    <definedName name="比較">#REF!</definedName>
    <definedName name="比較表" localSheetId="12">[24]VE!#REF!</definedName>
    <definedName name="比較表" localSheetId="9">[24]VE!#REF!</definedName>
    <definedName name="比較表" localSheetId="11">[24]VE!#REF!</definedName>
    <definedName name="比較表" localSheetId="10">[24]VE!#REF!</definedName>
    <definedName name="比較表" localSheetId="13">[24]VE!#REF!</definedName>
    <definedName name="比較表">[24]VE!#REF!</definedName>
    <definedName name="比率A">#REF!</definedName>
    <definedName name="飛揚し１">#REF!</definedName>
    <definedName name="表紙">#REF!</definedName>
    <definedName name="表紙2" localSheetId="12">[25]大項目!#REF!</definedName>
    <definedName name="表紙2" localSheetId="9">[25]大項目!#REF!</definedName>
    <definedName name="表紙2" localSheetId="11">[25]大項目!#REF!</definedName>
    <definedName name="表紙2" localSheetId="10">[25]大項目!#REF!</definedName>
    <definedName name="表紙2" localSheetId="13">[25]大項目!#REF!</definedName>
    <definedName name="表紙2">[25]大項目!#REF!</definedName>
    <definedName name="付属舎" localSheetId="12">[15]大項目!#REF!</definedName>
    <definedName name="付属舎" localSheetId="9">[15]大項目!#REF!</definedName>
    <definedName name="付属舎" localSheetId="11">[15]大項目!#REF!</definedName>
    <definedName name="付属舎" localSheetId="10">[15]大項目!#REF!</definedName>
    <definedName name="付属舎" localSheetId="13">[15]大項目!#REF!</definedName>
    <definedName name="付属舎">[15]大項目!#REF!</definedName>
    <definedName name="付属品率">#REF!</definedName>
    <definedName name="普通作業員">#REF!</definedName>
    <definedName name="普通船員">#REF!</definedName>
    <definedName name="部分印刷" localSheetId="12">[3]表紙!#REF!</definedName>
    <definedName name="部分印刷" localSheetId="9">[3]表紙!#REF!</definedName>
    <definedName name="部分印刷" localSheetId="11">[3]表紙!#REF!</definedName>
    <definedName name="部分印刷" localSheetId="10">[3]表紙!#REF!</definedName>
    <definedName name="部分印刷" localSheetId="13">[3]表紙!#REF!</definedName>
    <definedName name="部分印刷">[3]表紙!#REF!</definedName>
    <definedName name="部枚" localSheetId="12">[1]建築!#REF!</definedName>
    <definedName name="部枚" localSheetId="9">[1]建築!#REF!</definedName>
    <definedName name="部枚" localSheetId="11">[1]建築!#REF!</definedName>
    <definedName name="部枚" localSheetId="10">[1]建築!#REF!</definedName>
    <definedName name="部枚" localSheetId="13">[1]建築!#REF!</definedName>
    <definedName name="部枚">[1]建築!#REF!</definedName>
    <definedName name="複合単価_001" localSheetId="12">#REF!</definedName>
    <definedName name="複合単価_001" localSheetId="9">#REF!</definedName>
    <definedName name="複合単価_001" localSheetId="11">#REF!</definedName>
    <definedName name="複合単価_001" localSheetId="10">#REF!</definedName>
    <definedName name="複合単価_001" localSheetId="13">#REF!</definedName>
    <definedName name="複合単価_001">#REF!</definedName>
    <definedName name="複合単価_002">#REF!</definedName>
    <definedName name="複合単価_003">#REF!</definedName>
    <definedName name="複合単価_004">#REF!</definedName>
    <definedName name="複合単価_005">#REF!</definedName>
    <definedName name="複合単価_006">#REF!</definedName>
    <definedName name="複合単価_007">#REF!</definedName>
    <definedName name="複合単価_008">#REF!</definedName>
    <definedName name="複合単価_009">#REF!</definedName>
    <definedName name="複合単価_010">#REF!</definedName>
    <definedName name="複合単価_011">#REF!</definedName>
    <definedName name="複合単価_012">#REF!</definedName>
    <definedName name="複合単価_013">#REF!</definedName>
    <definedName name="複合単価_014">#REF!</definedName>
    <definedName name="複合単価_015">#REF!</definedName>
    <definedName name="複合単価_016">#REF!</definedName>
    <definedName name="複合単価_017">#REF!</definedName>
    <definedName name="複合単価_018">#REF!</definedName>
    <definedName name="複合単価_019">#REF!</definedName>
    <definedName name="複合単価_020">#REF!</definedName>
    <definedName name="複合単価_021" localSheetId="12">#REF!</definedName>
    <definedName name="複合単価_021" localSheetId="9">#REF!</definedName>
    <definedName name="複合単価_021" localSheetId="11">#REF!</definedName>
    <definedName name="複合単価_021" localSheetId="10">#REF!</definedName>
    <definedName name="複合単価_021" localSheetId="13">#REF!</definedName>
    <definedName name="複合単価_021">#REF!</definedName>
    <definedName name="複合単価_022" localSheetId="12">#REF!</definedName>
    <definedName name="複合単価_022" localSheetId="9">#REF!</definedName>
    <definedName name="複合単価_022" localSheetId="11">#REF!</definedName>
    <definedName name="複合単価_022" localSheetId="10">#REF!</definedName>
    <definedName name="複合単価_022" localSheetId="13">#REF!</definedName>
    <definedName name="複合単価_022">#REF!</definedName>
    <definedName name="複合単価_023" localSheetId="12">#REF!</definedName>
    <definedName name="複合単価_023" localSheetId="9">#REF!</definedName>
    <definedName name="複合単価_023" localSheetId="11">#REF!</definedName>
    <definedName name="複合単価_023" localSheetId="10">#REF!</definedName>
    <definedName name="複合単価_023" localSheetId="13">#REF!</definedName>
    <definedName name="複合単価_023">#REF!</definedName>
    <definedName name="複合単価_024" localSheetId="12">#REF!</definedName>
    <definedName name="複合単価_024" localSheetId="9">#REF!</definedName>
    <definedName name="複合単価_024" localSheetId="11">#REF!</definedName>
    <definedName name="複合単価_024" localSheetId="10">#REF!</definedName>
    <definedName name="複合単価_024" localSheetId="13">#REF!</definedName>
    <definedName name="複合単価_024">#REF!</definedName>
    <definedName name="複合単価_025" localSheetId="12">#REF!</definedName>
    <definedName name="複合単価_025" localSheetId="9">#REF!</definedName>
    <definedName name="複合単価_025" localSheetId="11">#REF!</definedName>
    <definedName name="複合単価_025" localSheetId="10">#REF!</definedName>
    <definedName name="複合単価_025" localSheetId="13">#REF!</definedName>
    <definedName name="複合単価_025">#REF!</definedName>
    <definedName name="複合単価_026" localSheetId="12">#REF!</definedName>
    <definedName name="複合単価_026" localSheetId="9">#REF!</definedName>
    <definedName name="複合単価_026" localSheetId="11">#REF!</definedName>
    <definedName name="複合単価_026" localSheetId="10">#REF!</definedName>
    <definedName name="複合単価_026" localSheetId="13">#REF!</definedName>
    <definedName name="複合単価_026">#REF!</definedName>
    <definedName name="複合単価_027" localSheetId="12">#REF!</definedName>
    <definedName name="複合単価_027" localSheetId="9">#REF!</definedName>
    <definedName name="複合単価_027" localSheetId="11">#REF!</definedName>
    <definedName name="複合単価_027" localSheetId="10">#REF!</definedName>
    <definedName name="複合単価_027" localSheetId="13">#REF!</definedName>
    <definedName name="複合単価_027">#REF!</definedName>
    <definedName name="複合単価_028">#REF!</definedName>
    <definedName name="複合単価_029">#REF!</definedName>
    <definedName name="複合単価_030">#REF!</definedName>
    <definedName name="複合単価_031">#REF!</definedName>
    <definedName name="複合単価_032">#REF!</definedName>
    <definedName name="複合単価_033">#REF!</definedName>
    <definedName name="複合単価_034">#REF!</definedName>
    <definedName name="複合単価_035">#REF!</definedName>
    <definedName name="複合単価_036">#REF!</definedName>
    <definedName name="複合単価_037">#REF!</definedName>
    <definedName name="複合単価_038">#REF!</definedName>
    <definedName name="複合単価_039">#REF!</definedName>
    <definedName name="複合単価_040">#REF!</definedName>
    <definedName name="複合単価_041" localSheetId="12">#REF!</definedName>
    <definedName name="複合単価_041" localSheetId="9">#REF!</definedName>
    <definedName name="複合単価_041" localSheetId="11">#REF!</definedName>
    <definedName name="複合単価_041" localSheetId="10">#REF!</definedName>
    <definedName name="複合単価_041" localSheetId="13">#REF!</definedName>
    <definedName name="複合単価_041">#REF!</definedName>
    <definedName name="複合単価_042" localSheetId="12">#REF!</definedName>
    <definedName name="複合単価_042" localSheetId="9">#REF!</definedName>
    <definedName name="複合単価_042" localSheetId="11">#REF!</definedName>
    <definedName name="複合単価_042" localSheetId="10">#REF!</definedName>
    <definedName name="複合単価_042" localSheetId="13">#REF!</definedName>
    <definedName name="複合単価_042">#REF!</definedName>
    <definedName name="複合単価_043" localSheetId="12">#REF!</definedName>
    <definedName name="複合単価_043" localSheetId="9">#REF!</definedName>
    <definedName name="複合単価_043" localSheetId="11">#REF!</definedName>
    <definedName name="複合単価_043" localSheetId="10">#REF!</definedName>
    <definedName name="複合単価_043" localSheetId="13">#REF!</definedName>
    <definedName name="複合単価_043">#REF!</definedName>
    <definedName name="複合単価_044" localSheetId="12">#REF!</definedName>
    <definedName name="複合単価_044" localSheetId="9">#REF!</definedName>
    <definedName name="複合単価_044" localSheetId="11">#REF!</definedName>
    <definedName name="複合単価_044" localSheetId="10">#REF!</definedName>
    <definedName name="複合単価_044" localSheetId="13">#REF!</definedName>
    <definedName name="複合単価_044">#REF!</definedName>
    <definedName name="複合単価_045" localSheetId="12">#REF!</definedName>
    <definedName name="複合単価_045" localSheetId="9">#REF!</definedName>
    <definedName name="複合単価_045" localSheetId="11">#REF!</definedName>
    <definedName name="複合単価_045" localSheetId="10">#REF!</definedName>
    <definedName name="複合単価_045" localSheetId="13">#REF!</definedName>
    <definedName name="複合単価_045">#REF!</definedName>
    <definedName name="複合単価_046" localSheetId="12">#REF!</definedName>
    <definedName name="複合単価_046" localSheetId="9">#REF!</definedName>
    <definedName name="複合単価_046" localSheetId="11">#REF!</definedName>
    <definedName name="複合単価_046" localSheetId="10">#REF!</definedName>
    <definedName name="複合単価_046" localSheetId="13">#REF!</definedName>
    <definedName name="複合単価_046">#REF!</definedName>
    <definedName name="複合単価_047" localSheetId="12">#REF!</definedName>
    <definedName name="複合単価_047" localSheetId="9">#REF!</definedName>
    <definedName name="複合単価_047" localSheetId="11">#REF!</definedName>
    <definedName name="複合単価_047" localSheetId="10">#REF!</definedName>
    <definedName name="複合単価_047" localSheetId="13">#REF!</definedName>
    <definedName name="複合単価_047">#REF!</definedName>
    <definedName name="複合単価_048" localSheetId="12">#REF!</definedName>
    <definedName name="複合単価_048" localSheetId="9">#REF!</definedName>
    <definedName name="複合単価_048" localSheetId="11">#REF!</definedName>
    <definedName name="複合単価_048" localSheetId="10">#REF!</definedName>
    <definedName name="複合単価_048" localSheetId="13">#REF!</definedName>
    <definedName name="複合単価_048">#REF!</definedName>
    <definedName name="複合単価_049" localSheetId="12">#REF!</definedName>
    <definedName name="複合単価_049" localSheetId="9">#REF!</definedName>
    <definedName name="複合単価_049" localSheetId="11">#REF!</definedName>
    <definedName name="複合単価_049" localSheetId="10">#REF!</definedName>
    <definedName name="複合単価_049" localSheetId="13">#REF!</definedName>
    <definedName name="複合単価_049">#REF!</definedName>
    <definedName name="複合単価_050" localSheetId="12">#REF!</definedName>
    <definedName name="複合単価_050" localSheetId="9">#REF!</definedName>
    <definedName name="複合単価_050" localSheetId="11">#REF!</definedName>
    <definedName name="複合単価_050" localSheetId="10">#REF!</definedName>
    <definedName name="複合単価_050" localSheetId="13">#REF!</definedName>
    <definedName name="複合単価_050">#REF!</definedName>
    <definedName name="複合単価_051" localSheetId="12">#REF!</definedName>
    <definedName name="複合単価_051" localSheetId="9">#REF!</definedName>
    <definedName name="複合単価_051" localSheetId="11">#REF!</definedName>
    <definedName name="複合単価_051" localSheetId="10">#REF!</definedName>
    <definedName name="複合単価_051" localSheetId="13">#REF!</definedName>
    <definedName name="複合単価_051">#REF!</definedName>
    <definedName name="複合単価_052" localSheetId="12">#REF!</definedName>
    <definedName name="複合単価_052" localSheetId="9">#REF!</definedName>
    <definedName name="複合単価_052" localSheetId="11">#REF!</definedName>
    <definedName name="複合単価_052" localSheetId="10">#REF!</definedName>
    <definedName name="複合単価_052" localSheetId="13">#REF!</definedName>
    <definedName name="複合単価_052">#REF!</definedName>
    <definedName name="複合単価＿200">#REF!</definedName>
    <definedName name="複写範囲">#REF!</definedName>
    <definedName name="頁枚数" localSheetId="12">[3]表紙!#REF!</definedName>
    <definedName name="頁枚数" localSheetId="9">[3]表紙!#REF!</definedName>
    <definedName name="頁枚数" localSheetId="11">[3]表紙!#REF!</definedName>
    <definedName name="頁枚数" localSheetId="10">[3]表紙!#REF!</definedName>
    <definedName name="頁枚数" localSheetId="13">[3]表紙!#REF!</definedName>
    <definedName name="頁枚数">[3]表紙!#REF!</definedName>
    <definedName name="便所" localSheetId="12">[15]大項目!#REF!</definedName>
    <definedName name="便所" localSheetId="9">[15]大項目!#REF!</definedName>
    <definedName name="便所" localSheetId="11">[15]大項目!#REF!</definedName>
    <definedName name="便所" localSheetId="10">[15]大項目!#REF!</definedName>
    <definedName name="便所" localSheetId="13">[15]大項目!#REF!</definedName>
    <definedName name="便所">[15]大項目!#REF!</definedName>
    <definedName name="保温工">#REF!</definedName>
    <definedName name="補給率">#REF!</definedName>
    <definedName name="法面工">#REF!</definedName>
    <definedName name="防水工">#REF!</definedName>
    <definedName name="防水工事" localSheetId="12">#REF!</definedName>
    <definedName name="防水工事" localSheetId="9">#REF!</definedName>
    <definedName name="防水工事" localSheetId="11">#REF!</definedName>
    <definedName name="防水工事" localSheetId="10">#REF!</definedName>
    <definedName name="防水工事" localSheetId="13">#REF!</definedName>
    <definedName name="防水工事">#REF!</definedName>
    <definedName name="本工事費" localSheetId="12">#REF!</definedName>
    <definedName name="本工事費" localSheetId="9">#REF!</definedName>
    <definedName name="本工事費" localSheetId="11">#REF!</definedName>
    <definedName name="本工事費" localSheetId="10">#REF!</definedName>
    <definedName name="本工事費" localSheetId="13">#REF!</definedName>
    <definedName name="本工事費">#REF!</definedName>
    <definedName name="本体" localSheetId="12">[13]大項目!#REF!</definedName>
    <definedName name="本体" localSheetId="9">[13]大項目!#REF!</definedName>
    <definedName name="本体" localSheetId="11">[13]大項目!#REF!</definedName>
    <definedName name="本体" localSheetId="10">[13]大項目!#REF!</definedName>
    <definedName name="本体" localSheetId="13">[13]大項目!#REF!</definedName>
    <definedName name="本体">[13]大項目!#REF!</definedName>
    <definedName name="埋戻し" localSheetId="12">#REF!</definedName>
    <definedName name="埋戻し" localSheetId="9">#REF!</definedName>
    <definedName name="埋戻し" localSheetId="11">#REF!</definedName>
    <definedName name="埋戻し" localSheetId="10">#REF!</definedName>
    <definedName name="埋戻し" localSheetId="13">#REF!</definedName>
    <definedName name="埋戻し">#REF!</definedName>
    <definedName name="桝" localSheetId="12">#REF!</definedName>
    <definedName name="桝" localSheetId="9">#REF!</definedName>
    <definedName name="桝" localSheetId="11">#REF!</definedName>
    <definedName name="桝" localSheetId="10">#REF!</definedName>
    <definedName name="桝" localSheetId="13">#REF!</definedName>
    <definedName name="桝">#REF!</definedName>
    <definedName name="名____称" localSheetId="3">#REF!</definedName>
    <definedName name="名____称" localSheetId="14">#REF!</definedName>
    <definedName name="名____称" localSheetId="16">#REF!</definedName>
    <definedName name="名____称">#REF!</definedName>
    <definedName name="名称消去" localSheetId="12">[1]建築!#REF!</definedName>
    <definedName name="名称消去" localSheetId="9">[1]建築!#REF!</definedName>
    <definedName name="名称消去" localSheetId="11">[1]建築!#REF!</definedName>
    <definedName name="名称消去" localSheetId="10">[1]建築!#REF!</definedName>
    <definedName name="名称消去" localSheetId="13">[1]建築!#REF!</definedName>
    <definedName name="名称消去">[1]建築!#REF!</definedName>
    <definedName name="木工事" localSheetId="12">#REF!</definedName>
    <definedName name="木工事" localSheetId="9">#REF!</definedName>
    <definedName name="木工事" localSheetId="11">#REF!</definedName>
    <definedName name="木工事" localSheetId="10">#REF!</definedName>
    <definedName name="木工事" localSheetId="13">#REF!</definedName>
    <definedName name="木工事">#REF!</definedName>
    <definedName name="木製建具工事" localSheetId="12">#REF!</definedName>
    <definedName name="木製建具工事" localSheetId="9">#REF!</definedName>
    <definedName name="木製建具工事" localSheetId="11">#REF!</definedName>
    <definedName name="木製建具工事" localSheetId="10">#REF!</definedName>
    <definedName name="木製建具工事" localSheetId="13">#REF!</definedName>
    <definedName name="木製建具工事">#REF!</definedName>
    <definedName name="予定価格積算書">#REF!</definedName>
    <definedName name="溶接工">#REF!</definedName>
    <definedName name="理事_技師長">#REF!</definedName>
    <definedName name="労務原価">#REF!</definedName>
    <definedName name="労務単価">#REF!</definedName>
    <definedName name="労務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34" i="65" l="1"/>
  <c r="M34" i="65"/>
  <c r="K34" i="65"/>
  <c r="O33" i="65"/>
  <c r="M33" i="65"/>
  <c r="K33" i="65"/>
  <c r="I33" i="65"/>
  <c r="A33" i="65"/>
  <c r="O32" i="65"/>
  <c r="M32" i="65"/>
  <c r="K32" i="65"/>
  <c r="I32" i="65"/>
  <c r="O31" i="65"/>
  <c r="M31" i="65"/>
  <c r="K31" i="65"/>
  <c r="I31" i="65"/>
  <c r="O30" i="65"/>
  <c r="M30" i="65"/>
  <c r="K30" i="65"/>
  <c r="I30" i="65"/>
  <c r="O29" i="65"/>
  <c r="M29" i="65"/>
  <c r="K29" i="65"/>
  <c r="I29" i="65"/>
  <c r="O28" i="65"/>
  <c r="M28" i="65"/>
  <c r="K28" i="65"/>
  <c r="I28" i="65"/>
  <c r="O27" i="65"/>
  <c r="M27" i="65"/>
  <c r="K27" i="65"/>
  <c r="I27" i="65"/>
  <c r="O26" i="65"/>
  <c r="M26" i="65"/>
  <c r="K26" i="65"/>
  <c r="I26" i="65"/>
  <c r="O25" i="65"/>
  <c r="M25" i="65"/>
  <c r="K25" i="65"/>
  <c r="I25" i="65"/>
  <c r="F25" i="65"/>
  <c r="O24" i="65"/>
  <c r="M24" i="65"/>
  <c r="K24" i="65"/>
  <c r="I24" i="65"/>
  <c r="F24" i="65"/>
  <c r="O23" i="65"/>
  <c r="M23" i="65"/>
  <c r="K23" i="65"/>
  <c r="I23" i="65"/>
  <c r="F23" i="65"/>
  <c r="O22" i="65"/>
  <c r="M22" i="65"/>
  <c r="K22" i="65"/>
  <c r="I22" i="65"/>
  <c r="F22" i="65"/>
  <c r="O21" i="65"/>
  <c r="M21" i="65"/>
  <c r="K21" i="65"/>
  <c r="I21" i="65"/>
  <c r="F21" i="65"/>
  <c r="O20" i="65"/>
  <c r="M20" i="65"/>
  <c r="K20" i="65"/>
  <c r="I20" i="65"/>
  <c r="F20" i="65"/>
  <c r="O19" i="65"/>
  <c r="M19" i="65"/>
  <c r="K19" i="65"/>
  <c r="I19" i="65"/>
  <c r="F19" i="65"/>
  <c r="O18" i="65"/>
  <c r="M18" i="65"/>
  <c r="K18" i="65"/>
  <c r="I18" i="65"/>
  <c r="F18" i="65"/>
  <c r="O17" i="65"/>
  <c r="M17" i="65"/>
  <c r="K17" i="65"/>
  <c r="I17" i="65"/>
  <c r="F17" i="65"/>
  <c r="O16" i="65"/>
  <c r="M16" i="65"/>
  <c r="K16" i="65"/>
  <c r="I16" i="65"/>
  <c r="F16" i="65"/>
  <c r="O15" i="65"/>
  <c r="M15" i="65"/>
  <c r="K15" i="65"/>
  <c r="I15" i="65"/>
  <c r="F15" i="65"/>
  <c r="O14" i="65"/>
  <c r="M14" i="65"/>
  <c r="K14" i="65"/>
  <c r="I14" i="65"/>
  <c r="G14" i="65"/>
  <c r="F14" i="65"/>
  <c r="G13" i="65"/>
  <c r="O12" i="65"/>
  <c r="M12" i="65"/>
  <c r="I12" i="65"/>
  <c r="F12" i="65"/>
  <c r="O11" i="65"/>
  <c r="M11" i="65"/>
  <c r="O10" i="65"/>
  <c r="I10" i="65"/>
  <c r="F10" i="65"/>
  <c r="O9" i="65"/>
  <c r="I9" i="65"/>
  <c r="F9" i="65"/>
  <c r="O8" i="65"/>
  <c r="I8" i="65"/>
  <c r="F8" i="65"/>
  <c r="O7" i="65"/>
  <c r="I7" i="65"/>
  <c r="G7" i="65"/>
  <c r="F7" i="65"/>
  <c r="O6" i="65"/>
  <c r="M6" i="65"/>
  <c r="K6" i="65"/>
  <c r="I6" i="65"/>
  <c r="G6" i="65"/>
  <c r="F6" i="65"/>
  <c r="O5" i="65"/>
  <c r="M5" i="65"/>
  <c r="K5" i="65"/>
  <c r="I5" i="65"/>
  <c r="G5" i="65"/>
  <c r="F5" i="65"/>
  <c r="M58" i="64"/>
  <c r="M57" i="64"/>
  <c r="M56" i="64"/>
  <c r="M55" i="64"/>
  <c r="M53" i="64"/>
  <c r="M52" i="64"/>
  <c r="M51" i="64"/>
  <c r="M50" i="64"/>
  <c r="M49" i="64"/>
  <c r="K49" i="64"/>
  <c r="M48" i="64"/>
  <c r="M47" i="64"/>
  <c r="M46" i="64"/>
  <c r="M45" i="64"/>
  <c r="M44" i="64"/>
  <c r="M43" i="64"/>
  <c r="M42" i="64"/>
  <c r="M41" i="64"/>
  <c r="M40" i="64"/>
  <c r="M39" i="64"/>
  <c r="M38" i="64"/>
  <c r="M37" i="64"/>
  <c r="M36" i="64"/>
  <c r="M35" i="64"/>
  <c r="M34" i="64"/>
  <c r="M33" i="64"/>
  <c r="M32" i="64"/>
  <c r="M31" i="64"/>
  <c r="M30" i="64"/>
  <c r="M29" i="64"/>
  <c r="M28" i="64"/>
  <c r="M27" i="64"/>
  <c r="M26" i="64"/>
  <c r="M25" i="64"/>
  <c r="M24" i="64"/>
  <c r="M23" i="64"/>
  <c r="M22" i="64"/>
  <c r="M21" i="64"/>
  <c r="M20" i="64"/>
  <c r="M19" i="64"/>
  <c r="M18" i="64"/>
  <c r="M17" i="64"/>
  <c r="M16" i="64"/>
  <c r="M15" i="64"/>
  <c r="M14" i="64"/>
  <c r="M13" i="64"/>
  <c r="M12" i="64"/>
  <c r="M11" i="64"/>
  <c r="M10" i="64"/>
  <c r="M9" i="64"/>
  <c r="M8" i="64"/>
  <c r="M7" i="64"/>
  <c r="K7" i="64"/>
  <c r="M6" i="64"/>
  <c r="M5" i="64"/>
  <c r="K5" i="64"/>
  <c r="M4" i="64"/>
  <c r="O34" i="63"/>
  <c r="N34" i="63"/>
  <c r="M34" i="63"/>
  <c r="L34" i="63"/>
  <c r="K34" i="63"/>
  <c r="J34" i="63"/>
  <c r="O33" i="63"/>
  <c r="M33" i="63"/>
  <c r="K33" i="63"/>
  <c r="I33" i="63"/>
  <c r="F33" i="63"/>
  <c r="A33" i="63"/>
  <c r="O32" i="63"/>
  <c r="M32" i="63"/>
  <c r="K32" i="63"/>
  <c r="I32" i="63"/>
  <c r="O31" i="63"/>
  <c r="M31" i="63"/>
  <c r="K31" i="63"/>
  <c r="I31" i="63"/>
  <c r="O30" i="63"/>
  <c r="M30" i="63"/>
  <c r="K30" i="63"/>
  <c r="I30" i="63"/>
  <c r="O29" i="63"/>
  <c r="M29" i="63"/>
  <c r="K29" i="63"/>
  <c r="I29" i="63"/>
  <c r="O28" i="63"/>
  <c r="M28" i="63"/>
  <c r="K28" i="63"/>
  <c r="I28" i="63"/>
  <c r="O27" i="63"/>
  <c r="M27" i="63"/>
  <c r="K27" i="63"/>
  <c r="I27" i="63"/>
  <c r="O26" i="63"/>
  <c r="M26" i="63"/>
  <c r="K26" i="63"/>
  <c r="I26" i="63"/>
  <c r="O25" i="63"/>
  <c r="M25" i="63"/>
  <c r="K25" i="63"/>
  <c r="I25" i="63"/>
  <c r="F25" i="63"/>
  <c r="O24" i="63"/>
  <c r="M24" i="63"/>
  <c r="K24" i="63"/>
  <c r="I24" i="63"/>
  <c r="F24" i="63"/>
  <c r="O23" i="63"/>
  <c r="M23" i="63"/>
  <c r="K23" i="63"/>
  <c r="I23" i="63"/>
  <c r="F23" i="63"/>
  <c r="O22" i="63"/>
  <c r="M22" i="63"/>
  <c r="K22" i="63"/>
  <c r="I22" i="63"/>
  <c r="F22" i="63"/>
  <c r="O21" i="63"/>
  <c r="M21" i="63"/>
  <c r="K21" i="63"/>
  <c r="I21" i="63"/>
  <c r="F21" i="63"/>
  <c r="O20" i="63"/>
  <c r="M20" i="63"/>
  <c r="K20" i="63"/>
  <c r="I20" i="63"/>
  <c r="F20" i="63"/>
  <c r="O19" i="63"/>
  <c r="M19" i="63"/>
  <c r="K19" i="63"/>
  <c r="I19" i="63"/>
  <c r="F19" i="63"/>
  <c r="O18" i="63"/>
  <c r="M18" i="63"/>
  <c r="K18" i="63"/>
  <c r="I18" i="63"/>
  <c r="F18" i="63"/>
  <c r="O17" i="63"/>
  <c r="M17" i="63"/>
  <c r="K17" i="63"/>
  <c r="I17" i="63"/>
  <c r="F17" i="63"/>
  <c r="O16" i="63"/>
  <c r="M16" i="63"/>
  <c r="K16" i="63"/>
  <c r="I16" i="63"/>
  <c r="F16" i="63"/>
  <c r="O15" i="63"/>
  <c r="M15" i="63"/>
  <c r="K15" i="63"/>
  <c r="I15" i="63"/>
  <c r="F15" i="63"/>
  <c r="O14" i="63"/>
  <c r="M14" i="63"/>
  <c r="K14" i="63"/>
  <c r="I14" i="63"/>
  <c r="F14" i="63"/>
  <c r="O12" i="63"/>
  <c r="M12" i="63"/>
  <c r="K12" i="63"/>
  <c r="I12" i="63"/>
  <c r="F12" i="63"/>
  <c r="O11" i="63"/>
  <c r="M11" i="63"/>
  <c r="O10" i="63"/>
  <c r="M10" i="63"/>
  <c r="I10" i="63"/>
  <c r="F10" i="63"/>
  <c r="O9" i="63"/>
  <c r="M9" i="63"/>
  <c r="I9" i="63"/>
  <c r="F9" i="63"/>
  <c r="O8" i="63"/>
  <c r="I8" i="63"/>
  <c r="F8" i="63"/>
  <c r="O7" i="63"/>
  <c r="I7" i="63"/>
  <c r="F7" i="63"/>
  <c r="O6" i="63"/>
  <c r="M6" i="63"/>
  <c r="K6" i="63"/>
  <c r="I6" i="63"/>
  <c r="G6" i="63"/>
  <c r="F6" i="63"/>
  <c r="O5" i="63"/>
  <c r="M5" i="63"/>
  <c r="K5" i="63"/>
  <c r="I5" i="63"/>
  <c r="F5" i="63"/>
  <c r="G69" i="62"/>
  <c r="G57" i="62"/>
  <c r="G56" i="62"/>
  <c r="G55" i="62"/>
  <c r="G53" i="62"/>
  <c r="G52" i="62"/>
  <c r="G51" i="62"/>
  <c r="C48" i="62"/>
  <c r="G42" i="62"/>
  <c r="G41" i="62"/>
  <c r="G40" i="62"/>
  <c r="G36" i="62"/>
  <c r="G35" i="62"/>
  <c r="G34" i="62"/>
  <c r="G30" i="62"/>
  <c r="G29" i="62"/>
  <c r="G28" i="62"/>
  <c r="C25" i="62"/>
  <c r="G23" i="62"/>
  <c r="G19" i="62"/>
  <c r="G17" i="62"/>
  <c r="G16" i="62"/>
  <c r="G15" i="62"/>
  <c r="G14" i="62"/>
  <c r="G9" i="62"/>
  <c r="G8" i="62"/>
  <c r="G7" i="62"/>
  <c r="G6" i="62"/>
  <c r="C2" i="62"/>
  <c r="P32" i="57"/>
  <c r="M32" i="57"/>
  <c r="J32" i="57"/>
  <c r="P31" i="57"/>
  <c r="M31" i="57"/>
  <c r="J31" i="57"/>
  <c r="P30" i="57"/>
  <c r="M30" i="57"/>
  <c r="J30" i="57"/>
  <c r="P29" i="57"/>
  <c r="M29" i="57"/>
  <c r="J29" i="57"/>
  <c r="P28" i="57"/>
  <c r="M28" i="57"/>
  <c r="J28" i="57"/>
  <c r="P27" i="57"/>
  <c r="M27" i="57"/>
  <c r="J27" i="57"/>
  <c r="P26" i="57"/>
  <c r="M26" i="57"/>
  <c r="J26" i="57"/>
  <c r="P25" i="57"/>
  <c r="M25" i="57"/>
  <c r="J25" i="57"/>
  <c r="P24" i="57"/>
  <c r="M24" i="57"/>
  <c r="J24" i="57"/>
  <c r="P23" i="57"/>
  <c r="M23" i="57"/>
  <c r="J23" i="57"/>
  <c r="P22" i="57"/>
  <c r="M22" i="57"/>
  <c r="J22" i="57"/>
  <c r="P21" i="57"/>
  <c r="M21" i="57"/>
  <c r="J21" i="57"/>
  <c r="P20" i="57"/>
  <c r="M20" i="57"/>
  <c r="J20" i="57"/>
  <c r="P19" i="57"/>
  <c r="M19" i="57"/>
  <c r="J19" i="57"/>
  <c r="P18" i="57"/>
  <c r="M18" i="57"/>
  <c r="J18" i="57"/>
  <c r="P17" i="57"/>
  <c r="M17" i="57"/>
  <c r="J17" i="57"/>
  <c r="P16" i="57"/>
  <c r="M16" i="57"/>
  <c r="J16" i="57"/>
  <c r="P15" i="57"/>
  <c r="M15" i="57"/>
  <c r="J15" i="57"/>
  <c r="P14" i="57"/>
  <c r="M14" i="57"/>
  <c r="J14" i="57"/>
  <c r="P13" i="57"/>
  <c r="M13" i="57"/>
  <c r="J13" i="57"/>
  <c r="P12" i="57"/>
  <c r="M12" i="57"/>
  <c r="J12" i="57"/>
  <c r="P11" i="57"/>
  <c r="M11" i="57"/>
  <c r="J11" i="57"/>
  <c r="P10" i="57"/>
  <c r="M10" i="57"/>
  <c r="J10" i="57"/>
  <c r="P9" i="57"/>
  <c r="M9" i="57"/>
  <c r="J9" i="57"/>
  <c r="P8" i="57"/>
  <c r="M8" i="57"/>
  <c r="J8" i="57"/>
  <c r="P7" i="57"/>
  <c r="M7" i="57"/>
  <c r="J7" i="57"/>
  <c r="P6" i="57"/>
  <c r="M6" i="57"/>
  <c r="J6" i="57"/>
  <c r="P5" i="57"/>
  <c r="M5" i="57"/>
  <c r="J5" i="57"/>
  <c r="P34" i="58"/>
  <c r="O34" i="58"/>
  <c r="N34" i="58"/>
  <c r="M34" i="58"/>
  <c r="L34" i="58"/>
  <c r="K34" i="58"/>
  <c r="P33" i="58"/>
  <c r="N33" i="58"/>
  <c r="L33" i="58"/>
  <c r="J33" i="58"/>
  <c r="G33" i="58"/>
  <c r="B33" i="58"/>
  <c r="P32" i="58"/>
  <c r="N32" i="58"/>
  <c r="L32" i="58"/>
  <c r="J32" i="58"/>
  <c r="P31" i="58"/>
  <c r="N31" i="58"/>
  <c r="L31" i="58"/>
  <c r="J31" i="58"/>
  <c r="P30" i="58"/>
  <c r="N30" i="58"/>
  <c r="L30" i="58"/>
  <c r="J30" i="58"/>
  <c r="P29" i="58"/>
  <c r="N29" i="58"/>
  <c r="L29" i="58"/>
  <c r="J29" i="58"/>
  <c r="P28" i="58"/>
  <c r="N28" i="58"/>
  <c r="L28" i="58"/>
  <c r="J28" i="58"/>
  <c r="P27" i="58"/>
  <c r="N27" i="58"/>
  <c r="L27" i="58"/>
  <c r="J27" i="58"/>
  <c r="P26" i="58"/>
  <c r="N26" i="58"/>
  <c r="L26" i="58"/>
  <c r="J26" i="58"/>
  <c r="P25" i="58"/>
  <c r="N25" i="58"/>
  <c r="L25" i="58"/>
  <c r="J25" i="58"/>
  <c r="G25" i="58"/>
  <c r="P24" i="58"/>
  <c r="N24" i="58"/>
  <c r="L24" i="58"/>
  <c r="J24" i="58"/>
  <c r="G24" i="58"/>
  <c r="P23" i="58"/>
  <c r="N23" i="58"/>
  <c r="L23" i="58"/>
  <c r="J23" i="58"/>
  <c r="G23" i="58"/>
  <c r="P22" i="58"/>
  <c r="N22" i="58"/>
  <c r="L22" i="58"/>
  <c r="J22" i="58"/>
  <c r="G22" i="58"/>
  <c r="P21" i="58"/>
  <c r="N21" i="58"/>
  <c r="L21" i="58"/>
  <c r="J21" i="58"/>
  <c r="G21" i="58"/>
  <c r="P20" i="58"/>
  <c r="N20" i="58"/>
  <c r="L20" i="58"/>
  <c r="J20" i="58"/>
  <c r="G20" i="58"/>
  <c r="P19" i="58"/>
  <c r="N19" i="58"/>
  <c r="L19" i="58"/>
  <c r="J19" i="58"/>
  <c r="G19" i="58"/>
  <c r="P18" i="58"/>
  <c r="N18" i="58"/>
  <c r="L18" i="58"/>
  <c r="J18" i="58"/>
  <c r="G18" i="58"/>
  <c r="P17" i="58"/>
  <c r="N17" i="58"/>
  <c r="L17" i="58"/>
  <c r="J17" i="58"/>
  <c r="G17" i="58"/>
  <c r="P16" i="58"/>
  <c r="N16" i="58"/>
  <c r="L16" i="58"/>
  <c r="J16" i="58"/>
  <c r="G16" i="58"/>
  <c r="P15" i="58"/>
  <c r="N15" i="58"/>
  <c r="L15" i="58"/>
  <c r="J15" i="58"/>
  <c r="G15" i="58"/>
  <c r="P14" i="58"/>
  <c r="N14" i="58"/>
  <c r="L14" i="58"/>
  <c r="J14" i="58"/>
  <c r="G14" i="58"/>
  <c r="P12" i="58"/>
  <c r="N12" i="58"/>
  <c r="L12" i="58"/>
  <c r="J12" i="58"/>
  <c r="G12" i="58"/>
  <c r="P11" i="58"/>
  <c r="N11" i="58"/>
  <c r="P10" i="58"/>
  <c r="N10" i="58"/>
  <c r="P9" i="58"/>
  <c r="N9" i="58"/>
  <c r="P8" i="58"/>
  <c r="P7" i="58"/>
  <c r="P6" i="58"/>
  <c r="N6" i="58"/>
  <c r="L6" i="58"/>
  <c r="J6" i="58"/>
  <c r="I6" i="58"/>
  <c r="H6" i="58"/>
  <c r="G6" i="58"/>
  <c r="P5" i="58"/>
  <c r="N5" i="58"/>
  <c r="L5" i="58"/>
  <c r="J5" i="58"/>
  <c r="I5" i="58"/>
  <c r="H5" i="58"/>
  <c r="G5" i="58"/>
  <c r="P34" i="56"/>
  <c r="O34" i="56"/>
  <c r="N34" i="56"/>
  <c r="M34" i="56"/>
  <c r="L34" i="56"/>
  <c r="K34" i="56"/>
  <c r="P33" i="56"/>
  <c r="N33" i="56"/>
  <c r="L33" i="56"/>
  <c r="J33" i="56"/>
  <c r="G33" i="56"/>
  <c r="B33" i="56"/>
  <c r="P32" i="56"/>
  <c r="N32" i="56"/>
  <c r="L32" i="56"/>
  <c r="J32" i="56"/>
  <c r="P31" i="56"/>
  <c r="N31" i="56"/>
  <c r="L31" i="56"/>
  <c r="J31" i="56"/>
  <c r="P30" i="56"/>
  <c r="N30" i="56"/>
  <c r="L30" i="56"/>
  <c r="J30" i="56"/>
  <c r="P29" i="56"/>
  <c r="N29" i="56"/>
  <c r="L29" i="56"/>
  <c r="J29" i="56"/>
  <c r="P28" i="56"/>
  <c r="N28" i="56"/>
  <c r="L28" i="56"/>
  <c r="J28" i="56"/>
  <c r="P27" i="56"/>
  <c r="N27" i="56"/>
  <c r="L27" i="56"/>
  <c r="J27" i="56"/>
  <c r="P26" i="56"/>
  <c r="N26" i="56"/>
  <c r="L26" i="56"/>
  <c r="J26" i="56"/>
  <c r="P25" i="56"/>
  <c r="N25" i="56"/>
  <c r="L25" i="56"/>
  <c r="J25" i="56"/>
  <c r="G25" i="56"/>
  <c r="P24" i="56"/>
  <c r="N24" i="56"/>
  <c r="L24" i="56"/>
  <c r="J24" i="56"/>
  <c r="G24" i="56"/>
  <c r="P23" i="56"/>
  <c r="N23" i="56"/>
  <c r="L23" i="56"/>
  <c r="J23" i="56"/>
  <c r="G23" i="56"/>
  <c r="P22" i="56"/>
  <c r="N22" i="56"/>
  <c r="L22" i="56"/>
  <c r="J22" i="56"/>
  <c r="G22" i="56"/>
  <c r="P21" i="56"/>
  <c r="N21" i="56"/>
  <c r="L21" i="56"/>
  <c r="J21" i="56"/>
  <c r="G21" i="56"/>
  <c r="P20" i="56"/>
  <c r="N20" i="56"/>
  <c r="L20" i="56"/>
  <c r="J20" i="56"/>
  <c r="G20" i="56"/>
  <c r="P19" i="56"/>
  <c r="N19" i="56"/>
  <c r="L19" i="56"/>
  <c r="J19" i="56"/>
  <c r="G19" i="56"/>
  <c r="P18" i="56"/>
  <c r="N18" i="56"/>
  <c r="L18" i="56"/>
  <c r="J18" i="56"/>
  <c r="G18" i="56"/>
  <c r="P17" i="56"/>
  <c r="N17" i="56"/>
  <c r="L17" i="56"/>
  <c r="J17" i="56"/>
  <c r="G17" i="56"/>
  <c r="P16" i="56"/>
  <c r="N16" i="56"/>
  <c r="L16" i="56"/>
  <c r="J16" i="56"/>
  <c r="G16" i="56"/>
  <c r="P15" i="56"/>
  <c r="N15" i="56"/>
  <c r="L15" i="56"/>
  <c r="J15" i="56"/>
  <c r="G15" i="56"/>
  <c r="P14" i="56"/>
  <c r="N14" i="56"/>
  <c r="L14" i="56"/>
  <c r="J14" i="56"/>
  <c r="G14" i="56"/>
  <c r="P12" i="56"/>
  <c r="N12" i="56"/>
  <c r="L12" i="56"/>
  <c r="J12" i="56"/>
  <c r="G12" i="56"/>
  <c r="P11" i="56"/>
  <c r="N11" i="56"/>
  <c r="P10" i="56"/>
  <c r="N10" i="56"/>
  <c r="P9" i="56"/>
  <c r="N9" i="56"/>
  <c r="P8" i="56"/>
  <c r="P7" i="56"/>
  <c r="P6" i="56"/>
  <c r="N6" i="56"/>
  <c r="L6" i="56"/>
  <c r="J6" i="56"/>
  <c r="I6" i="56"/>
  <c r="H6" i="56"/>
  <c r="G6" i="56"/>
  <c r="P5" i="56"/>
  <c r="N5" i="56"/>
  <c r="L5" i="56"/>
  <c r="J5" i="56"/>
  <c r="I5" i="56"/>
  <c r="H5" i="56"/>
  <c r="G5" i="56"/>
  <c r="W26" i="55"/>
  <c r="W22" i="55"/>
  <c r="P11" i="55"/>
  <c r="G11" i="55"/>
  <c r="O10" i="55"/>
  <c r="N10" i="55"/>
  <c r="K10" i="55"/>
  <c r="P9" i="55"/>
  <c r="N9" i="55"/>
  <c r="L9" i="55"/>
  <c r="G9" i="55"/>
  <c r="E9" i="55"/>
  <c r="C9" i="55"/>
  <c r="P7" i="55"/>
  <c r="G7" i="55"/>
  <c r="O6" i="55"/>
  <c r="N6" i="55"/>
  <c r="K6" i="55"/>
  <c r="P5" i="55"/>
  <c r="N5" i="55"/>
  <c r="L5" i="55"/>
  <c r="G5" i="55"/>
  <c r="E5" i="55"/>
  <c r="C5" i="55"/>
  <c r="G92" i="52"/>
  <c r="G90" i="52"/>
  <c r="G77" i="52"/>
  <c r="G76" i="52"/>
  <c r="C71" i="52"/>
  <c r="G69" i="52"/>
  <c r="G67" i="52"/>
  <c r="G53" i="52"/>
  <c r="C48" i="52"/>
  <c r="G46" i="52"/>
  <c r="G44" i="52"/>
  <c r="G30" i="52"/>
  <c r="C25" i="52"/>
  <c r="G23" i="52"/>
  <c r="G21" i="52"/>
  <c r="G14" i="52"/>
  <c r="G13" i="52"/>
  <c r="G12" i="52"/>
  <c r="G11" i="52"/>
  <c r="G8" i="52"/>
  <c r="G7" i="52"/>
  <c r="C2" i="52"/>
  <c r="M48" i="39"/>
  <c r="M47" i="39"/>
  <c r="M16" i="39"/>
  <c r="L16" i="39"/>
  <c r="J16" i="39"/>
  <c r="M13" i="39"/>
  <c r="L13" i="39"/>
  <c r="J13" i="39"/>
  <c r="M10" i="39"/>
  <c r="L10" i="39"/>
  <c r="J10" i="39"/>
  <c r="M7" i="39"/>
  <c r="L7" i="39"/>
  <c r="J7" i="39"/>
  <c r="C2" i="39"/>
  <c r="G69" i="51"/>
  <c r="G67" i="51"/>
  <c r="G53" i="51"/>
  <c r="G52" i="51"/>
  <c r="C48" i="51"/>
  <c r="G46" i="51"/>
  <c r="G44" i="51"/>
  <c r="G40" i="51"/>
  <c r="G39" i="51"/>
  <c r="G38" i="51"/>
  <c r="G37" i="51"/>
  <c r="F37" i="51"/>
  <c r="G36" i="51"/>
  <c r="F36" i="51"/>
  <c r="G35" i="51"/>
  <c r="F35" i="51"/>
  <c r="G34" i="51"/>
  <c r="F34" i="51"/>
  <c r="G33" i="51"/>
  <c r="F33" i="51"/>
  <c r="G32" i="51"/>
  <c r="F32" i="51"/>
  <c r="G31" i="51"/>
  <c r="F31" i="51"/>
  <c r="G30" i="51"/>
  <c r="F30" i="51"/>
  <c r="C25" i="51"/>
  <c r="G23" i="51"/>
  <c r="G21" i="51"/>
  <c r="G19" i="51"/>
  <c r="G18" i="51"/>
  <c r="G17" i="51"/>
  <c r="G15" i="51"/>
  <c r="G9" i="51"/>
  <c r="G8" i="51"/>
  <c r="C2" i="51"/>
  <c r="S25" i="35"/>
  <c r="R25" i="35"/>
  <c r="M25" i="35"/>
  <c r="J25" i="35"/>
  <c r="G25" i="35"/>
  <c r="U17" i="35"/>
  <c r="T17" i="35"/>
  <c r="S17" i="35"/>
  <c r="R17" i="35"/>
  <c r="P17" i="35"/>
  <c r="O17" i="35"/>
  <c r="N17" i="35"/>
  <c r="M17" i="35"/>
  <c r="J17" i="35"/>
  <c r="G17" i="35"/>
  <c r="U16" i="35"/>
  <c r="T16" i="35"/>
  <c r="S16" i="35"/>
  <c r="R16" i="35"/>
  <c r="P16" i="35"/>
  <c r="O16" i="35"/>
  <c r="N16" i="35"/>
  <c r="M16" i="35"/>
  <c r="J16" i="35"/>
  <c r="G16" i="35"/>
  <c r="U15" i="35"/>
  <c r="T15" i="35"/>
  <c r="S15" i="35"/>
  <c r="R15" i="35"/>
  <c r="P15" i="35"/>
  <c r="O15" i="35"/>
  <c r="N15" i="35"/>
  <c r="M15" i="35"/>
  <c r="J15" i="35"/>
  <c r="G15" i="35"/>
  <c r="U14" i="35"/>
  <c r="T14" i="35"/>
  <c r="S14" i="35"/>
  <c r="R14" i="35"/>
  <c r="P14" i="35"/>
  <c r="O14" i="35"/>
  <c r="N14" i="35"/>
  <c r="M14" i="35"/>
  <c r="J14" i="35"/>
  <c r="G14" i="35"/>
  <c r="U13" i="35"/>
  <c r="T13" i="35"/>
  <c r="S13" i="35"/>
  <c r="R13" i="35"/>
  <c r="P13" i="35"/>
  <c r="O13" i="35"/>
  <c r="N13" i="35"/>
  <c r="M13" i="35"/>
  <c r="J13" i="35"/>
  <c r="G13" i="35"/>
  <c r="U12" i="35"/>
  <c r="T12" i="35"/>
  <c r="S12" i="35"/>
  <c r="R12" i="35"/>
  <c r="P12" i="35"/>
  <c r="O12" i="35"/>
  <c r="N12" i="35"/>
  <c r="M12" i="35"/>
  <c r="J12" i="35"/>
  <c r="G12" i="35"/>
  <c r="U11" i="35"/>
  <c r="T11" i="35"/>
  <c r="S11" i="35"/>
  <c r="R11" i="35"/>
  <c r="P11" i="35"/>
  <c r="O11" i="35"/>
  <c r="N11" i="35"/>
  <c r="M11" i="35"/>
  <c r="J11" i="35"/>
  <c r="G11" i="35"/>
  <c r="U10" i="35"/>
  <c r="T10" i="35"/>
  <c r="S10" i="35"/>
  <c r="R10" i="35"/>
  <c r="P10" i="35"/>
  <c r="O10" i="35"/>
  <c r="N10" i="35"/>
  <c r="M10" i="35"/>
  <c r="L10" i="35"/>
  <c r="J10" i="35"/>
  <c r="I10" i="35"/>
  <c r="G10" i="35"/>
  <c r="O9" i="35"/>
  <c r="B2" i="35"/>
  <c r="S40" i="32"/>
  <c r="R40" i="32"/>
  <c r="M40" i="32"/>
  <c r="J40" i="32"/>
  <c r="G40" i="32"/>
  <c r="U39" i="32"/>
  <c r="T39" i="32"/>
  <c r="P39" i="32"/>
  <c r="O39" i="32"/>
  <c r="N39" i="32"/>
  <c r="G39" i="32"/>
  <c r="U38" i="32"/>
  <c r="T38" i="32"/>
  <c r="P38" i="32"/>
  <c r="O38" i="32"/>
  <c r="N38" i="32"/>
  <c r="G38" i="32"/>
  <c r="U37" i="32"/>
  <c r="T37" i="32"/>
  <c r="P37" i="32"/>
  <c r="O37" i="32"/>
  <c r="N37" i="32"/>
  <c r="G37" i="32"/>
  <c r="U36" i="32"/>
  <c r="T36" i="32"/>
  <c r="P36" i="32"/>
  <c r="O36" i="32"/>
  <c r="N36" i="32"/>
  <c r="G36" i="32"/>
  <c r="U35" i="32"/>
  <c r="T35" i="32"/>
  <c r="P35" i="32"/>
  <c r="O35" i="32"/>
  <c r="N35" i="32"/>
  <c r="G35" i="32"/>
  <c r="U34" i="32"/>
  <c r="T34" i="32"/>
  <c r="P34" i="32"/>
  <c r="O34" i="32"/>
  <c r="N34" i="32"/>
  <c r="G34" i="32"/>
  <c r="U33" i="32"/>
  <c r="T33" i="32"/>
  <c r="P33" i="32"/>
  <c r="O33" i="32"/>
  <c r="N33" i="32"/>
  <c r="G33" i="32"/>
  <c r="U32" i="32"/>
  <c r="T32" i="32"/>
  <c r="P32" i="32"/>
  <c r="O32" i="32"/>
  <c r="N32" i="32"/>
  <c r="G32" i="32"/>
  <c r="U31" i="32"/>
  <c r="T31" i="32"/>
  <c r="P31" i="32"/>
  <c r="O31" i="32"/>
  <c r="N31" i="32"/>
  <c r="G31" i="32"/>
  <c r="U30" i="32"/>
  <c r="T30" i="32"/>
  <c r="P30" i="32"/>
  <c r="O30" i="32"/>
  <c r="N30" i="32"/>
  <c r="G30" i="32"/>
  <c r="U29" i="32"/>
  <c r="T29" i="32"/>
  <c r="P29" i="32"/>
  <c r="O29" i="32"/>
  <c r="N29" i="32"/>
  <c r="G29" i="32"/>
  <c r="U28" i="32"/>
  <c r="T28" i="32"/>
  <c r="P28" i="32"/>
  <c r="O28" i="32"/>
  <c r="N28" i="32"/>
  <c r="G28" i="32"/>
  <c r="U27" i="32"/>
  <c r="T27" i="32"/>
  <c r="P27" i="32"/>
  <c r="O27" i="32"/>
  <c r="N27" i="32"/>
  <c r="G27" i="32"/>
  <c r="U26" i="32"/>
  <c r="T26" i="32"/>
  <c r="P26" i="32"/>
  <c r="O26" i="32"/>
  <c r="N26" i="32"/>
  <c r="G26" i="32"/>
  <c r="U25" i="32"/>
  <c r="T25" i="32"/>
  <c r="P25" i="32"/>
  <c r="O25" i="32"/>
  <c r="N25" i="32"/>
  <c r="M25" i="32"/>
  <c r="J25" i="32"/>
  <c r="G25" i="32"/>
  <c r="U24" i="32"/>
  <c r="T24" i="32"/>
  <c r="P24" i="32"/>
  <c r="O24" i="32"/>
  <c r="N24" i="32"/>
  <c r="G24" i="32"/>
  <c r="U23" i="32"/>
  <c r="T23" i="32"/>
  <c r="P23" i="32"/>
  <c r="O23" i="32"/>
  <c r="N23" i="32"/>
  <c r="G23" i="32"/>
  <c r="U22" i="32"/>
  <c r="T22" i="32"/>
  <c r="P22" i="32"/>
  <c r="O22" i="32"/>
  <c r="N22" i="32"/>
  <c r="G22" i="32"/>
  <c r="U21" i="32"/>
  <c r="T21" i="32"/>
  <c r="P21" i="32"/>
  <c r="O21" i="32"/>
  <c r="N21" i="32"/>
  <c r="G21" i="32"/>
  <c r="U20" i="32"/>
  <c r="T20" i="32"/>
  <c r="P20" i="32"/>
  <c r="O20" i="32"/>
  <c r="N20" i="32"/>
  <c r="G20" i="32"/>
  <c r="U19" i="32"/>
  <c r="T19" i="32"/>
  <c r="P19" i="32"/>
  <c r="O19" i="32"/>
  <c r="N19" i="32"/>
  <c r="G19" i="32"/>
  <c r="U18" i="32"/>
  <c r="T18" i="32"/>
  <c r="P18" i="32"/>
  <c r="O18" i="32"/>
  <c r="N18" i="32"/>
  <c r="G18" i="32"/>
  <c r="U17" i="32"/>
  <c r="T17" i="32"/>
  <c r="P17" i="32"/>
  <c r="O17" i="32"/>
  <c r="N17" i="32"/>
  <c r="G17" i="32"/>
  <c r="U16" i="32"/>
  <c r="T16" i="32"/>
  <c r="P16" i="32"/>
  <c r="O16" i="32"/>
  <c r="N16" i="32"/>
  <c r="G16" i="32"/>
  <c r="U15" i="32"/>
  <c r="T15" i="32"/>
  <c r="P15" i="32"/>
  <c r="O15" i="32"/>
  <c r="N15" i="32"/>
  <c r="M15" i="32"/>
  <c r="J15" i="32"/>
  <c r="G15" i="32"/>
  <c r="U14" i="32"/>
  <c r="T14" i="32"/>
  <c r="P14" i="32"/>
  <c r="O14" i="32"/>
  <c r="N14" i="32"/>
  <c r="G14" i="32"/>
  <c r="U13" i="32"/>
  <c r="P13" i="32"/>
  <c r="O13" i="32"/>
  <c r="N13" i="32"/>
  <c r="G13" i="32"/>
  <c r="U12" i="32"/>
  <c r="T12" i="32"/>
  <c r="P12" i="32"/>
  <c r="O12" i="32"/>
  <c r="N12" i="32"/>
  <c r="G12" i="32"/>
  <c r="U11" i="32"/>
  <c r="T11" i="32"/>
  <c r="P11" i="32"/>
  <c r="O11" i="32"/>
  <c r="N11" i="32"/>
  <c r="M11" i="32"/>
  <c r="J11" i="32"/>
  <c r="G11" i="32"/>
  <c r="U10" i="32"/>
  <c r="T10" i="32"/>
  <c r="S10" i="32"/>
  <c r="R10" i="32"/>
  <c r="P10" i="32"/>
  <c r="O10" i="32"/>
  <c r="N10" i="32"/>
  <c r="M10" i="32"/>
  <c r="J10" i="32"/>
  <c r="G10" i="32"/>
  <c r="O9" i="32"/>
  <c r="B2" i="32"/>
  <c r="U24" i="47"/>
  <c r="S24" i="47"/>
  <c r="R24" i="47"/>
  <c r="P24" i="47"/>
  <c r="M24" i="47"/>
  <c r="J24" i="47"/>
  <c r="G24" i="47"/>
  <c r="U22" i="47"/>
  <c r="T22" i="47"/>
  <c r="S22" i="47"/>
  <c r="R22" i="47"/>
  <c r="P22" i="47"/>
  <c r="O22" i="47"/>
  <c r="N22" i="47"/>
  <c r="G22" i="47"/>
  <c r="U21" i="47"/>
  <c r="T21" i="47"/>
  <c r="S21" i="47"/>
  <c r="R21" i="47"/>
  <c r="P21" i="47"/>
  <c r="O21" i="47"/>
  <c r="N21" i="47"/>
  <c r="G21" i="47"/>
  <c r="U20" i="47"/>
  <c r="T20" i="47"/>
  <c r="S20" i="47"/>
  <c r="R20" i="47"/>
  <c r="P20" i="47"/>
  <c r="O20" i="47"/>
  <c r="N20" i="47"/>
  <c r="G20" i="47"/>
  <c r="U19" i="47"/>
  <c r="T19" i="47"/>
  <c r="S19" i="47"/>
  <c r="R19" i="47"/>
  <c r="P19" i="47"/>
  <c r="O19" i="47"/>
  <c r="N19" i="47"/>
  <c r="G19" i="47"/>
  <c r="U18" i="47"/>
  <c r="T18" i="47"/>
  <c r="S18" i="47"/>
  <c r="R18" i="47"/>
  <c r="P18" i="47"/>
  <c r="O18" i="47"/>
  <c r="N18" i="47"/>
  <c r="G18" i="47"/>
  <c r="U17" i="47"/>
  <c r="T17" i="47"/>
  <c r="S17" i="47"/>
  <c r="R17" i="47"/>
  <c r="P17" i="47"/>
  <c r="O17" i="47"/>
  <c r="N17" i="47"/>
  <c r="G17" i="47"/>
  <c r="U16" i="47"/>
  <c r="T16" i="47"/>
  <c r="S16" i="47"/>
  <c r="R16" i="47"/>
  <c r="P16" i="47"/>
  <c r="O16" i="47"/>
  <c r="N16" i="47"/>
  <c r="G16" i="47"/>
  <c r="U15" i="47"/>
  <c r="T15" i="47"/>
  <c r="S15" i="47"/>
  <c r="R15" i="47"/>
  <c r="P15" i="47"/>
  <c r="O15" i="47"/>
  <c r="N15" i="47"/>
  <c r="G15" i="47"/>
  <c r="U14" i="47"/>
  <c r="T14" i="47"/>
  <c r="S14" i="47"/>
  <c r="R14" i="47"/>
  <c r="P14" i="47"/>
  <c r="O14" i="47"/>
  <c r="N14" i="47"/>
  <c r="G14" i="47"/>
  <c r="U13" i="47"/>
  <c r="T13" i="47"/>
  <c r="S13" i="47"/>
  <c r="R13" i="47"/>
  <c r="P13" i="47"/>
  <c r="O13" i="47"/>
  <c r="N13" i="47"/>
  <c r="G13" i="47"/>
  <c r="U12" i="47"/>
  <c r="T12" i="47"/>
  <c r="S12" i="47"/>
  <c r="R12" i="47"/>
  <c r="P12" i="47"/>
  <c r="O12" i="47"/>
  <c r="N12" i="47"/>
  <c r="G12" i="47"/>
  <c r="U11" i="47"/>
  <c r="T11" i="47"/>
  <c r="S11" i="47"/>
  <c r="R11" i="47"/>
  <c r="P11" i="47"/>
  <c r="O11" i="47"/>
  <c r="N11" i="47"/>
  <c r="G11" i="47"/>
  <c r="U10" i="47"/>
  <c r="T10" i="47"/>
  <c r="S10" i="47"/>
  <c r="R10" i="47"/>
  <c r="P10" i="47"/>
  <c r="O10" i="47"/>
  <c r="N10" i="47"/>
  <c r="M10" i="47"/>
  <c r="J10" i="47"/>
  <c r="G10" i="47"/>
  <c r="O9" i="47"/>
  <c r="B2" i="47"/>
  <c r="S24" i="31"/>
  <c r="R24" i="31"/>
  <c r="M24" i="31"/>
  <c r="J24" i="31"/>
  <c r="G24" i="31"/>
  <c r="U22" i="31"/>
  <c r="T22" i="31"/>
  <c r="P22" i="31"/>
  <c r="O22" i="31"/>
  <c r="N22" i="31"/>
  <c r="J22" i="31"/>
  <c r="G22" i="31"/>
  <c r="U21" i="31"/>
  <c r="T21" i="31"/>
  <c r="P21" i="31"/>
  <c r="O21" i="31"/>
  <c r="N21" i="31"/>
  <c r="J21" i="31"/>
  <c r="G21" i="31"/>
  <c r="U20" i="31"/>
  <c r="T20" i="31"/>
  <c r="P20" i="31"/>
  <c r="O20" i="31"/>
  <c r="N20" i="31"/>
  <c r="J20" i="31"/>
  <c r="G20" i="31"/>
  <c r="U19" i="31"/>
  <c r="T19" i="31"/>
  <c r="P19" i="31"/>
  <c r="O19" i="31"/>
  <c r="N19" i="31"/>
  <c r="J19" i="31"/>
  <c r="G19" i="31"/>
  <c r="U18" i="31"/>
  <c r="T18" i="31"/>
  <c r="P18" i="31"/>
  <c r="O18" i="31"/>
  <c r="N18" i="31"/>
  <c r="J18" i="31"/>
  <c r="G18" i="31"/>
  <c r="U17" i="31"/>
  <c r="T17" i="31"/>
  <c r="P17" i="31"/>
  <c r="O17" i="31"/>
  <c r="N17" i="31"/>
  <c r="J17" i="31"/>
  <c r="G17" i="31"/>
  <c r="U16" i="31"/>
  <c r="T16" i="31"/>
  <c r="P16" i="31"/>
  <c r="O16" i="31"/>
  <c r="N16" i="31"/>
  <c r="J16" i="31"/>
  <c r="G16" i="31"/>
  <c r="U15" i="31"/>
  <c r="T15" i="31"/>
  <c r="P15" i="31"/>
  <c r="O15" i="31"/>
  <c r="N15" i="31"/>
  <c r="J15" i="31"/>
  <c r="G15" i="31"/>
  <c r="U14" i="31"/>
  <c r="T14" i="31"/>
  <c r="P14" i="31"/>
  <c r="O14" i="31"/>
  <c r="N14" i="31"/>
  <c r="J14" i="31"/>
  <c r="G14" i="31"/>
  <c r="U13" i="31"/>
  <c r="T13" i="31"/>
  <c r="P13" i="31"/>
  <c r="O13" i="31"/>
  <c r="N13" i="31"/>
  <c r="J13" i="31"/>
  <c r="G13" i="31"/>
  <c r="U12" i="31"/>
  <c r="T12" i="31"/>
  <c r="P12" i="31"/>
  <c r="O12" i="31"/>
  <c r="N12" i="31"/>
  <c r="J12" i="31"/>
  <c r="I12" i="31"/>
  <c r="G12" i="31"/>
  <c r="U11" i="31"/>
  <c r="T11" i="31"/>
  <c r="S11" i="31"/>
  <c r="R11" i="31"/>
  <c r="P11" i="31"/>
  <c r="O11" i="31"/>
  <c r="N11" i="31"/>
  <c r="J11" i="31"/>
  <c r="I11" i="31"/>
  <c r="G11" i="31"/>
  <c r="U10" i="31"/>
  <c r="T10" i="31"/>
  <c r="S10" i="31"/>
  <c r="R10" i="31"/>
  <c r="P10" i="31"/>
  <c r="O10" i="31"/>
  <c r="N10" i="31"/>
  <c r="M10" i="31"/>
  <c r="J10" i="31"/>
  <c r="G10" i="31"/>
  <c r="O9" i="31"/>
  <c r="B2" i="31"/>
  <c r="S25" i="30"/>
  <c r="R25" i="30"/>
  <c r="M25" i="30"/>
  <c r="J25" i="30"/>
  <c r="G25" i="30"/>
  <c r="U24" i="30"/>
  <c r="T24" i="30"/>
  <c r="S24" i="30"/>
  <c r="R24" i="30"/>
  <c r="P24" i="30"/>
  <c r="O24" i="30"/>
  <c r="N24" i="30"/>
  <c r="M24" i="30"/>
  <c r="J24" i="30"/>
  <c r="G24" i="30"/>
  <c r="U23" i="30"/>
  <c r="T23" i="30"/>
  <c r="S23" i="30"/>
  <c r="R23" i="30"/>
  <c r="P23" i="30"/>
  <c r="O23" i="30"/>
  <c r="N23" i="30"/>
  <c r="G23" i="30"/>
  <c r="F23" i="30"/>
  <c r="U22" i="30"/>
  <c r="T22" i="30"/>
  <c r="S22" i="30"/>
  <c r="R22" i="30"/>
  <c r="P22" i="30"/>
  <c r="O22" i="30"/>
  <c r="N22" i="30"/>
  <c r="M22" i="30"/>
  <c r="J22" i="30"/>
  <c r="G22" i="30"/>
  <c r="U17" i="30"/>
  <c r="T17" i="30"/>
  <c r="S17" i="30"/>
  <c r="R17" i="30"/>
  <c r="P17" i="30"/>
  <c r="O17" i="30"/>
  <c r="N17" i="30"/>
  <c r="M17" i="30"/>
  <c r="J17" i="30"/>
  <c r="G17" i="30"/>
  <c r="U16" i="30"/>
  <c r="T16" i="30"/>
  <c r="S16" i="30"/>
  <c r="R16" i="30"/>
  <c r="P16" i="30"/>
  <c r="O16" i="30"/>
  <c r="N16" i="30"/>
  <c r="M16" i="30"/>
  <c r="J16" i="30"/>
  <c r="I16" i="30"/>
  <c r="G16" i="30"/>
  <c r="F16" i="30"/>
  <c r="U15" i="30"/>
  <c r="T15" i="30"/>
  <c r="S15" i="30"/>
  <c r="R15" i="30"/>
  <c r="P15" i="30"/>
  <c r="O15" i="30"/>
  <c r="N15" i="30"/>
  <c r="M15" i="30"/>
  <c r="J15" i="30"/>
  <c r="G15" i="30"/>
  <c r="U14" i="30"/>
  <c r="T14" i="30"/>
  <c r="S14" i="30"/>
  <c r="R14" i="30"/>
  <c r="P14" i="30"/>
  <c r="O14" i="30"/>
  <c r="N14" i="30"/>
  <c r="M14" i="30"/>
  <c r="J14" i="30"/>
  <c r="I14" i="30"/>
  <c r="G14" i="30"/>
  <c r="F14" i="30"/>
  <c r="U13" i="30"/>
  <c r="T13" i="30"/>
  <c r="S13" i="30"/>
  <c r="R13" i="30"/>
  <c r="P13" i="30"/>
  <c r="O13" i="30"/>
  <c r="N13" i="30"/>
  <c r="M13" i="30"/>
  <c r="J13" i="30"/>
  <c r="G13" i="30"/>
  <c r="F13" i="30"/>
  <c r="U12" i="30"/>
  <c r="T12" i="30"/>
  <c r="S12" i="30"/>
  <c r="R12" i="30"/>
  <c r="P12" i="30"/>
  <c r="O12" i="30"/>
  <c r="N12" i="30"/>
  <c r="M12" i="30"/>
  <c r="J12" i="30"/>
  <c r="I12" i="30"/>
  <c r="G12" i="30"/>
  <c r="F12" i="30"/>
  <c r="U11" i="30"/>
  <c r="T11" i="30"/>
  <c r="S11" i="30"/>
  <c r="R11" i="30"/>
  <c r="P11" i="30"/>
  <c r="O11" i="30"/>
  <c r="N11" i="30"/>
  <c r="M11" i="30"/>
  <c r="J11" i="30"/>
  <c r="G11" i="30"/>
  <c r="F11" i="30"/>
  <c r="U10" i="30"/>
  <c r="T10" i="30"/>
  <c r="S10" i="30"/>
  <c r="R10" i="30"/>
  <c r="P10" i="30"/>
  <c r="O10" i="30"/>
  <c r="N10" i="30"/>
  <c r="M10" i="30"/>
  <c r="J10" i="30"/>
  <c r="I10" i="30"/>
  <c r="G10" i="30"/>
  <c r="F10" i="30"/>
  <c r="O9" i="30"/>
  <c r="B2" i="30"/>
  <c r="H532" i="60"/>
  <c r="G531" i="60"/>
  <c r="G530" i="60"/>
  <c r="G529" i="60"/>
  <c r="G528" i="60"/>
  <c r="G527" i="60"/>
  <c r="G526" i="60"/>
  <c r="G525" i="60"/>
  <c r="G524" i="60"/>
  <c r="G523" i="60"/>
  <c r="G522" i="60"/>
  <c r="G521" i="60"/>
  <c r="G520" i="60"/>
  <c r="G519" i="60"/>
  <c r="G518" i="60"/>
  <c r="G517" i="60"/>
  <c r="G516" i="60"/>
  <c r="G515" i="60"/>
  <c r="G514" i="60"/>
  <c r="G513" i="60"/>
  <c r="G512" i="60"/>
  <c r="G511" i="60"/>
  <c r="H508" i="60"/>
  <c r="G507" i="60"/>
  <c r="G506" i="60"/>
  <c r="G505" i="60"/>
  <c r="G504" i="60"/>
  <c r="G503" i="60"/>
  <c r="G502" i="60"/>
  <c r="G501" i="60"/>
  <c r="G500" i="60"/>
  <c r="G499" i="60"/>
  <c r="G498" i="60"/>
  <c r="G497" i="60"/>
  <c r="G496" i="60"/>
  <c r="G495" i="60"/>
  <c r="G494" i="60"/>
  <c r="G493" i="60"/>
  <c r="G492" i="60"/>
  <c r="G491" i="60"/>
  <c r="G490" i="60"/>
  <c r="G489" i="60"/>
  <c r="G488" i="60"/>
  <c r="G487" i="60"/>
  <c r="H484" i="60"/>
  <c r="G483" i="60"/>
  <c r="G482" i="60"/>
  <c r="G481" i="60"/>
  <c r="G480" i="60"/>
  <c r="G479" i="60"/>
  <c r="G478" i="60"/>
  <c r="G477" i="60"/>
  <c r="G476" i="60"/>
  <c r="G475" i="60"/>
  <c r="G474" i="60"/>
  <c r="G473" i="60"/>
  <c r="G472" i="60"/>
  <c r="G471" i="60"/>
  <c r="G470" i="60"/>
  <c r="G469" i="60"/>
  <c r="G468" i="60"/>
  <c r="G467" i="60"/>
  <c r="G466" i="60"/>
  <c r="G465" i="60"/>
  <c r="G464" i="60"/>
  <c r="G463" i="60"/>
  <c r="H460" i="60"/>
  <c r="G459" i="60"/>
  <c r="G458" i="60"/>
  <c r="G457" i="60"/>
  <c r="G456" i="60"/>
  <c r="G455" i="60"/>
  <c r="G454" i="60"/>
  <c r="G453" i="60"/>
  <c r="G452" i="60"/>
  <c r="G451" i="60"/>
  <c r="G450" i="60"/>
  <c r="G449" i="60"/>
  <c r="G448" i="60"/>
  <c r="G447" i="60"/>
  <c r="G446" i="60"/>
  <c r="G445" i="60"/>
  <c r="G444" i="60"/>
  <c r="G443" i="60"/>
  <c r="G442" i="60"/>
  <c r="G441" i="60"/>
  <c r="G440" i="60"/>
  <c r="G439" i="60"/>
  <c r="H436" i="60"/>
  <c r="H412" i="60"/>
  <c r="H388" i="60"/>
  <c r="H364" i="60"/>
  <c r="H340" i="60"/>
  <c r="H316" i="60"/>
  <c r="H292" i="60"/>
  <c r="H268" i="60"/>
  <c r="G266" i="60"/>
  <c r="G250" i="60"/>
  <c r="G249" i="60"/>
  <c r="H244" i="60"/>
  <c r="G242" i="60"/>
  <c r="G241" i="60"/>
  <c r="G240" i="60"/>
  <c r="G239" i="60"/>
  <c r="G238" i="60"/>
  <c r="G237" i="60"/>
  <c r="G236" i="60"/>
  <c r="G235" i="60"/>
  <c r="G234" i="60"/>
  <c r="G233" i="60"/>
  <c r="G232" i="60"/>
  <c r="G231" i="60"/>
  <c r="G230" i="60"/>
  <c r="G229" i="60"/>
  <c r="G228" i="60"/>
  <c r="G227" i="60"/>
  <c r="G226" i="60"/>
  <c r="G225" i="60"/>
  <c r="G224" i="60"/>
  <c r="H220" i="60"/>
  <c r="G218" i="60"/>
  <c r="G216" i="60"/>
  <c r="G215" i="60"/>
  <c r="G214" i="60"/>
  <c r="G213" i="60"/>
  <c r="G212" i="60"/>
  <c r="G211" i="60"/>
  <c r="G210" i="60"/>
  <c r="G209" i="60"/>
  <c r="G208" i="60"/>
  <c r="G207" i="60"/>
  <c r="G206" i="60"/>
  <c r="G205" i="60"/>
  <c r="G204" i="60"/>
  <c r="G203" i="60"/>
  <c r="G202" i="60"/>
  <c r="G201" i="60"/>
  <c r="G200" i="60"/>
  <c r="H196" i="60"/>
  <c r="G194" i="60"/>
  <c r="G192" i="60"/>
  <c r="G191" i="60"/>
  <c r="G190" i="60"/>
  <c r="G189" i="60"/>
  <c r="G188" i="60"/>
  <c r="G187" i="60"/>
  <c r="G186" i="60"/>
  <c r="G185" i="60"/>
  <c r="G184" i="60"/>
  <c r="G183" i="60"/>
  <c r="G182" i="60"/>
  <c r="G181" i="60"/>
  <c r="G180" i="60"/>
  <c r="G179" i="60"/>
  <c r="G178" i="60"/>
  <c r="G177" i="60"/>
  <c r="G176" i="60"/>
  <c r="H172" i="60"/>
  <c r="G170" i="60"/>
  <c r="G168" i="60"/>
  <c r="G167" i="60"/>
  <c r="G166" i="60"/>
  <c r="G165" i="60"/>
  <c r="G164" i="60"/>
  <c r="G163" i="60"/>
  <c r="G162" i="60"/>
  <c r="G161" i="60"/>
  <c r="G160" i="60"/>
  <c r="G159" i="60"/>
  <c r="G158" i="60"/>
  <c r="G157" i="60"/>
  <c r="G156" i="60"/>
  <c r="G155" i="60"/>
  <c r="G154" i="60"/>
  <c r="G153" i="60"/>
  <c r="G152" i="60"/>
  <c r="H148" i="60"/>
  <c r="G146" i="60"/>
  <c r="G144" i="60"/>
  <c r="G143" i="60"/>
  <c r="G142" i="60"/>
  <c r="G141" i="60"/>
  <c r="G140" i="60"/>
  <c r="G139" i="60"/>
  <c r="G138" i="60"/>
  <c r="G137" i="60"/>
  <c r="G136" i="60"/>
  <c r="G135" i="60"/>
  <c r="G134" i="60"/>
  <c r="G133" i="60"/>
  <c r="G132" i="60"/>
  <c r="G131" i="60"/>
  <c r="G130" i="60"/>
  <c r="G129" i="60"/>
  <c r="G128" i="60"/>
  <c r="G127" i="60"/>
  <c r="H123" i="60"/>
  <c r="G121" i="60"/>
  <c r="G120" i="60"/>
  <c r="G119" i="60"/>
  <c r="G118" i="60"/>
  <c r="G117" i="60"/>
  <c r="G116" i="60"/>
  <c r="G115" i="60"/>
  <c r="G114" i="60"/>
  <c r="G113" i="60"/>
  <c r="G112" i="60"/>
  <c r="G111" i="60"/>
  <c r="G110" i="60"/>
  <c r="G109" i="60"/>
  <c r="G108" i="60"/>
  <c r="G107" i="60"/>
  <c r="G106" i="60"/>
  <c r="G105" i="60"/>
  <c r="G104" i="60"/>
  <c r="G103" i="60"/>
  <c r="G102" i="60"/>
  <c r="H98" i="60"/>
  <c r="G96" i="60"/>
  <c r="G83" i="60"/>
  <c r="F83" i="60"/>
  <c r="G82" i="60"/>
  <c r="F82" i="60"/>
  <c r="G81" i="60"/>
  <c r="F81" i="60"/>
  <c r="G80" i="60"/>
  <c r="F80" i="60"/>
  <c r="G79" i="60"/>
  <c r="F79" i="60"/>
  <c r="G78" i="60"/>
  <c r="F78" i="60"/>
  <c r="H74" i="60"/>
  <c r="G72" i="60"/>
  <c r="G71" i="60"/>
  <c r="G70" i="60"/>
  <c r="G69" i="60"/>
  <c r="G68" i="60"/>
  <c r="G67" i="60"/>
  <c r="G66" i="60"/>
  <c r="G65" i="60"/>
  <c r="G64" i="60"/>
  <c r="G63" i="60"/>
  <c r="G62" i="60"/>
  <c r="G61" i="60"/>
  <c r="G60" i="60"/>
  <c r="G59" i="60"/>
  <c r="G58" i="60"/>
  <c r="G57" i="60"/>
  <c r="G56" i="60"/>
  <c r="G55" i="60"/>
  <c r="G54" i="60"/>
  <c r="H50" i="60"/>
  <c r="G48" i="60"/>
  <c r="G38" i="60"/>
  <c r="G37" i="60"/>
  <c r="G36" i="60"/>
  <c r="G35" i="60"/>
  <c r="G34" i="60"/>
  <c r="G33" i="60"/>
  <c r="G32" i="60"/>
  <c r="G31" i="60"/>
  <c r="G30" i="60"/>
  <c r="G29" i="60"/>
  <c r="H25" i="60"/>
  <c r="G23" i="60"/>
  <c r="G20" i="59"/>
  <c r="G5" i="59"/>
  <c r="H74" i="54"/>
  <c r="G72" i="54"/>
  <c r="G65" i="54"/>
  <c r="G64" i="54"/>
  <c r="G63" i="54"/>
  <c r="G62" i="54"/>
  <c r="G61" i="54"/>
  <c r="G60" i="54"/>
  <c r="G59" i="54"/>
  <c r="G58" i="54"/>
  <c r="G57" i="54"/>
  <c r="G56" i="54"/>
  <c r="G55" i="54"/>
  <c r="G54" i="54"/>
  <c r="H50" i="54"/>
  <c r="G46" i="54"/>
  <c r="G45" i="54"/>
  <c r="G44" i="54"/>
  <c r="G43" i="54"/>
  <c r="G42" i="54"/>
  <c r="G41" i="54"/>
  <c r="G40" i="54"/>
  <c r="G39" i="54"/>
  <c r="G38" i="54"/>
  <c r="G37" i="54"/>
  <c r="G36" i="54"/>
  <c r="G35" i="54"/>
  <c r="G34" i="54"/>
  <c r="G33" i="54"/>
  <c r="G32" i="54"/>
  <c r="G31" i="54"/>
  <c r="G30" i="54"/>
  <c r="G29" i="54"/>
  <c r="G28" i="54"/>
  <c r="H25" i="54"/>
  <c r="G24" i="54"/>
  <c r="G23" i="54"/>
  <c r="G22" i="54"/>
  <c r="G21" i="54"/>
  <c r="G20" i="54"/>
  <c r="G19" i="54"/>
  <c r="G18" i="54"/>
  <c r="G17" i="54"/>
  <c r="G16" i="54"/>
  <c r="G15" i="54"/>
  <c r="G14" i="54"/>
  <c r="G13" i="54"/>
  <c r="G12" i="54"/>
  <c r="G11" i="54"/>
  <c r="G10" i="54"/>
  <c r="G9" i="54"/>
  <c r="G8" i="54"/>
  <c r="G7" i="54"/>
  <c r="G6" i="54"/>
  <c r="G5" i="54"/>
  <c r="G20" i="53"/>
  <c r="G5" i="53"/>
  <c r="H239" i="29"/>
  <c r="H216" i="29"/>
  <c r="G214" i="29"/>
  <c r="G212" i="29"/>
  <c r="F212" i="29"/>
  <c r="G209" i="29"/>
  <c r="F209" i="29"/>
  <c r="G208" i="29"/>
  <c r="F208" i="29"/>
  <c r="G207" i="29"/>
  <c r="F207" i="29"/>
  <c r="G206" i="29"/>
  <c r="F206" i="29"/>
  <c r="G205" i="29"/>
  <c r="F205" i="29"/>
  <c r="G204" i="29"/>
  <c r="F204" i="29"/>
  <c r="G203" i="29"/>
  <c r="F203" i="29"/>
  <c r="G202" i="29"/>
  <c r="F202" i="29"/>
  <c r="G201" i="29"/>
  <c r="F201" i="29"/>
  <c r="G200" i="29"/>
  <c r="F200" i="29"/>
  <c r="G199" i="29"/>
  <c r="F199" i="29"/>
  <c r="G198" i="29"/>
  <c r="F198" i="29"/>
  <c r="G197" i="29"/>
  <c r="F197" i="29"/>
  <c r="H192" i="29"/>
  <c r="G185" i="29"/>
  <c r="F185" i="29"/>
  <c r="G184" i="29"/>
  <c r="F184" i="29"/>
  <c r="G183" i="29"/>
  <c r="F183" i="29"/>
  <c r="G182" i="29"/>
  <c r="F182" i="29"/>
  <c r="G181" i="29"/>
  <c r="F181" i="29"/>
  <c r="G180" i="29"/>
  <c r="F180" i="29"/>
  <c r="G179" i="29"/>
  <c r="F179" i="29"/>
  <c r="G178" i="29"/>
  <c r="F178" i="29"/>
  <c r="G177" i="29"/>
  <c r="F177" i="29"/>
  <c r="G176" i="29"/>
  <c r="F176" i="29"/>
  <c r="G175" i="29"/>
  <c r="F175" i="29"/>
  <c r="G174" i="29"/>
  <c r="F174" i="29"/>
  <c r="G173" i="29"/>
  <c r="F173" i="29"/>
  <c r="H168" i="29"/>
  <c r="G166" i="29"/>
  <c r="G152" i="29"/>
  <c r="G151" i="29"/>
  <c r="G150" i="29"/>
  <c r="G149" i="29"/>
  <c r="G148" i="29"/>
  <c r="H144" i="29"/>
  <c r="G142" i="29"/>
  <c r="G141" i="29"/>
  <c r="G139" i="29"/>
  <c r="G138" i="29"/>
  <c r="G137" i="29"/>
  <c r="G136" i="29"/>
  <c r="G135" i="29"/>
  <c r="G134" i="29"/>
  <c r="G133" i="29"/>
  <c r="G132" i="29"/>
  <c r="G131" i="29"/>
  <c r="G130" i="29"/>
  <c r="G129" i="29"/>
  <c r="F128" i="29"/>
  <c r="G127" i="29"/>
  <c r="F127" i="29"/>
  <c r="G126" i="29"/>
  <c r="F126" i="29"/>
  <c r="G125" i="29"/>
  <c r="F125" i="29"/>
  <c r="H120" i="29"/>
  <c r="G118" i="29"/>
  <c r="G116" i="29"/>
  <c r="F116" i="29"/>
  <c r="G115" i="29"/>
  <c r="F115" i="29"/>
  <c r="G114" i="29"/>
  <c r="G113" i="29"/>
  <c r="G112" i="29"/>
  <c r="G110" i="29"/>
  <c r="G109" i="29"/>
  <c r="G106" i="29"/>
  <c r="F106" i="29"/>
  <c r="G104" i="29"/>
  <c r="F104" i="29"/>
  <c r="G103" i="29"/>
  <c r="F103" i="29"/>
  <c r="G102" i="29"/>
  <c r="G101" i="29"/>
  <c r="G100" i="29"/>
  <c r="G99" i="29"/>
  <c r="H96" i="29"/>
  <c r="G95" i="29"/>
  <c r="G94" i="29"/>
  <c r="G93" i="29"/>
  <c r="G91" i="29"/>
  <c r="G90" i="29"/>
  <c r="G89" i="29"/>
  <c r="G83" i="29"/>
  <c r="G82" i="29"/>
  <c r="G81" i="29"/>
  <c r="G80" i="29"/>
  <c r="G79" i="29"/>
  <c r="H72" i="29"/>
  <c r="G70" i="29"/>
  <c r="G55" i="29"/>
  <c r="F55" i="29"/>
  <c r="G53" i="29"/>
  <c r="F53" i="29"/>
  <c r="G52" i="29"/>
  <c r="F52" i="29"/>
  <c r="G51" i="29"/>
  <c r="F51" i="29"/>
  <c r="H48" i="29"/>
  <c r="G46" i="29"/>
  <c r="G43" i="29"/>
  <c r="F43" i="29"/>
  <c r="G38" i="29"/>
  <c r="F38" i="29"/>
  <c r="G33" i="29"/>
  <c r="F33" i="29"/>
  <c r="G28" i="29"/>
  <c r="F28" i="29"/>
  <c r="H24" i="29"/>
  <c r="G20" i="29"/>
  <c r="F20" i="29"/>
  <c r="G15" i="29"/>
  <c r="F15" i="29"/>
  <c r="G10" i="29"/>
  <c r="F10" i="29"/>
  <c r="G5" i="29"/>
  <c r="F5" i="29"/>
  <c r="G22" i="28"/>
  <c r="G8" i="28"/>
  <c r="G7" i="28"/>
  <c r="G6" i="28"/>
  <c r="G5" i="28"/>
  <c r="H24" i="4"/>
  <c r="G22" i="4"/>
  <c r="G7" i="4"/>
  <c r="G6" i="4"/>
  <c r="G5" i="4"/>
  <c r="G24" i="1"/>
  <c r="G21" i="1"/>
  <c r="G19" i="1"/>
  <c r="G17" i="1"/>
  <c r="G16" i="1"/>
  <c r="G14" i="1"/>
  <c r="G13" i="1"/>
  <c r="G11" i="1"/>
  <c r="G10" i="1"/>
  <c r="G8" i="1"/>
  <c r="G6" i="1"/>
  <c r="G5" i="1"/>
</calcChain>
</file>

<file path=xl/sharedStrings.xml><?xml version="1.0" encoding="utf-8"?>
<sst xmlns="http://schemas.openxmlformats.org/spreadsheetml/2006/main" count="2484" uniqueCount="1011">
  <si>
    <t xml:space="preserve">    名　　  称</t>
    <phoneticPr fontId="48"/>
  </si>
  <si>
    <t xml:space="preserve">仕  　　様  </t>
    <phoneticPr fontId="48"/>
  </si>
  <si>
    <t xml:space="preserve">設計･監理    株式会社  大幸建築設計事務所 </t>
    <phoneticPr fontId="48"/>
  </si>
  <si>
    <t>備考</t>
    <rPh sb="0" eb="2">
      <t>ビコウ</t>
    </rPh>
    <phoneticPr fontId="48"/>
  </si>
  <si>
    <t>現場管理費</t>
  </si>
  <si>
    <t>数量</t>
    <rPh sb="0" eb="2">
      <t>スウリョウ</t>
    </rPh>
    <phoneticPr fontId="48"/>
  </si>
  <si>
    <t>単位</t>
    <rPh sb="0" eb="1">
      <t>タン</t>
    </rPh>
    <rPh sb="1" eb="2">
      <t>イ</t>
    </rPh>
    <phoneticPr fontId="48"/>
  </si>
  <si>
    <t>設</t>
    <rPh sb="0" eb="1">
      <t>セツ</t>
    </rPh>
    <phoneticPr fontId="48"/>
  </si>
  <si>
    <t>設計年月日</t>
    <rPh sb="0" eb="2">
      <t>セッケイ</t>
    </rPh>
    <rPh sb="2" eb="5">
      <t>ネンガッピ</t>
    </rPh>
    <phoneticPr fontId="48"/>
  </si>
  <si>
    <t>起工年月日</t>
    <rPh sb="0" eb="2">
      <t>キコウ</t>
    </rPh>
    <rPh sb="2" eb="5">
      <t>ネンガッピ</t>
    </rPh>
    <phoneticPr fontId="48"/>
  </si>
  <si>
    <t>施工方法</t>
    <rPh sb="0" eb="2">
      <t>セコウ</t>
    </rPh>
    <rPh sb="2" eb="4">
      <t>ホウホウ</t>
    </rPh>
    <phoneticPr fontId="48"/>
  </si>
  <si>
    <t>施工期間</t>
    <rPh sb="0" eb="2">
      <t>セコウ</t>
    </rPh>
    <rPh sb="2" eb="4">
      <t>キカン</t>
    </rPh>
    <phoneticPr fontId="48"/>
  </si>
  <si>
    <t>竣工年月日</t>
    <rPh sb="0" eb="2">
      <t>シュンコウ</t>
    </rPh>
    <rPh sb="2" eb="5">
      <t>ネンガッピ</t>
    </rPh>
    <phoneticPr fontId="48"/>
  </si>
  <si>
    <t>請負</t>
    <rPh sb="0" eb="2">
      <t>ウケオイ</t>
    </rPh>
    <phoneticPr fontId="48"/>
  </si>
  <si>
    <t>工事　場所</t>
    <rPh sb="0" eb="2">
      <t>コウジ</t>
    </rPh>
    <rPh sb="3" eb="5">
      <t>バショ</t>
    </rPh>
    <phoneticPr fontId="48"/>
  </si>
  <si>
    <t>式</t>
    <rPh sb="0" eb="1">
      <t>シキ</t>
    </rPh>
    <phoneticPr fontId="48"/>
  </si>
  <si>
    <t>電気設備工事</t>
    <rPh sb="0" eb="2">
      <t>デンキ</t>
    </rPh>
    <rPh sb="2" eb="4">
      <t>セツビ</t>
    </rPh>
    <rPh sb="4" eb="6">
      <t>コウジ</t>
    </rPh>
    <phoneticPr fontId="48"/>
  </si>
  <si>
    <t>計</t>
    <rPh sb="0" eb="1">
      <t>ケイ</t>
    </rPh>
    <phoneticPr fontId="48"/>
  </si>
  <si>
    <t>総合計</t>
  </si>
  <si>
    <t>一般管理費</t>
  </si>
  <si>
    <t>単価</t>
  </si>
  <si>
    <t>金額</t>
  </si>
  <si>
    <t>摘要</t>
  </si>
  <si>
    <t xml:space="preserve">設計･監理    株式会社  大幸建築設計事務所 </t>
  </si>
  <si>
    <t>式</t>
  </si>
  <si>
    <t>改め総計</t>
    <rPh sb="0" eb="1">
      <t>アラタ</t>
    </rPh>
    <phoneticPr fontId="48"/>
  </si>
  <si>
    <t xml:space="preserve">    名　　  称</t>
    <phoneticPr fontId="48"/>
  </si>
  <si>
    <t xml:space="preserve">仕  　　様  </t>
    <phoneticPr fontId="48"/>
  </si>
  <si>
    <t>共通仮設費</t>
    <phoneticPr fontId="48"/>
  </si>
  <si>
    <t xml:space="preserve">    名　　  称</t>
    <phoneticPr fontId="48"/>
  </si>
  <si>
    <t xml:space="preserve">仕  　　様  </t>
    <phoneticPr fontId="48"/>
  </si>
  <si>
    <t>輪之内町地内</t>
    <phoneticPr fontId="48"/>
  </si>
  <si>
    <t>輪教工第  号</t>
    <phoneticPr fontId="48"/>
  </si>
  <si>
    <t>電気設備工事</t>
    <rPh sb="0" eb="6">
      <t>デンキセツビコウジ</t>
    </rPh>
    <phoneticPr fontId="48"/>
  </si>
  <si>
    <t>空調設備改修工事</t>
    <rPh sb="0" eb="2">
      <t>クウチョウ</t>
    </rPh>
    <rPh sb="2" eb="4">
      <t>セツビ</t>
    </rPh>
    <rPh sb="4" eb="6">
      <t>カイシュウ</t>
    </rPh>
    <rPh sb="6" eb="8">
      <t>コウジ</t>
    </rPh>
    <phoneticPr fontId="48"/>
  </si>
  <si>
    <t>10％</t>
    <phoneticPr fontId="48"/>
  </si>
  <si>
    <t>空調設備配管工事</t>
    <rPh sb="0" eb="4">
      <t>クウチョウセツビ</t>
    </rPh>
    <rPh sb="4" eb="6">
      <t>ハイカン</t>
    </rPh>
    <rPh sb="6" eb="8">
      <t>コウジ</t>
    </rPh>
    <phoneticPr fontId="2"/>
  </si>
  <si>
    <t>電気設備工事</t>
    <rPh sb="0" eb="6">
      <t>デンキセツビコウジ</t>
    </rPh>
    <phoneticPr fontId="2"/>
  </si>
  <si>
    <t>直接工事費</t>
    <rPh sb="0" eb="5">
      <t>チョクセツコウジヒ</t>
    </rPh>
    <phoneticPr fontId="48"/>
  </si>
  <si>
    <t>直接工事費計</t>
    <rPh sb="0" eb="5">
      <t>チョクセツコウジヒ</t>
    </rPh>
    <rPh sb="5" eb="6">
      <t>ケイ</t>
    </rPh>
    <phoneticPr fontId="48"/>
  </si>
  <si>
    <t>Ⅰ</t>
    <phoneticPr fontId="48"/>
  </si>
  <si>
    <t>Ⅱ</t>
    <phoneticPr fontId="48"/>
  </si>
  <si>
    <t>Ⅲ</t>
    <phoneticPr fontId="48"/>
  </si>
  <si>
    <t>Ⅳ</t>
    <phoneticPr fontId="48"/>
  </si>
  <si>
    <t>直接工事費計×共通仮設率</t>
    <phoneticPr fontId="48"/>
  </si>
  <si>
    <t>純工事費計×現場管理費率</t>
    <phoneticPr fontId="48"/>
  </si>
  <si>
    <t>工事原価×一般管理費率</t>
    <phoneticPr fontId="48"/>
  </si>
  <si>
    <t>純工事費計</t>
    <rPh sb="0" eb="4">
      <t>ジュンコウジヒ</t>
    </rPh>
    <rPh sb="4" eb="5">
      <t>ケイ</t>
    </rPh>
    <phoneticPr fontId="48"/>
  </si>
  <si>
    <t>工事原価</t>
    <rPh sb="0" eb="4">
      <t>コウジゲンカ</t>
    </rPh>
    <phoneticPr fontId="48"/>
  </si>
  <si>
    <t>工事価格</t>
    <rPh sb="0" eb="4">
      <t>コウジカカク</t>
    </rPh>
    <phoneticPr fontId="48"/>
  </si>
  <si>
    <t>Ⅴ</t>
    <phoneticPr fontId="48"/>
  </si>
  <si>
    <t>消費税類及び地方消費税</t>
    <rPh sb="3" eb="4">
      <t>ルイ</t>
    </rPh>
    <rPh sb="4" eb="5">
      <t>オヨ</t>
    </rPh>
    <rPh sb="6" eb="8">
      <t>チホウ</t>
    </rPh>
    <rPh sb="8" eb="11">
      <t>ショウヒゼイ</t>
    </rPh>
    <phoneticPr fontId="48"/>
  </si>
  <si>
    <t>Ｂ</t>
    <phoneticPr fontId="48"/>
  </si>
  <si>
    <t>台</t>
    <rPh sb="0" eb="1">
      <t>ダイ</t>
    </rPh>
    <phoneticPr fontId="54"/>
  </si>
  <si>
    <t>式</t>
    <rPh sb="0" eb="1">
      <t>シキ</t>
    </rPh>
    <phoneticPr fontId="54"/>
  </si>
  <si>
    <t>ヵ所</t>
    <rPh sb="1" eb="2">
      <t>ショ</t>
    </rPh>
    <phoneticPr fontId="54"/>
  </si>
  <si>
    <t>計</t>
    <rPh sb="0" eb="1">
      <t>ケイ</t>
    </rPh>
    <phoneticPr fontId="54"/>
  </si>
  <si>
    <t>工事名称：</t>
    <rPh sb="0" eb="2">
      <t>コウジ</t>
    </rPh>
    <rPh sb="2" eb="4">
      <t>メイショウ</t>
    </rPh>
    <phoneticPr fontId="48"/>
  </si>
  <si>
    <t>工事種別：</t>
    <rPh sb="0" eb="2">
      <t>コウジ</t>
    </rPh>
    <rPh sb="2" eb="4">
      <t>シュベツ</t>
    </rPh>
    <phoneticPr fontId="48"/>
  </si>
  <si>
    <t>掛率種別：</t>
    <rPh sb="0" eb="1">
      <t>カ</t>
    </rPh>
    <rPh sb="1" eb="2">
      <t>リツ</t>
    </rPh>
    <rPh sb="2" eb="4">
      <t>シュベツ</t>
    </rPh>
    <phoneticPr fontId="48"/>
  </si>
  <si>
    <t>％</t>
    <phoneticPr fontId="48"/>
  </si>
  <si>
    <t>採用メーカー名称</t>
    <rPh sb="0" eb="2">
      <t>サイヨウ</t>
    </rPh>
    <rPh sb="6" eb="8">
      <t>メイショウ</t>
    </rPh>
    <phoneticPr fontId="48"/>
  </si>
  <si>
    <t>№</t>
    <phoneticPr fontId="48"/>
  </si>
  <si>
    <t>名　　　　　　　　　　称</t>
    <rPh sb="0" eb="12">
      <t>メイショウ</t>
    </rPh>
    <phoneticPr fontId="48"/>
  </si>
  <si>
    <t>②　労　務　費</t>
    <rPh sb="2" eb="7">
      <t>ロウムヒ</t>
    </rPh>
    <phoneticPr fontId="48"/>
  </si>
  <si>
    <t>③</t>
    <phoneticPr fontId="48"/>
  </si>
  <si>
    <t>複合単価</t>
    <rPh sb="0" eb="2">
      <t>フクゴウ</t>
    </rPh>
    <rPh sb="2" eb="4">
      <t>タンカ</t>
    </rPh>
    <phoneticPr fontId="48"/>
  </si>
  <si>
    <t>　</t>
    <phoneticPr fontId="48"/>
  </si>
  <si>
    <t>名　　称</t>
    <phoneticPr fontId="48"/>
  </si>
  <si>
    <t>内　　容</t>
    <rPh sb="0" eb="4">
      <t>ナイヨウ</t>
    </rPh>
    <phoneticPr fontId="48"/>
  </si>
  <si>
    <t>単位</t>
    <rPh sb="0" eb="2">
      <t>タンイ</t>
    </rPh>
    <phoneticPr fontId="48"/>
  </si>
  <si>
    <t>掛率</t>
    <rPh sb="0" eb="2">
      <t>カケリツ</t>
    </rPh>
    <phoneticPr fontId="48"/>
  </si>
  <si>
    <t>①</t>
    <phoneticPr fontId="48"/>
  </si>
  <si>
    <t>歩掛</t>
    <rPh sb="0" eb="1">
      <t>ホ</t>
    </rPh>
    <rPh sb="1" eb="2">
      <t>カ</t>
    </rPh>
    <phoneticPr fontId="48"/>
  </si>
  <si>
    <t>賃金／日</t>
    <rPh sb="0" eb="2">
      <t>チンギン</t>
    </rPh>
    <rPh sb="3" eb="4">
      <t>ニチ</t>
    </rPh>
    <phoneticPr fontId="48"/>
  </si>
  <si>
    <t>その他</t>
    <rPh sb="0" eb="3">
      <t>ソノタ</t>
    </rPh>
    <phoneticPr fontId="48"/>
  </si>
  <si>
    <t>①+②+③</t>
    <phoneticPr fontId="48"/>
  </si>
  <si>
    <t>決定単価</t>
    <rPh sb="0" eb="2">
      <t>ケッテイ</t>
    </rPh>
    <rPh sb="2" eb="4">
      <t>タンカ</t>
    </rPh>
    <phoneticPr fontId="48"/>
  </si>
  <si>
    <t>備　　考</t>
    <rPh sb="0" eb="1">
      <t>ソノオ</t>
    </rPh>
    <rPh sb="3" eb="4">
      <t>コウ</t>
    </rPh>
    <phoneticPr fontId="48"/>
  </si>
  <si>
    <t>P.</t>
    <phoneticPr fontId="48"/>
  </si>
  <si>
    <t>単　価</t>
    <rPh sb="0" eb="3">
      <t>タンカ</t>
    </rPh>
    <phoneticPr fontId="48"/>
  </si>
  <si>
    <t>金　額</t>
    <rPh sb="0" eb="3">
      <t>キンガク</t>
    </rPh>
    <phoneticPr fontId="48"/>
  </si>
  <si>
    <t>最小価格</t>
    <phoneticPr fontId="48"/>
  </si>
  <si>
    <t>採用価格</t>
    <phoneticPr fontId="48"/>
  </si>
  <si>
    <t>作業員</t>
    <rPh sb="0" eb="3">
      <t>サギョウイン</t>
    </rPh>
    <phoneticPr fontId="48"/>
  </si>
  <si>
    <t>②×</t>
    <phoneticPr fontId="48"/>
  </si>
  <si>
    <t>（合　　計）</t>
    <rPh sb="1" eb="5">
      <t>ゴウケイ</t>
    </rPh>
    <phoneticPr fontId="48"/>
  </si>
  <si>
    <t>設備機械工</t>
    <rPh sb="0" eb="2">
      <t>セツビ</t>
    </rPh>
    <rPh sb="2" eb="4">
      <t>キカイ</t>
    </rPh>
    <rPh sb="4" eb="5">
      <t>コウ</t>
    </rPh>
    <phoneticPr fontId="48"/>
  </si>
  <si>
    <t>台</t>
    <rPh sb="0" eb="1">
      <t>ダイ</t>
    </rPh>
    <phoneticPr fontId="48"/>
  </si>
  <si>
    <t>合　　計</t>
    <rPh sb="0" eb="4">
      <t>ゴウケイ</t>
    </rPh>
    <phoneticPr fontId="48"/>
  </si>
  <si>
    <t>オーテック</t>
    <phoneticPr fontId="48"/>
  </si>
  <si>
    <t>森松工業</t>
    <rPh sb="0" eb="4">
      <t>モリマツコウギョウ</t>
    </rPh>
    <phoneticPr fontId="48"/>
  </si>
  <si>
    <t>代価2-1</t>
    <rPh sb="0" eb="2">
      <t>ダイカ</t>
    </rPh>
    <phoneticPr fontId="54"/>
  </si>
  <si>
    <t>名　　称</t>
    <rPh sb="0" eb="1">
      <t>ナ</t>
    </rPh>
    <rPh sb="3" eb="4">
      <t>ショウ</t>
    </rPh>
    <phoneticPr fontId="54"/>
  </si>
  <si>
    <t>仕　　様</t>
    <rPh sb="0" eb="1">
      <t>シ</t>
    </rPh>
    <rPh sb="3" eb="4">
      <t>サマ</t>
    </rPh>
    <phoneticPr fontId="54"/>
  </si>
  <si>
    <t>数量</t>
    <rPh sb="0" eb="2">
      <t>スウリョウ</t>
    </rPh>
    <phoneticPr fontId="54"/>
  </si>
  <si>
    <t>重量</t>
    <rPh sb="0" eb="2">
      <t>ジュウリョウ</t>
    </rPh>
    <phoneticPr fontId="54"/>
  </si>
  <si>
    <t>工費</t>
    <rPh sb="0" eb="2">
      <t>コウヒ</t>
    </rPh>
    <phoneticPr fontId="60"/>
  </si>
  <si>
    <t>工費計①</t>
    <rPh sb="0" eb="2">
      <t>コウヒ</t>
    </rPh>
    <rPh sb="2" eb="3">
      <t>ケイ</t>
    </rPh>
    <phoneticPr fontId="48"/>
  </si>
  <si>
    <t>合計</t>
    <rPh sb="0" eb="2">
      <t>ゴウケイ</t>
    </rPh>
    <phoneticPr fontId="48"/>
  </si>
  <si>
    <t>ton</t>
    <phoneticPr fontId="48"/>
  </si>
  <si>
    <t>搬入規準単価</t>
    <rPh sb="0" eb="2">
      <t>ハンニュウ</t>
    </rPh>
    <rPh sb="2" eb="6">
      <t>キジュンタンカ</t>
    </rPh>
    <phoneticPr fontId="54"/>
  </si>
  <si>
    <t>補正率</t>
    <rPh sb="0" eb="3">
      <t>ホセイリツ</t>
    </rPh>
    <phoneticPr fontId="48"/>
  </si>
  <si>
    <t>その他</t>
    <rPh sb="2" eb="3">
      <t>タ</t>
    </rPh>
    <phoneticPr fontId="48"/>
  </si>
  <si>
    <t>端数処理後</t>
    <rPh sb="0" eb="2">
      <t>ハスウ</t>
    </rPh>
    <rPh sb="2" eb="4">
      <t>ショリ</t>
    </rPh>
    <rPh sb="4" eb="5">
      <t>ゴ</t>
    </rPh>
    <phoneticPr fontId="48"/>
  </si>
  <si>
    <t>合計</t>
    <rPh sb="0" eb="2">
      <t>ゴウケイ</t>
    </rPh>
    <phoneticPr fontId="54"/>
  </si>
  <si>
    <t>.</t>
    <phoneticPr fontId="54"/>
  </si>
  <si>
    <t>A</t>
    <phoneticPr fontId="2"/>
  </si>
  <si>
    <t>B</t>
    <phoneticPr fontId="2"/>
  </si>
  <si>
    <t xml:space="preserve">令和      ６      年度 </t>
    <phoneticPr fontId="48"/>
  </si>
  <si>
    <t>　空調室外機架台</t>
    <rPh sb="1" eb="3">
      <t>クウチョウ</t>
    </rPh>
    <rPh sb="3" eb="6">
      <t>シツガイキ</t>
    </rPh>
    <rPh sb="6" eb="8">
      <t>カダイ</t>
    </rPh>
    <phoneticPr fontId="48"/>
  </si>
  <si>
    <t>符号</t>
  </si>
  <si>
    <t>名    称</t>
    <phoneticPr fontId="59"/>
  </si>
  <si>
    <t>摘    要</t>
  </si>
  <si>
    <t>数量</t>
  </si>
  <si>
    <t>単位</t>
  </si>
  <si>
    <t>備考</t>
  </si>
  <si>
    <t>代価1-1</t>
    <rPh sb="0" eb="2">
      <t>ダイカ</t>
    </rPh>
    <phoneticPr fontId="54"/>
  </si>
  <si>
    <t>m</t>
    <phoneticPr fontId="54"/>
  </si>
  <si>
    <t>端数処理</t>
    <rPh sb="0" eb="2">
      <t>ハスウ</t>
    </rPh>
    <rPh sb="2" eb="4">
      <t>ショリ</t>
    </rPh>
    <phoneticPr fontId="59"/>
  </si>
  <si>
    <t>小計</t>
    <rPh sb="0" eb="1">
      <t>ショウ</t>
    </rPh>
    <rPh sb="1" eb="2">
      <t>ケイ</t>
    </rPh>
    <phoneticPr fontId="59"/>
  </si>
  <si>
    <t>代価1-2</t>
    <rPh sb="0" eb="2">
      <t>ダイカ</t>
    </rPh>
    <phoneticPr fontId="54"/>
  </si>
  <si>
    <t>ドレン菅25A</t>
    <rPh sb="3" eb="4">
      <t>カン</t>
    </rPh>
    <phoneticPr fontId="54"/>
  </si>
  <si>
    <t>空調設備－機器搬入費</t>
    <rPh sb="0" eb="4">
      <t>クウチョウセツビ</t>
    </rPh>
    <rPh sb="5" eb="10">
      <t>キキハンニュウヒ</t>
    </rPh>
    <phoneticPr fontId="54"/>
  </si>
  <si>
    <t>代価3-1</t>
    <rPh sb="0" eb="2">
      <t>ダイカ</t>
    </rPh>
    <phoneticPr fontId="54"/>
  </si>
  <si>
    <t>個</t>
    <rPh sb="0" eb="1">
      <t>コ</t>
    </rPh>
    <phoneticPr fontId="48"/>
  </si>
  <si>
    <t>3-1</t>
    <phoneticPr fontId="48"/>
  </si>
  <si>
    <t>2-1</t>
    <phoneticPr fontId="48"/>
  </si>
  <si>
    <t>1-1</t>
    <phoneticPr fontId="48"/>
  </si>
  <si>
    <t>1-2</t>
    <phoneticPr fontId="48"/>
  </si>
  <si>
    <t>1-3</t>
    <phoneticPr fontId="48"/>
  </si>
  <si>
    <t>バルクタンク</t>
    <phoneticPr fontId="48"/>
  </si>
  <si>
    <t xml:space="preserve"> 1- 1．</t>
    <phoneticPr fontId="48"/>
  </si>
  <si>
    <t xml:space="preserve"> 1- 2．</t>
    <phoneticPr fontId="48"/>
  </si>
  <si>
    <t xml:space="preserve"> 1- 3．</t>
    <phoneticPr fontId="48"/>
  </si>
  <si>
    <t>GHP-1</t>
  </si>
  <si>
    <t xml:space="preserve"> </t>
  </si>
  <si>
    <t>ｶﾞｽﾋｰﾄﾎﾟﾝﾌﾟﾊﾟｯｹｰｼﾞｴｱｺﾝ</t>
  </si>
  <si>
    <t xml:space="preserve">室外機 </t>
  </si>
  <si>
    <t>冷房　56.0kw</t>
  </si>
  <si>
    <t>暖房　63.0kw</t>
  </si>
  <si>
    <t>GHP-1-1～4</t>
  </si>
  <si>
    <t>冷房　14.0kw</t>
  </si>
  <si>
    <t>暖房　16.0kw</t>
  </si>
  <si>
    <t>GHP-2</t>
  </si>
  <si>
    <t>GHP-2-1～4</t>
  </si>
  <si>
    <t>GHP-3</t>
  </si>
  <si>
    <t>GHP-3-1～4</t>
  </si>
  <si>
    <t>冷房　28.0kw</t>
  </si>
  <si>
    <t>暖房　31.5kw</t>
  </si>
  <si>
    <t>GHP-4</t>
    <phoneticPr fontId="54"/>
  </si>
  <si>
    <t xml:space="preserve"> 9.5mm </t>
  </si>
  <si>
    <t xml:space="preserve">        〃</t>
  </si>
  <si>
    <t xml:space="preserve">12.7mm </t>
  </si>
  <si>
    <t xml:space="preserve">15.9mm </t>
  </si>
  <si>
    <t xml:space="preserve">22.2mm </t>
  </si>
  <si>
    <t>自動制御設備工事</t>
    <rPh sb="0" eb="4">
      <t>ジドウセイギョ</t>
    </rPh>
    <rPh sb="4" eb="6">
      <t>セツビ</t>
    </rPh>
    <rPh sb="6" eb="8">
      <t>コウジ</t>
    </rPh>
    <phoneticPr fontId="54"/>
  </si>
  <si>
    <t>ガス設備工事</t>
    <rPh sb="2" eb="6">
      <t>セツビコウジ</t>
    </rPh>
    <phoneticPr fontId="54"/>
  </si>
  <si>
    <t>空調設備機器工事</t>
    <rPh sb="4" eb="6">
      <t>キキ</t>
    </rPh>
    <rPh sb="6" eb="8">
      <t>コウジ</t>
    </rPh>
    <phoneticPr fontId="2"/>
  </si>
  <si>
    <t>空調設備機器工事</t>
    <rPh sb="0" eb="2">
      <t>クウチョウ</t>
    </rPh>
    <rPh sb="2" eb="4">
      <t>セツビ</t>
    </rPh>
    <rPh sb="4" eb="6">
      <t>キキ</t>
    </rPh>
    <rPh sb="6" eb="8">
      <t>コウジ</t>
    </rPh>
    <phoneticPr fontId="54"/>
  </si>
  <si>
    <t>1-1</t>
    <phoneticPr fontId="54"/>
  </si>
  <si>
    <t>1-2</t>
    <phoneticPr fontId="54"/>
  </si>
  <si>
    <t>空調設備配管工事</t>
    <rPh sb="0" eb="2">
      <t>クウチョウ</t>
    </rPh>
    <rPh sb="2" eb="4">
      <t>セツビ</t>
    </rPh>
    <rPh sb="6" eb="8">
      <t>コウジ</t>
    </rPh>
    <phoneticPr fontId="54"/>
  </si>
  <si>
    <t>1-3</t>
    <phoneticPr fontId="54"/>
  </si>
  <si>
    <t>自動制御設備工事</t>
    <rPh sb="0" eb="2">
      <t>ジドウ</t>
    </rPh>
    <rPh sb="2" eb="4">
      <t>セイギョ</t>
    </rPh>
    <rPh sb="4" eb="6">
      <t>セツビ</t>
    </rPh>
    <rPh sb="6" eb="8">
      <t>コウジ</t>
    </rPh>
    <phoneticPr fontId="2"/>
  </si>
  <si>
    <t xml:space="preserve"> 1- 4．</t>
    <phoneticPr fontId="48"/>
  </si>
  <si>
    <t>ガス設備工事</t>
    <rPh sb="2" eb="4">
      <t>セツビ</t>
    </rPh>
    <rPh sb="4" eb="6">
      <t>コウジ</t>
    </rPh>
    <phoneticPr fontId="48"/>
  </si>
  <si>
    <t>ｶﾞｽﾋｰﾄﾎﾟﾝﾌﾟﾊﾟｯｹｰｼﾞｴｱｺﾝ10㏋</t>
    <phoneticPr fontId="54"/>
  </si>
  <si>
    <t>ｶﾞｽﾋｰﾄﾎﾟﾝﾌﾟﾊﾟｯｹｰｼﾞｴｱｺﾝ20㏋</t>
    <phoneticPr fontId="54"/>
  </si>
  <si>
    <t>付属品　自立ユニット（切替盤）</t>
    <rPh sb="0" eb="3">
      <t>フゾクヒン</t>
    </rPh>
    <rPh sb="4" eb="6">
      <t>ジリツ</t>
    </rPh>
    <rPh sb="11" eb="14">
      <t>キリカエバン</t>
    </rPh>
    <phoneticPr fontId="54"/>
  </si>
  <si>
    <t xml:space="preserve">自立型　室外機 </t>
    <rPh sb="0" eb="2">
      <t>ジリツ</t>
    </rPh>
    <rPh sb="2" eb="3">
      <t>カタ</t>
    </rPh>
    <phoneticPr fontId="54"/>
  </si>
  <si>
    <t>ｍ</t>
    <phoneticPr fontId="54"/>
  </si>
  <si>
    <t>ﾄﾞﾚﾝ管</t>
    <rPh sb="4" eb="5">
      <t>カン</t>
    </rPh>
    <phoneticPr fontId="54"/>
  </si>
  <si>
    <t>冷媒管</t>
    <rPh sb="2" eb="3">
      <t>カン</t>
    </rPh>
    <phoneticPr fontId="54"/>
  </si>
  <si>
    <t xml:space="preserve">28.6mm </t>
    <phoneticPr fontId="54"/>
  </si>
  <si>
    <t>GHP-1-1～4</t>
    <phoneticPr fontId="54"/>
  </si>
  <si>
    <t>GHP-2</t>
    <phoneticPr fontId="54"/>
  </si>
  <si>
    <t>GHP-2-1～4</t>
    <phoneticPr fontId="54"/>
  </si>
  <si>
    <t>GHP-3</t>
    <phoneticPr fontId="54"/>
  </si>
  <si>
    <t>GHP-3-1～4</t>
    <phoneticPr fontId="54"/>
  </si>
  <si>
    <t>伊藤工機</t>
    <rPh sb="0" eb="4">
      <t>イトウコウキ</t>
    </rPh>
    <phoneticPr fontId="54"/>
  </si>
  <si>
    <t>GBU-1　バルクタンク</t>
    <phoneticPr fontId="48"/>
  </si>
  <si>
    <t>ガスヒートポンプエアコン</t>
    <phoneticPr fontId="48"/>
  </si>
  <si>
    <t>バルクタンク＋加熱温水器</t>
    <rPh sb="7" eb="12">
      <t>カネツオンスイキ</t>
    </rPh>
    <phoneticPr fontId="48"/>
  </si>
  <si>
    <t>配管架台</t>
    <rPh sb="0" eb="4">
      <t>ハイカンカダイ</t>
    </rPh>
    <phoneticPr fontId="48"/>
  </si>
  <si>
    <t>ガス工事</t>
    <rPh sb="2" eb="4">
      <t>コウジ</t>
    </rPh>
    <phoneticPr fontId="48"/>
  </si>
  <si>
    <t>大垣ガス</t>
    <rPh sb="0" eb="2">
      <t>オオガキ</t>
    </rPh>
    <phoneticPr fontId="54"/>
  </si>
  <si>
    <t>基本工事</t>
    <rPh sb="0" eb="4">
      <t>キホンコウジ</t>
    </rPh>
    <phoneticPr fontId="48"/>
  </si>
  <si>
    <t>ガス配管（被覆鋼管）VL20A</t>
    <rPh sb="2" eb="4">
      <t>ハイカン</t>
    </rPh>
    <rPh sb="5" eb="9">
      <t>ヒフクコウカン</t>
    </rPh>
    <phoneticPr fontId="48"/>
  </si>
  <si>
    <t>ガス配管（被覆鋼管）VL50A</t>
    <rPh sb="2" eb="4">
      <t>ハイカン</t>
    </rPh>
    <rPh sb="5" eb="9">
      <t>ヒフクコウカン</t>
    </rPh>
    <phoneticPr fontId="48"/>
  </si>
  <si>
    <t>配管支持金具SUS</t>
    <rPh sb="0" eb="6">
      <t>ハイカンシジカナグ</t>
    </rPh>
    <phoneticPr fontId="48"/>
  </si>
  <si>
    <t>ガスフレキ50A-500</t>
    <phoneticPr fontId="48"/>
  </si>
  <si>
    <t>器具コック20A.GC20A</t>
    <rPh sb="0" eb="2">
      <t>キグ</t>
    </rPh>
    <phoneticPr fontId="48"/>
  </si>
  <si>
    <t>ガスメーター10号</t>
    <rPh sb="8" eb="9">
      <t>ゴウ</t>
    </rPh>
    <phoneticPr fontId="48"/>
  </si>
  <si>
    <t>メーターコック50A</t>
    <phoneticPr fontId="48"/>
  </si>
  <si>
    <t>メーター支持</t>
    <rPh sb="4" eb="6">
      <t>シジ</t>
    </rPh>
    <phoneticPr fontId="48"/>
  </si>
  <si>
    <t>小運搬費</t>
    <rPh sb="0" eb="1">
      <t>ショウ</t>
    </rPh>
    <rPh sb="1" eb="4">
      <t>ウンパンヒ</t>
    </rPh>
    <phoneticPr fontId="48"/>
  </si>
  <si>
    <t>m</t>
    <phoneticPr fontId="48"/>
  </si>
  <si>
    <t>ケ</t>
    <phoneticPr fontId="48"/>
  </si>
  <si>
    <t>本</t>
    <rPh sb="0" eb="1">
      <t>ホン</t>
    </rPh>
    <phoneticPr fontId="48"/>
  </si>
  <si>
    <t>部材（熱源機.調整器含む）</t>
    <rPh sb="0" eb="2">
      <t>ブザイ</t>
    </rPh>
    <rPh sb="3" eb="6">
      <t>ネツゲンキ</t>
    </rPh>
    <rPh sb="7" eb="10">
      <t>チョウセイキ</t>
    </rPh>
    <rPh sb="10" eb="11">
      <t>フク</t>
    </rPh>
    <phoneticPr fontId="48"/>
  </si>
  <si>
    <t>バルクシステム工場組込費用</t>
    <rPh sb="7" eb="9">
      <t>コウジョウ</t>
    </rPh>
    <rPh sb="9" eb="11">
      <t>クミコミ</t>
    </rPh>
    <rPh sb="11" eb="13">
      <t>ヒヨウ</t>
    </rPh>
    <phoneticPr fontId="48"/>
  </si>
  <si>
    <t>送料（バルク貯槽）</t>
    <rPh sb="0" eb="2">
      <t>ソウリョウ</t>
    </rPh>
    <rPh sb="6" eb="7">
      <t>チョ</t>
    </rPh>
    <rPh sb="7" eb="8">
      <t>ソウ</t>
    </rPh>
    <phoneticPr fontId="48"/>
  </si>
  <si>
    <t>XH-611EB</t>
    <phoneticPr fontId="48"/>
  </si>
  <si>
    <t>熱源機架台　SUS製</t>
    <rPh sb="0" eb="5">
      <t>ネツゲンキカダイ</t>
    </rPh>
    <rPh sb="9" eb="10">
      <t>セイ</t>
    </rPh>
    <phoneticPr fontId="48"/>
  </si>
  <si>
    <t>配管カバー</t>
    <rPh sb="0" eb="2">
      <t>ハイカン</t>
    </rPh>
    <phoneticPr fontId="48"/>
  </si>
  <si>
    <t>消火器20型</t>
    <rPh sb="0" eb="3">
      <t>ショウカキ</t>
    </rPh>
    <rPh sb="5" eb="6">
      <t>カタ</t>
    </rPh>
    <phoneticPr fontId="48"/>
  </si>
  <si>
    <t>消火器BOX　20型1本用（SUS製）</t>
    <rPh sb="0" eb="3">
      <t>ショウカキ</t>
    </rPh>
    <rPh sb="9" eb="10">
      <t>カタ</t>
    </rPh>
    <rPh sb="11" eb="12">
      <t>ホン</t>
    </rPh>
    <rPh sb="12" eb="13">
      <t>ヨウ</t>
    </rPh>
    <rPh sb="17" eb="18">
      <t>セイ</t>
    </rPh>
    <phoneticPr fontId="48"/>
  </si>
  <si>
    <t>警戒標識　LPガス供給設備（燃）（30-A）</t>
    <rPh sb="0" eb="2">
      <t>ケイカイ</t>
    </rPh>
    <rPh sb="2" eb="4">
      <t>ヒョウシキ</t>
    </rPh>
    <rPh sb="9" eb="13">
      <t>キョウキュウセツビ</t>
    </rPh>
    <rPh sb="14" eb="15">
      <t>ネン</t>
    </rPh>
    <phoneticPr fontId="48"/>
  </si>
  <si>
    <t>警戒標識　火気厳禁（10-B-二）</t>
    <rPh sb="0" eb="2">
      <t>ケイカイ</t>
    </rPh>
    <rPh sb="2" eb="4">
      <t>ヒョウシキ</t>
    </rPh>
    <rPh sb="5" eb="7">
      <t>カキ</t>
    </rPh>
    <rPh sb="15" eb="16">
      <t>ニ</t>
    </rPh>
    <phoneticPr fontId="48"/>
  </si>
  <si>
    <t>本</t>
    <rPh sb="0" eb="1">
      <t>ホン</t>
    </rPh>
    <phoneticPr fontId="48"/>
  </si>
  <si>
    <t>枚</t>
    <rPh sb="0" eb="1">
      <t>マイ</t>
    </rPh>
    <phoneticPr fontId="48"/>
  </si>
  <si>
    <t>警戒標識　立入禁止（12-D）</t>
    <rPh sb="0" eb="2">
      <t>ケイカイ</t>
    </rPh>
    <rPh sb="2" eb="4">
      <t>ヒョウシキ</t>
    </rPh>
    <rPh sb="5" eb="9">
      <t>タチイリキンシ</t>
    </rPh>
    <phoneticPr fontId="48"/>
  </si>
  <si>
    <t>温水配管（ラッキング無し）計装線工事</t>
    <rPh sb="0" eb="4">
      <t>オンスイハイカン</t>
    </rPh>
    <rPh sb="10" eb="11">
      <t>ナ</t>
    </rPh>
    <rPh sb="13" eb="16">
      <t>ケイソウセン</t>
    </rPh>
    <rPh sb="16" eb="18">
      <t>コウジ</t>
    </rPh>
    <phoneticPr fontId="48"/>
  </si>
  <si>
    <t>床置配管支持架台A-1　門型200×300</t>
    <rPh sb="0" eb="1">
      <t>ユカ</t>
    </rPh>
    <rPh sb="1" eb="2">
      <t>チ</t>
    </rPh>
    <rPh sb="2" eb="4">
      <t>ハイカン</t>
    </rPh>
    <rPh sb="4" eb="6">
      <t>シジ</t>
    </rPh>
    <rPh sb="6" eb="8">
      <t>カダイ</t>
    </rPh>
    <rPh sb="12" eb="14">
      <t>モンカタ</t>
    </rPh>
    <phoneticPr fontId="54"/>
  </si>
  <si>
    <t>個</t>
    <rPh sb="0" eb="1">
      <t>コ</t>
    </rPh>
    <phoneticPr fontId="48"/>
  </si>
  <si>
    <t>外壁配管支持架台B-1　ブラケット型1000×1000</t>
    <rPh sb="0" eb="2">
      <t>ガイヘキ</t>
    </rPh>
    <rPh sb="2" eb="4">
      <t>ハイカン</t>
    </rPh>
    <rPh sb="4" eb="6">
      <t>シジ</t>
    </rPh>
    <rPh sb="6" eb="8">
      <t>カダイ</t>
    </rPh>
    <rPh sb="17" eb="18">
      <t>ガタ</t>
    </rPh>
    <phoneticPr fontId="54"/>
  </si>
  <si>
    <t>GHP-1＋自立ユニット＋バッテリー＋遠隔監視アダプター</t>
    <rPh sb="19" eb="23">
      <t>エンカクカンシ</t>
    </rPh>
    <phoneticPr fontId="54"/>
  </si>
  <si>
    <t>ガス工事見積</t>
    <rPh sb="2" eb="4">
      <t>コウジ</t>
    </rPh>
    <rPh sb="4" eb="6">
      <t>ミツモリ</t>
    </rPh>
    <phoneticPr fontId="48"/>
  </si>
  <si>
    <t>強化ガスホース20A</t>
    <rPh sb="0" eb="2">
      <t>キョウカ</t>
    </rPh>
    <phoneticPr fontId="48"/>
  </si>
  <si>
    <t>GHP-1</t>
    <phoneticPr fontId="48"/>
  </si>
  <si>
    <t>GHP-2</t>
    <phoneticPr fontId="48"/>
  </si>
  <si>
    <t>GHP-3</t>
    <phoneticPr fontId="48"/>
  </si>
  <si>
    <t>GHP-4</t>
    <phoneticPr fontId="48"/>
  </si>
  <si>
    <t>冷媒管保温工事</t>
    <rPh sb="0" eb="3">
      <t>レイバイカン</t>
    </rPh>
    <rPh sb="3" eb="5">
      <t>ホオン</t>
    </rPh>
    <rPh sb="5" eb="7">
      <t>コウジ</t>
    </rPh>
    <phoneticPr fontId="63"/>
  </si>
  <si>
    <t>給水管保温工事</t>
    <rPh sb="0" eb="2">
      <t>キュウスイ</t>
    </rPh>
    <rPh sb="2" eb="3">
      <t>カン</t>
    </rPh>
    <rPh sb="3" eb="5">
      <t>ホオン</t>
    </rPh>
    <rPh sb="5" eb="7">
      <t>コウジ</t>
    </rPh>
    <phoneticPr fontId="63"/>
  </si>
  <si>
    <t>ドレン管保温工事</t>
    <rPh sb="3" eb="4">
      <t>カン</t>
    </rPh>
    <phoneticPr fontId="63"/>
  </si>
  <si>
    <t>ドレン菅40A</t>
    <rPh sb="3" eb="4">
      <t>カン</t>
    </rPh>
    <phoneticPr fontId="54"/>
  </si>
  <si>
    <t>配管保温工事</t>
    <rPh sb="0" eb="2">
      <t>ハイカン</t>
    </rPh>
    <rPh sb="2" eb="6">
      <t>ホオンコウジ</t>
    </rPh>
    <phoneticPr fontId="48"/>
  </si>
  <si>
    <t>配管架台工事</t>
    <rPh sb="0" eb="2">
      <t>ハイカン</t>
    </rPh>
    <rPh sb="2" eb="4">
      <t>カダイ</t>
    </rPh>
    <rPh sb="4" eb="6">
      <t>コウジ</t>
    </rPh>
    <phoneticPr fontId="63"/>
  </si>
  <si>
    <t>架台A-1</t>
    <rPh sb="0" eb="2">
      <t>カダイ</t>
    </rPh>
    <phoneticPr fontId="63"/>
  </si>
  <si>
    <t>外壁架台</t>
    <rPh sb="0" eb="2">
      <t>ガイヘキ</t>
    </rPh>
    <rPh sb="2" eb="4">
      <t>カダイ</t>
    </rPh>
    <phoneticPr fontId="48"/>
  </si>
  <si>
    <t>架台A-2</t>
    <rPh sb="0" eb="2">
      <t>カダイ</t>
    </rPh>
    <phoneticPr fontId="63"/>
  </si>
  <si>
    <t>架台B-1</t>
    <rPh sb="0" eb="2">
      <t>カダイ</t>
    </rPh>
    <phoneticPr fontId="63"/>
  </si>
  <si>
    <t>コンクリート</t>
    <phoneticPr fontId="48"/>
  </si>
  <si>
    <t>型枠</t>
    <rPh sb="0" eb="2">
      <t>カタワク</t>
    </rPh>
    <phoneticPr fontId="48"/>
  </si>
  <si>
    <t>m3</t>
    <phoneticPr fontId="48"/>
  </si>
  <si>
    <t>m2</t>
    <phoneticPr fontId="48"/>
  </si>
  <si>
    <t>はつり貫通工事</t>
    <rPh sb="3" eb="5">
      <t>カンツウ</t>
    </rPh>
    <rPh sb="5" eb="7">
      <t>コウジ</t>
    </rPh>
    <phoneticPr fontId="63"/>
  </si>
  <si>
    <t>補修工事共</t>
    <rPh sb="0" eb="5">
      <t>ホシュウコウジトモ</t>
    </rPh>
    <phoneticPr fontId="48"/>
  </si>
  <si>
    <t>L150×100φ</t>
    <phoneticPr fontId="63"/>
  </si>
  <si>
    <t>式</t>
    <rPh sb="0" eb="1">
      <t>シキ</t>
    </rPh>
    <phoneticPr fontId="48"/>
  </si>
  <si>
    <t>バルクタンク見積</t>
    <rPh sb="6" eb="8">
      <t>ミツモリ</t>
    </rPh>
    <phoneticPr fontId="48"/>
  </si>
  <si>
    <t>バルクタンク工事</t>
    <rPh sb="6" eb="8">
      <t>コウジ</t>
    </rPh>
    <phoneticPr fontId="48"/>
  </si>
  <si>
    <t>間接排水50A</t>
    <rPh sb="0" eb="4">
      <t>カンセツハイスイ</t>
    </rPh>
    <phoneticPr fontId="48"/>
  </si>
  <si>
    <t xml:space="preserve"> 硬質塩化ビニル管 VP</t>
    <rPh sb="1" eb="5">
      <t>コウシツエンカ</t>
    </rPh>
    <rPh sb="8" eb="9">
      <t>カン</t>
    </rPh>
    <phoneticPr fontId="48"/>
  </si>
  <si>
    <t xml:space="preserve"> 25A 屋内一般</t>
    <rPh sb="5" eb="9">
      <t>オクナイイッパン</t>
    </rPh>
    <phoneticPr fontId="48"/>
  </si>
  <si>
    <t xml:space="preserve"> 40A  屋内一般</t>
    <phoneticPr fontId="48"/>
  </si>
  <si>
    <t xml:space="preserve"> 40A  屋外露出</t>
    <rPh sb="6" eb="10">
      <t>オクガイロシュツ</t>
    </rPh>
    <phoneticPr fontId="48"/>
  </si>
  <si>
    <t xml:space="preserve"> 25A  屋外露出</t>
    <rPh sb="6" eb="10">
      <t>オクガイロシュツ</t>
    </rPh>
    <phoneticPr fontId="48"/>
  </si>
  <si>
    <t>空調機複合単価</t>
    <rPh sb="0" eb="3">
      <t>クウチョウキ</t>
    </rPh>
    <rPh sb="3" eb="7">
      <t>フクゴウタンカ</t>
    </rPh>
    <phoneticPr fontId="54"/>
  </si>
  <si>
    <t>個</t>
    <rPh sb="0" eb="1">
      <t>コ</t>
    </rPh>
    <phoneticPr fontId="48"/>
  </si>
  <si>
    <t>はつり貫通工事</t>
    <rPh sb="3" eb="7">
      <t>カンツウコウジ</t>
    </rPh>
    <phoneticPr fontId="48"/>
  </si>
  <si>
    <t>ガスヒートポンプマルチエアコン室外機</t>
    <rPh sb="15" eb="18">
      <t>シツガイキ</t>
    </rPh>
    <phoneticPr fontId="48"/>
  </si>
  <si>
    <t>型式：電源自立型20㏋、プロパン仕様　仕様：冷房能力56.0kw　暖房能力63.0kw　                                       815kg   2.245*1.66*0.88=3.279　容積248.6kg</t>
    <rPh sb="113" eb="115">
      <t>ヨウセキ</t>
    </rPh>
    <phoneticPr fontId="48"/>
  </si>
  <si>
    <t>型式：　床置形      仕様：　冷房能力28.0kw暖房能力31.5kw                                    550kg   2.077*1.4*0.88=2.558　容積215.0kg</t>
    <rPh sb="0" eb="2">
      <t>カタシキ</t>
    </rPh>
    <rPh sb="4" eb="6">
      <t>ユカオ</t>
    </rPh>
    <rPh sb="6" eb="7">
      <t>カタ</t>
    </rPh>
    <rPh sb="13" eb="15">
      <t>シヨウ</t>
    </rPh>
    <rPh sb="102" eb="104">
      <t>ヨウセキ</t>
    </rPh>
    <phoneticPr fontId="48"/>
  </si>
  <si>
    <t>空調設備　　代価表-3-2</t>
    <rPh sb="0" eb="2">
      <t>クウチョウ</t>
    </rPh>
    <rPh sb="2" eb="4">
      <t>セツビ</t>
    </rPh>
    <rPh sb="6" eb="8">
      <t>ダイカ</t>
    </rPh>
    <rPh sb="8" eb="9">
      <t>ヒョウ</t>
    </rPh>
    <phoneticPr fontId="54"/>
  </si>
  <si>
    <t>基礎工事</t>
    <rPh sb="0" eb="4">
      <t>キソコウジ</t>
    </rPh>
    <phoneticPr fontId="48"/>
  </si>
  <si>
    <t>代価3-2</t>
    <rPh sb="0" eb="2">
      <t>ダイカ</t>
    </rPh>
    <phoneticPr fontId="54"/>
  </si>
  <si>
    <t>配管保温工事</t>
    <rPh sb="0" eb="2">
      <t>ハイカン</t>
    </rPh>
    <rPh sb="2" eb="4">
      <t>ホオン</t>
    </rPh>
    <rPh sb="4" eb="6">
      <t>コウジ</t>
    </rPh>
    <phoneticPr fontId="48"/>
  </si>
  <si>
    <t>空調設備　　代価表1-1</t>
    <rPh sb="0" eb="2">
      <t>クウチョウ</t>
    </rPh>
    <rPh sb="2" eb="4">
      <t>セツビ</t>
    </rPh>
    <rPh sb="6" eb="8">
      <t>ダイカ</t>
    </rPh>
    <rPh sb="8" eb="9">
      <t>ヒョウ</t>
    </rPh>
    <phoneticPr fontId="54"/>
  </si>
  <si>
    <t>空調設備　　代価表1-2</t>
    <rPh sb="0" eb="2">
      <t>クウチョウ</t>
    </rPh>
    <rPh sb="2" eb="4">
      <t>セツビ</t>
    </rPh>
    <rPh sb="6" eb="8">
      <t>ダイカ</t>
    </rPh>
    <rPh sb="8" eb="9">
      <t>ヒョウ</t>
    </rPh>
    <phoneticPr fontId="54"/>
  </si>
  <si>
    <t>配管架台工事</t>
    <rPh sb="0" eb="4">
      <t>ハイカンカダイ</t>
    </rPh>
    <rPh sb="4" eb="6">
      <t>コウジ</t>
    </rPh>
    <phoneticPr fontId="48"/>
  </si>
  <si>
    <t>はつり貫通工事</t>
    <rPh sb="3" eb="5">
      <t>カンツウ</t>
    </rPh>
    <rPh sb="5" eb="7">
      <t>コウジ</t>
    </rPh>
    <phoneticPr fontId="48"/>
  </si>
  <si>
    <t>空調設備　　代価表-1-3</t>
    <rPh sb="0" eb="2">
      <t>クウチョウ</t>
    </rPh>
    <rPh sb="2" eb="4">
      <t>セツビ</t>
    </rPh>
    <rPh sb="6" eb="8">
      <t>ダイカ</t>
    </rPh>
    <rPh sb="8" eb="9">
      <t>ヒョウ</t>
    </rPh>
    <phoneticPr fontId="54"/>
  </si>
  <si>
    <t>付帯工事－メッシュフェンス</t>
    <rPh sb="0" eb="2">
      <t>フタイ</t>
    </rPh>
    <rPh sb="2" eb="4">
      <t>コウジ</t>
    </rPh>
    <phoneticPr fontId="48"/>
  </si>
  <si>
    <t>空調設備　　代価表-3-1</t>
    <rPh sb="0" eb="2">
      <t>クウチョウ</t>
    </rPh>
    <rPh sb="2" eb="4">
      <t>セツビ</t>
    </rPh>
    <rPh sb="6" eb="8">
      <t>ダイカ</t>
    </rPh>
    <rPh sb="8" eb="9">
      <t>ヒョウ</t>
    </rPh>
    <phoneticPr fontId="54"/>
  </si>
  <si>
    <t>屋内露出　保温化粧ケース25A</t>
    <rPh sb="0" eb="2">
      <t>オクナイ</t>
    </rPh>
    <rPh sb="2" eb="4">
      <t>ロシュツ</t>
    </rPh>
    <rPh sb="5" eb="9">
      <t>ホオンケショウ</t>
    </rPh>
    <phoneticPr fontId="48"/>
  </si>
  <si>
    <t>面</t>
    <rPh sb="0" eb="1">
      <t>メン</t>
    </rPh>
    <phoneticPr fontId="48"/>
  </si>
  <si>
    <t xml:space="preserve"> 50A  屋外露出</t>
    <rPh sb="6" eb="10">
      <t>オクガイロシュツ</t>
    </rPh>
    <phoneticPr fontId="48"/>
  </si>
  <si>
    <t>配管架台工事</t>
    <rPh sb="0" eb="2">
      <t>ハイカン</t>
    </rPh>
    <rPh sb="2" eb="4">
      <t>カダイ</t>
    </rPh>
    <rPh sb="4" eb="6">
      <t>コウジ</t>
    </rPh>
    <phoneticPr fontId="48"/>
  </si>
  <si>
    <t>冷媒管、ドレン管</t>
    <rPh sb="0" eb="3">
      <t>レイバイカン</t>
    </rPh>
    <rPh sb="7" eb="8">
      <t>カン</t>
    </rPh>
    <phoneticPr fontId="48"/>
  </si>
  <si>
    <t>1-4</t>
    <phoneticPr fontId="54"/>
  </si>
  <si>
    <t>代価2-1</t>
    <rPh sb="0" eb="2">
      <t>ダイカ</t>
    </rPh>
    <phoneticPr fontId="48"/>
  </si>
  <si>
    <t>代価1-1</t>
    <rPh sb="0" eb="2">
      <t>ダイカ</t>
    </rPh>
    <phoneticPr fontId="48"/>
  </si>
  <si>
    <t>代価1-2</t>
    <rPh sb="0" eb="2">
      <t>ダイカ</t>
    </rPh>
    <phoneticPr fontId="48"/>
  </si>
  <si>
    <t>代価1-3</t>
    <rPh sb="0" eb="2">
      <t>ダイカ</t>
    </rPh>
    <phoneticPr fontId="48"/>
  </si>
  <si>
    <t>代価3-2</t>
    <rPh sb="0" eb="2">
      <t>ダイカ</t>
    </rPh>
    <phoneticPr fontId="48"/>
  </si>
  <si>
    <t>冷媒用被覆銅管(液管)</t>
    <rPh sb="8" eb="10">
      <t>エキカン</t>
    </rPh>
    <phoneticPr fontId="54"/>
  </si>
  <si>
    <t>冷媒用被覆銅管(ガス管)</t>
    <rPh sb="10" eb="11">
      <t>カン</t>
    </rPh>
    <phoneticPr fontId="54"/>
  </si>
  <si>
    <t>100φ-50A</t>
    <phoneticPr fontId="48"/>
  </si>
  <si>
    <t>鉄筋</t>
    <rPh sb="0" eb="2">
      <t>テッキン</t>
    </rPh>
    <phoneticPr fontId="48"/>
  </si>
  <si>
    <t>kg</t>
    <phoneticPr fontId="48"/>
  </si>
  <si>
    <t>生コン人力打設</t>
    <rPh sb="0" eb="1">
      <t>ナマ</t>
    </rPh>
    <rPh sb="3" eb="5">
      <t>ジンリキ</t>
    </rPh>
    <rPh sb="5" eb="7">
      <t>ダセツ</t>
    </rPh>
    <phoneticPr fontId="48"/>
  </si>
  <si>
    <t>1.04ｋｇ/ｍ</t>
    <phoneticPr fontId="48"/>
  </si>
  <si>
    <t>3-2</t>
    <phoneticPr fontId="48"/>
  </si>
  <si>
    <t>空調設備　機器代価表2-1</t>
    <rPh sb="0" eb="2">
      <t>クウチョウ</t>
    </rPh>
    <rPh sb="2" eb="4">
      <t>セツビ</t>
    </rPh>
    <rPh sb="5" eb="7">
      <t>キキ</t>
    </rPh>
    <rPh sb="7" eb="9">
      <t>ダイカ</t>
    </rPh>
    <rPh sb="9" eb="10">
      <t>ヒョウ</t>
    </rPh>
    <phoneticPr fontId="54"/>
  </si>
  <si>
    <t>架台見積比較</t>
    <rPh sb="0" eb="2">
      <t>カダイ</t>
    </rPh>
    <rPh sb="2" eb="6">
      <t>ミツモリヒカク</t>
    </rPh>
    <phoneticPr fontId="48"/>
  </si>
  <si>
    <t xml:space="preserve"> 硬質塩化ビニルライニング鋼管SGP-VB</t>
    <rPh sb="1" eb="5">
      <t>コウシツエンカ</t>
    </rPh>
    <rPh sb="13" eb="15">
      <t>コウカン</t>
    </rPh>
    <phoneticPr fontId="48"/>
  </si>
  <si>
    <t>給水管</t>
    <rPh sb="0" eb="3">
      <t>キュウスイカン</t>
    </rPh>
    <phoneticPr fontId="54"/>
  </si>
  <si>
    <t>仕切弁</t>
    <rPh sb="0" eb="3">
      <t>シキリベン</t>
    </rPh>
    <phoneticPr fontId="54"/>
  </si>
  <si>
    <t>GV20A</t>
    <phoneticPr fontId="48"/>
  </si>
  <si>
    <t>フレキシブル継手</t>
    <rPh sb="6" eb="8">
      <t>ツギテ</t>
    </rPh>
    <phoneticPr fontId="54"/>
  </si>
  <si>
    <t>SUS-20A</t>
    <phoneticPr fontId="48"/>
  </si>
  <si>
    <t>個</t>
    <rPh sb="0" eb="1">
      <t>コ</t>
    </rPh>
    <phoneticPr fontId="48"/>
  </si>
  <si>
    <t>給水管分岐工事</t>
    <rPh sb="0" eb="3">
      <t>キュウスイカン</t>
    </rPh>
    <rPh sb="3" eb="5">
      <t>ブンキ</t>
    </rPh>
    <rPh sb="5" eb="7">
      <t>コウジ</t>
    </rPh>
    <phoneticPr fontId="48"/>
  </si>
  <si>
    <t>ヵ所</t>
    <rPh sb="1" eb="2">
      <t>ショ</t>
    </rPh>
    <phoneticPr fontId="48"/>
  </si>
  <si>
    <t>空調設備　　代価表-3-3</t>
    <rPh sb="0" eb="2">
      <t>クウチョウ</t>
    </rPh>
    <rPh sb="2" eb="4">
      <t>セツビ</t>
    </rPh>
    <rPh sb="6" eb="8">
      <t>ダイカ</t>
    </rPh>
    <rPh sb="8" eb="9">
      <t>ヒョウ</t>
    </rPh>
    <phoneticPr fontId="54"/>
  </si>
  <si>
    <t>代価3-3</t>
    <rPh sb="0" eb="2">
      <t>ダイカ</t>
    </rPh>
    <phoneticPr fontId="54"/>
  </si>
  <si>
    <t>空調設備　　代価表-3-4</t>
    <rPh sb="0" eb="2">
      <t>クウチョウ</t>
    </rPh>
    <rPh sb="2" eb="4">
      <t>セツビ</t>
    </rPh>
    <rPh sb="6" eb="8">
      <t>ダイカ</t>
    </rPh>
    <rPh sb="8" eb="9">
      <t>ヒョウ</t>
    </rPh>
    <phoneticPr fontId="54"/>
  </si>
  <si>
    <t>代価3-4</t>
    <rPh sb="0" eb="2">
      <t>ダイカ</t>
    </rPh>
    <phoneticPr fontId="54"/>
  </si>
  <si>
    <t>配管接続工事</t>
    <rPh sb="0" eb="6">
      <t>ハイカンセツゾクコウジ</t>
    </rPh>
    <phoneticPr fontId="63"/>
  </si>
  <si>
    <t>給水配管分岐接続工事</t>
    <rPh sb="0" eb="4">
      <t>キュウスイハイカン</t>
    </rPh>
    <rPh sb="4" eb="10">
      <t>ブンキセツゾクコウジ</t>
    </rPh>
    <phoneticPr fontId="48"/>
  </si>
  <si>
    <t>室外機配管　GW＋カラー亜鉛鉄板　100φ</t>
    <rPh sb="0" eb="3">
      <t>シツガイキ</t>
    </rPh>
    <rPh sb="3" eb="5">
      <t>ハイカン</t>
    </rPh>
    <rPh sb="12" eb="16">
      <t>アエンテッパン</t>
    </rPh>
    <phoneticPr fontId="48"/>
  </si>
  <si>
    <t>代価3-3</t>
    <rPh sb="0" eb="2">
      <t>ダイカ</t>
    </rPh>
    <phoneticPr fontId="48"/>
  </si>
  <si>
    <t>空調室内機架台</t>
    <rPh sb="0" eb="2">
      <t>クウチョウ</t>
    </rPh>
    <rPh sb="2" eb="5">
      <t>シツナイキ</t>
    </rPh>
    <rPh sb="5" eb="7">
      <t>カダイ</t>
    </rPh>
    <phoneticPr fontId="48"/>
  </si>
  <si>
    <t>器具コック15A.GC15A</t>
    <rPh sb="0" eb="2">
      <t>キグ</t>
    </rPh>
    <phoneticPr fontId="48"/>
  </si>
  <si>
    <t>強化ガスホース15A</t>
    <rPh sb="0" eb="2">
      <t>キョウカ</t>
    </rPh>
    <phoneticPr fontId="48"/>
  </si>
  <si>
    <t>ヤンマー</t>
    <phoneticPr fontId="48"/>
  </si>
  <si>
    <t>組</t>
    <rPh sb="0" eb="1">
      <t>クミ</t>
    </rPh>
    <phoneticPr fontId="48"/>
  </si>
  <si>
    <t>床置配管支持架台A-2　門型800×300</t>
    <rPh sb="0" eb="1">
      <t>ユカ</t>
    </rPh>
    <rPh sb="1" eb="2">
      <t>チ</t>
    </rPh>
    <rPh sb="2" eb="4">
      <t>ハイカン</t>
    </rPh>
    <rPh sb="4" eb="6">
      <t>シジ</t>
    </rPh>
    <rPh sb="6" eb="8">
      <t>カダイ</t>
    </rPh>
    <rPh sb="12" eb="14">
      <t>モンカタ</t>
    </rPh>
    <phoneticPr fontId="54"/>
  </si>
  <si>
    <t>外壁配管支持架台B-2　1000</t>
    <rPh sb="0" eb="2">
      <t>ガイヘキ</t>
    </rPh>
    <rPh sb="2" eb="4">
      <t>ハイカン</t>
    </rPh>
    <rPh sb="4" eb="6">
      <t>シジ</t>
    </rPh>
    <rPh sb="6" eb="8">
      <t>カダイ</t>
    </rPh>
    <phoneticPr fontId="54"/>
  </si>
  <si>
    <t>外部鉄骨架台　W1190×H2580</t>
    <rPh sb="0" eb="2">
      <t>ガイブ</t>
    </rPh>
    <rPh sb="2" eb="4">
      <t>テッコツ</t>
    </rPh>
    <rPh sb="4" eb="6">
      <t>カダイ</t>
    </rPh>
    <phoneticPr fontId="54"/>
  </si>
  <si>
    <t>床置配管支持架台A-3　門型200×150</t>
    <rPh sb="0" eb="1">
      <t>ユカ</t>
    </rPh>
    <rPh sb="1" eb="2">
      <t>チ</t>
    </rPh>
    <rPh sb="2" eb="4">
      <t>ハイカン</t>
    </rPh>
    <rPh sb="4" eb="6">
      <t>シジ</t>
    </rPh>
    <rPh sb="6" eb="8">
      <t>カダイ</t>
    </rPh>
    <rPh sb="12" eb="14">
      <t>モンカタ</t>
    </rPh>
    <phoneticPr fontId="54"/>
  </si>
  <si>
    <t>床置配管支持架台A-4　門型200×150</t>
    <rPh sb="0" eb="1">
      <t>ユカ</t>
    </rPh>
    <rPh sb="1" eb="2">
      <t>チ</t>
    </rPh>
    <rPh sb="2" eb="4">
      <t>ハイカン</t>
    </rPh>
    <rPh sb="4" eb="6">
      <t>シジ</t>
    </rPh>
    <rPh sb="6" eb="8">
      <t>カダイ</t>
    </rPh>
    <rPh sb="12" eb="14">
      <t>モンカタ</t>
    </rPh>
    <phoneticPr fontId="54"/>
  </si>
  <si>
    <t>室内機防護カバー、防護架台</t>
    <rPh sb="0" eb="3">
      <t>シツナイキ</t>
    </rPh>
    <rPh sb="3" eb="5">
      <t>ボウゴ</t>
    </rPh>
    <rPh sb="9" eb="13">
      <t>ボウゴカダイ</t>
    </rPh>
    <phoneticPr fontId="54"/>
  </si>
  <si>
    <t>温水配管、計装線工事</t>
    <rPh sb="0" eb="4">
      <t>オンスイハイカン</t>
    </rPh>
    <rPh sb="5" eb="10">
      <t>ケイソウセンコウジ</t>
    </rPh>
    <phoneticPr fontId="48"/>
  </si>
  <si>
    <t>架台A-3</t>
    <rPh sb="0" eb="2">
      <t>カダイ</t>
    </rPh>
    <phoneticPr fontId="63"/>
  </si>
  <si>
    <t>架台A-4</t>
    <rPh sb="0" eb="2">
      <t>カダイ</t>
    </rPh>
    <phoneticPr fontId="63"/>
  </si>
  <si>
    <t>架台B-2</t>
    <rPh sb="0" eb="2">
      <t>カダイ</t>
    </rPh>
    <phoneticPr fontId="63"/>
  </si>
  <si>
    <t>単価</t>
    <rPh sb="0" eb="2">
      <t>タンカ</t>
    </rPh>
    <phoneticPr fontId="48"/>
  </si>
  <si>
    <t>電灯幹線設備工事</t>
    <rPh sb="0" eb="2">
      <t>デントウ</t>
    </rPh>
    <rPh sb="2" eb="4">
      <t>カンセン</t>
    </rPh>
    <rPh sb="4" eb="6">
      <t>セツビ</t>
    </rPh>
    <phoneticPr fontId="48"/>
  </si>
  <si>
    <t>電灯幹線設備工事</t>
    <rPh sb="0" eb="2">
      <t>デントウ</t>
    </rPh>
    <rPh sb="2" eb="4">
      <t>カンセン</t>
    </rPh>
    <rPh sb="4" eb="6">
      <t>セツビ</t>
    </rPh>
    <rPh sb="6" eb="8">
      <t>コウジ</t>
    </rPh>
    <phoneticPr fontId="48"/>
  </si>
  <si>
    <t>積算ﾏﾆｱﾙ</t>
    <rPh sb="0" eb="2">
      <t>セキサン</t>
    </rPh>
    <phoneticPr fontId="48"/>
  </si>
  <si>
    <t>金属製可とう電線管</t>
  </si>
  <si>
    <t>F-50　ビニル被覆（防水）付属品共</t>
  </si>
  <si>
    <t>個</t>
  </si>
  <si>
    <t>プルボックス</t>
    <phoneticPr fontId="48"/>
  </si>
  <si>
    <t>電線</t>
  </si>
  <si>
    <t>EM-IE 5.5sq　管内</t>
  </si>
  <si>
    <t>ⅿ</t>
  </si>
  <si>
    <t>ケーブル</t>
  </si>
  <si>
    <t>EM-CET 38sq　管内</t>
  </si>
  <si>
    <t>面</t>
  </si>
  <si>
    <t>新設開閉器盤</t>
    <rPh sb="0" eb="2">
      <t>シンセツ</t>
    </rPh>
    <rPh sb="2" eb="5">
      <t>カイヘイキ</t>
    </rPh>
    <rPh sb="5" eb="6">
      <t>バン</t>
    </rPh>
    <phoneticPr fontId="48"/>
  </si>
  <si>
    <t>か所</t>
  </si>
  <si>
    <t>電動機結線費</t>
  </si>
  <si>
    <t>3）</t>
    <phoneticPr fontId="48"/>
  </si>
  <si>
    <t>排水設備工事</t>
    <rPh sb="0" eb="2">
      <t>ハイスイ</t>
    </rPh>
    <rPh sb="2" eb="4">
      <t>セツビ</t>
    </rPh>
    <rPh sb="4" eb="6">
      <t>コウジ</t>
    </rPh>
    <phoneticPr fontId="48"/>
  </si>
  <si>
    <t>複合単価作成表</t>
  </si>
  <si>
    <t>コードNo.</t>
  </si>
  <si>
    <t>名       称</t>
    <phoneticPr fontId="48"/>
  </si>
  <si>
    <t>内      容</t>
    <phoneticPr fontId="48"/>
  </si>
  <si>
    <t>材料単価</t>
  </si>
  <si>
    <t>歩掛</t>
  </si>
  <si>
    <t>労務費(B)</t>
  </si>
  <si>
    <t>その他率</t>
  </si>
  <si>
    <t>(A)+(B)+(C)</t>
  </si>
  <si>
    <t>細　目</t>
  </si>
  <si>
    <t>適　用</t>
  </si>
  <si>
    <t>材料価格</t>
  </si>
  <si>
    <t>塗装費</t>
  </si>
  <si>
    <t>単価根拠</t>
    <rPh sb="2" eb="4">
      <t>コンキョ</t>
    </rPh>
    <phoneticPr fontId="48"/>
  </si>
  <si>
    <t>補給率</t>
    <rPh sb="0" eb="3">
      <t>ホキュウリツ</t>
    </rPh>
    <phoneticPr fontId="48"/>
  </si>
  <si>
    <t>付属品</t>
    <rPh sb="0" eb="3">
      <t>フゾクヒン</t>
    </rPh>
    <phoneticPr fontId="48"/>
  </si>
  <si>
    <t>雑材料率</t>
  </si>
  <si>
    <t>金額（A)</t>
  </si>
  <si>
    <t>労務単価</t>
  </si>
  <si>
    <t>その他(C)</t>
  </si>
  <si>
    <t>丸め係数</t>
  </si>
  <si>
    <t>カタログ</t>
    <phoneticPr fontId="48"/>
  </si>
  <si>
    <t>単価/m</t>
  </si>
  <si>
    <t>(金額)</t>
    <rPh sb="1" eb="3">
      <t>キンガク</t>
    </rPh>
    <phoneticPr fontId="48"/>
  </si>
  <si>
    <t>(金額)</t>
    <phoneticPr fontId="48"/>
  </si>
  <si>
    <t>歩掛根拠</t>
  </si>
  <si>
    <t>労務費</t>
  </si>
  <si>
    <t>採用単価</t>
  </si>
  <si>
    <t>　盤類単価：E見積比較、歩掛りは分電盤歩掛り。　　器具類単価：E見積比較、歩掛りは積算基準</t>
    <rPh sb="1" eb="2">
      <t>バン</t>
    </rPh>
    <rPh sb="2" eb="3">
      <t>ルイ</t>
    </rPh>
    <rPh sb="25" eb="27">
      <t>キグ</t>
    </rPh>
    <rPh sb="27" eb="28">
      <t>ルイ</t>
    </rPh>
    <rPh sb="28" eb="30">
      <t>タンカ</t>
    </rPh>
    <rPh sb="32" eb="34">
      <t>ミツモリ</t>
    </rPh>
    <rPh sb="34" eb="36">
      <t>ヒカク</t>
    </rPh>
    <rPh sb="37" eb="39">
      <t>ブガカ</t>
    </rPh>
    <rPh sb="41" eb="43">
      <t>セキサン</t>
    </rPh>
    <rPh sb="43" eb="45">
      <t>キジュン</t>
    </rPh>
    <phoneticPr fontId="48"/>
  </si>
  <si>
    <t>見積比較</t>
  </si>
  <si>
    <t>建設物価</t>
  </si>
  <si>
    <t>積算基準</t>
  </si>
  <si>
    <t>積算資料</t>
    <rPh sb="0" eb="2">
      <t>セキサン</t>
    </rPh>
    <rPh sb="2" eb="4">
      <t>シリョウ</t>
    </rPh>
    <phoneticPr fontId="48"/>
  </si>
  <si>
    <t>平均単価</t>
    <rPh sb="0" eb="2">
      <t>ヘイキン</t>
    </rPh>
    <rPh sb="2" eb="4">
      <t>タンカ</t>
    </rPh>
    <phoneticPr fontId="48"/>
  </si>
  <si>
    <t>　（2,3の平均）</t>
  </si>
  <si>
    <t>見積書</t>
  </si>
  <si>
    <t>カタログ</t>
  </si>
  <si>
    <t>電工</t>
  </si>
  <si>
    <t>配管用基礎ブロック</t>
    <rPh sb="0" eb="2">
      <t>ハイカン</t>
    </rPh>
    <rPh sb="2" eb="3">
      <t>ヨウ</t>
    </rPh>
    <rPh sb="3" eb="5">
      <t>キソ</t>
    </rPh>
    <phoneticPr fontId="48"/>
  </si>
  <si>
    <t>H:100  W:150  ゴムベース付</t>
    <rPh sb="19" eb="20">
      <t>ツキ</t>
    </rPh>
    <phoneticPr fontId="48"/>
  </si>
  <si>
    <t>特種作業員</t>
  </si>
  <si>
    <t>ﾈｸﾞﾛｽ電工</t>
    <phoneticPr fontId="48"/>
  </si>
  <si>
    <t>普通作業員</t>
  </si>
  <si>
    <t>はつり工</t>
  </si>
  <si>
    <t>配管工</t>
  </si>
  <si>
    <t>H:100  W:300  ゴムベース付</t>
    <rPh sb="19" eb="20">
      <t>ツキ</t>
    </rPh>
    <phoneticPr fontId="48"/>
  </si>
  <si>
    <t>設備機械工</t>
  </si>
  <si>
    <t>塗装工</t>
  </si>
  <si>
    <t>とび工</t>
    <rPh sb="2" eb="3">
      <t>コウ</t>
    </rPh>
    <phoneticPr fontId="48"/>
  </si>
  <si>
    <t>ダクト工</t>
  </si>
  <si>
    <t>保温工</t>
  </si>
  <si>
    <t>分電盤</t>
    <rPh sb="0" eb="1">
      <t>ブン</t>
    </rPh>
    <rPh sb="1" eb="2">
      <t>デン</t>
    </rPh>
    <rPh sb="2" eb="3">
      <t>バン</t>
    </rPh>
    <phoneticPr fontId="48"/>
  </si>
  <si>
    <t>細　　目</t>
    <rPh sb="0" eb="1">
      <t>ホソ</t>
    </rPh>
    <rPh sb="3" eb="4">
      <t>メ</t>
    </rPh>
    <phoneticPr fontId="48"/>
  </si>
  <si>
    <t>摘　要</t>
    <rPh sb="0" eb="1">
      <t>テキ</t>
    </rPh>
    <rPh sb="2" eb="3">
      <t>ヨウ</t>
    </rPh>
    <phoneticPr fontId="48"/>
  </si>
  <si>
    <t>採用単価</t>
    <rPh sb="0" eb="2">
      <t>サイヨウ</t>
    </rPh>
    <rPh sb="2" eb="4">
      <t>タンカ</t>
    </rPh>
    <phoneticPr fontId="48"/>
  </si>
  <si>
    <t>内外電機</t>
    <rPh sb="0" eb="2">
      <t>ナイガイ</t>
    </rPh>
    <rPh sb="2" eb="4">
      <t>デンキ</t>
    </rPh>
    <phoneticPr fontId="48"/>
  </si>
  <si>
    <t>を採用</t>
    <rPh sb="1" eb="3">
      <t>サイヨウ</t>
    </rPh>
    <phoneticPr fontId="48"/>
  </si>
  <si>
    <t>金額</t>
    <rPh sb="0" eb="2">
      <t>キンガク</t>
    </rPh>
    <phoneticPr fontId="48"/>
  </si>
  <si>
    <t>新設空調電源盤</t>
    <rPh sb="0" eb="2">
      <t>シンセツ</t>
    </rPh>
    <rPh sb="2" eb="4">
      <t>クウチョウ</t>
    </rPh>
    <rPh sb="4" eb="6">
      <t>デンゲン</t>
    </rPh>
    <rPh sb="6" eb="7">
      <t>バン</t>
    </rPh>
    <phoneticPr fontId="48"/>
  </si>
  <si>
    <t>L-AC</t>
    <phoneticPr fontId="48"/>
  </si>
  <si>
    <t>S-AC</t>
    <phoneticPr fontId="48"/>
  </si>
  <si>
    <t>1単価計</t>
    <rPh sb="1" eb="3">
      <t>タンカ</t>
    </rPh>
    <phoneticPr fontId="48"/>
  </si>
  <si>
    <t>1合計</t>
    <phoneticPr fontId="48"/>
  </si>
  <si>
    <t>2単価計</t>
    <phoneticPr fontId="48"/>
  </si>
  <si>
    <t>2合計</t>
    <phoneticPr fontId="48"/>
  </si>
  <si>
    <t>3単価計</t>
    <rPh sb="1" eb="3">
      <t>タンカ</t>
    </rPh>
    <phoneticPr fontId="48"/>
  </si>
  <si>
    <t>3合計</t>
    <phoneticPr fontId="48"/>
  </si>
  <si>
    <t xml:space="preserve">  分電盤　歩掛り算出表（公共建築工事積算基準　表 E1-2-15,16による）</t>
    <rPh sb="2" eb="5">
      <t>ブンデンバン</t>
    </rPh>
    <rPh sb="6" eb="8">
      <t>ブガカ</t>
    </rPh>
    <rPh sb="9" eb="11">
      <t>サンシュツ</t>
    </rPh>
    <rPh sb="11" eb="12">
      <t>ヒョウ</t>
    </rPh>
    <phoneticPr fontId="48"/>
  </si>
  <si>
    <t>摘　　要</t>
    <rPh sb="0" eb="1">
      <t>テキ</t>
    </rPh>
    <rPh sb="3" eb="4">
      <t>ヨウ</t>
    </rPh>
    <phoneticPr fontId="48"/>
  </si>
  <si>
    <t>電工（人）</t>
    <rPh sb="0" eb="2">
      <t>デンコウ</t>
    </rPh>
    <rPh sb="3" eb="4">
      <t>ニン</t>
    </rPh>
    <phoneticPr fontId="48"/>
  </si>
  <si>
    <t>盤名称</t>
    <rPh sb="0" eb="1">
      <t>バン</t>
    </rPh>
    <rPh sb="1" eb="3">
      <t>メイショウ</t>
    </rPh>
    <phoneticPr fontId="48"/>
  </si>
  <si>
    <t>適　　　用</t>
    <rPh sb="0" eb="1">
      <t>テキ</t>
    </rPh>
    <rPh sb="4" eb="5">
      <t>ヨウ</t>
    </rPh>
    <phoneticPr fontId="48"/>
  </si>
  <si>
    <t>開閉器</t>
    <rPh sb="0" eb="3">
      <t>カイヘイキ</t>
    </rPh>
    <phoneticPr fontId="48"/>
  </si>
  <si>
    <t>歩掛り</t>
    <phoneticPr fontId="48"/>
  </si>
  <si>
    <t>歩掛り</t>
    <rPh sb="0" eb="1">
      <t>ブ</t>
    </rPh>
    <rPh sb="1" eb="2">
      <t>ガカ</t>
    </rPh>
    <phoneticPr fontId="48"/>
  </si>
  <si>
    <t>算出</t>
    <rPh sb="0" eb="2">
      <t>サンシュツ</t>
    </rPh>
    <phoneticPr fontId="48"/>
  </si>
  <si>
    <t>適用</t>
    <rPh sb="0" eb="2">
      <t>テキヨウ</t>
    </rPh>
    <phoneticPr fontId="48"/>
  </si>
  <si>
    <t>（極数・定格電流）</t>
    <phoneticPr fontId="48"/>
  </si>
  <si>
    <t>MCCB</t>
    <phoneticPr fontId="48"/>
  </si>
  <si>
    <t>KS</t>
    <phoneticPr fontId="48"/>
  </si>
  <si>
    <t>小計</t>
  </si>
  <si>
    <t>人員</t>
  </si>
  <si>
    <t>1P 30A</t>
    <phoneticPr fontId="48"/>
  </si>
  <si>
    <t>3～4</t>
    <phoneticPr fontId="48"/>
  </si>
  <si>
    <t>1P 60A(50)</t>
    <phoneticPr fontId="48"/>
  </si>
  <si>
    <t>4～5</t>
    <phoneticPr fontId="48"/>
  </si>
  <si>
    <t>2P 30A</t>
    <phoneticPr fontId="48"/>
  </si>
  <si>
    <t>5～6</t>
    <phoneticPr fontId="48"/>
  </si>
  <si>
    <t>2P 60A(50)</t>
    <phoneticPr fontId="48"/>
  </si>
  <si>
    <t>6～7</t>
    <phoneticPr fontId="48"/>
  </si>
  <si>
    <t>2P100A</t>
    <phoneticPr fontId="48"/>
  </si>
  <si>
    <t>7～8.5</t>
    <phoneticPr fontId="48"/>
  </si>
  <si>
    <t>2P225A(200)</t>
    <phoneticPr fontId="48"/>
  </si>
  <si>
    <t>8.5～10</t>
    <phoneticPr fontId="48"/>
  </si>
  <si>
    <t>2P400A(300)</t>
    <phoneticPr fontId="48"/>
  </si>
  <si>
    <t>10～13</t>
    <phoneticPr fontId="48"/>
  </si>
  <si>
    <t>3P 30A</t>
    <phoneticPr fontId="48"/>
  </si>
  <si>
    <t>13～16</t>
    <phoneticPr fontId="48"/>
  </si>
  <si>
    <t>3P 60A(50)</t>
    <phoneticPr fontId="48"/>
  </si>
  <si>
    <t>16～19</t>
    <phoneticPr fontId="48"/>
  </si>
  <si>
    <t>3P100A</t>
    <phoneticPr fontId="48"/>
  </si>
  <si>
    <t>19～22</t>
    <phoneticPr fontId="48"/>
  </si>
  <si>
    <t>3P225A(200)</t>
    <phoneticPr fontId="48"/>
  </si>
  <si>
    <t>22～26</t>
    <phoneticPr fontId="48"/>
  </si>
  <si>
    <t>3P400A(300)</t>
    <phoneticPr fontId="48"/>
  </si>
  <si>
    <t>26～30</t>
    <phoneticPr fontId="48"/>
  </si>
  <si>
    <t>2P30A</t>
    <phoneticPr fontId="48"/>
  </si>
  <si>
    <t>協約形1極ｻｲｽﾞ</t>
  </si>
  <si>
    <t>30～35</t>
    <phoneticPr fontId="48"/>
  </si>
  <si>
    <t>小型ｻｲｽﾞ</t>
  </si>
  <si>
    <t>35～41</t>
    <phoneticPr fontId="48"/>
  </si>
  <si>
    <t>41～48</t>
    <phoneticPr fontId="48"/>
  </si>
  <si>
    <t>ﾘﾓｺﾝﾘﾚｰ</t>
    <phoneticPr fontId="48"/>
  </si>
  <si>
    <t>20A</t>
    <phoneticPr fontId="48"/>
  </si>
  <si>
    <t>（3人未満の場合は</t>
    <rPh sb="2" eb="3">
      <t>ニン</t>
    </rPh>
    <rPh sb="3" eb="5">
      <t>ミマン</t>
    </rPh>
    <rPh sb="6" eb="8">
      <t>バアイ</t>
    </rPh>
    <phoneticPr fontId="48"/>
  </si>
  <si>
    <t>ﾘﾓｺﾝﾄﾗﾝｽ</t>
    <phoneticPr fontId="48"/>
  </si>
  <si>
    <t xml:space="preserve"> 実数人員とする）</t>
    <rPh sb="1" eb="3">
      <t>ジッスウ</t>
    </rPh>
    <rPh sb="3" eb="5">
      <t>ジンイン</t>
    </rPh>
    <phoneticPr fontId="48"/>
  </si>
  <si>
    <t>T/U付6A×1</t>
    <rPh sb="3" eb="4">
      <t>ツキ</t>
    </rPh>
    <phoneticPr fontId="48"/>
  </si>
  <si>
    <t>T/U付6A×4</t>
    <rPh sb="3" eb="4">
      <t>ツキ</t>
    </rPh>
    <phoneticPr fontId="48"/>
  </si>
  <si>
    <t xml:space="preserve">ﾀｰﾐﾅﾙﾕﾆｯﾄ </t>
    <phoneticPr fontId="48"/>
  </si>
  <si>
    <t>1 個用</t>
    <rPh sb="2" eb="3">
      <t>コ</t>
    </rPh>
    <rPh sb="3" eb="4">
      <t>ヨウ</t>
    </rPh>
    <phoneticPr fontId="48"/>
  </si>
  <si>
    <t>4 個用</t>
    <rPh sb="2" eb="3">
      <t>コ</t>
    </rPh>
    <rPh sb="3" eb="4">
      <t>ヨウ</t>
    </rPh>
    <phoneticPr fontId="48"/>
  </si>
  <si>
    <t>伝送ﾕﾆｯﾄ</t>
    <rPh sb="0" eb="2">
      <t>デンソウ</t>
    </rPh>
    <phoneticPr fontId="48"/>
  </si>
  <si>
    <t>電磁接触器</t>
    <rPh sb="0" eb="2">
      <t>デンジ</t>
    </rPh>
    <rPh sb="2" eb="4">
      <t>セッショク</t>
    </rPh>
    <rPh sb="4" eb="5">
      <t>キ</t>
    </rPh>
    <phoneticPr fontId="48"/>
  </si>
  <si>
    <t>2P協約形</t>
    <rPh sb="2" eb="4">
      <t>キョウヤク</t>
    </rPh>
    <rPh sb="4" eb="5">
      <t>カタ</t>
    </rPh>
    <phoneticPr fontId="48"/>
  </si>
  <si>
    <t>ﾀｲﾑｽｲｯﾁ</t>
    <phoneticPr fontId="48"/>
  </si>
  <si>
    <t>協約形</t>
    <rPh sb="0" eb="2">
      <t>キョウヤク</t>
    </rPh>
    <rPh sb="2" eb="3">
      <t>カタ</t>
    </rPh>
    <phoneticPr fontId="48"/>
  </si>
  <si>
    <t>ｺﾝﾄﾛｰﾙﾕﾆｯﾄ</t>
    <phoneticPr fontId="48"/>
  </si>
  <si>
    <t>ﾀｲﾑｽｲｯﾁ用</t>
    <rPh sb="7" eb="8">
      <t>ヨウ</t>
    </rPh>
    <phoneticPr fontId="48"/>
  </si>
  <si>
    <t>ｺﾝﾄﾛｰﾙﾕﾆｯﾄAS付</t>
    <rPh sb="12" eb="13">
      <t>ツキ</t>
    </rPh>
    <phoneticPr fontId="48"/>
  </si>
  <si>
    <t>同AS対応</t>
    <rPh sb="0" eb="1">
      <t>ドウ</t>
    </rPh>
    <rPh sb="3" eb="5">
      <t>タイオウ</t>
    </rPh>
    <phoneticPr fontId="48"/>
  </si>
  <si>
    <t>電力量計</t>
    <rPh sb="0" eb="4">
      <t>デンリョクリョウケイ</t>
    </rPh>
    <phoneticPr fontId="48"/>
  </si>
  <si>
    <t>算出人員</t>
    <rPh sb="0" eb="2">
      <t>サンシュツ</t>
    </rPh>
    <rPh sb="2" eb="4">
      <t>ジンイン</t>
    </rPh>
    <phoneticPr fontId="48"/>
  </si>
  <si>
    <t>適用人員</t>
    <rPh sb="0" eb="2">
      <t>テキヨウ</t>
    </rPh>
    <rPh sb="2" eb="4">
      <t>ジンイン</t>
    </rPh>
    <phoneticPr fontId="48"/>
  </si>
  <si>
    <t>（備考欄による）</t>
    <rPh sb="1" eb="3">
      <t>ビコウ</t>
    </rPh>
    <rPh sb="3" eb="4">
      <t>ラン</t>
    </rPh>
    <phoneticPr fontId="48"/>
  </si>
  <si>
    <t>積算実務</t>
    <rPh sb="2" eb="4">
      <t>ジツム</t>
    </rPh>
    <phoneticPr fontId="48"/>
  </si>
  <si>
    <t>マニュアル</t>
    <phoneticPr fontId="48"/>
  </si>
  <si>
    <t>日東工業</t>
    <rPh sb="0" eb="4">
      <t>ニットウコウギョウ</t>
    </rPh>
    <phoneticPr fontId="48"/>
  </si>
  <si>
    <t>パナソニック</t>
    <phoneticPr fontId="48"/>
  </si>
  <si>
    <t>S-AC</t>
    <phoneticPr fontId="48"/>
  </si>
  <si>
    <t>ワイヤードリモコン</t>
    <phoneticPr fontId="54"/>
  </si>
  <si>
    <t>個</t>
    <rPh sb="0" eb="1">
      <t>コ</t>
    </rPh>
    <phoneticPr fontId="48"/>
  </si>
  <si>
    <t>ON,OFF集中コントローラー</t>
    <rPh sb="6" eb="8">
      <t>シュウチュウ</t>
    </rPh>
    <phoneticPr fontId="54"/>
  </si>
  <si>
    <t>見積比較表　E(1)</t>
    <rPh sb="0" eb="2">
      <t>ミツモリ</t>
    </rPh>
    <rPh sb="2" eb="5">
      <t>ヒカクヒョウ</t>
    </rPh>
    <phoneticPr fontId="48"/>
  </si>
  <si>
    <t>見積比較表　E(2)</t>
    <rPh sb="0" eb="2">
      <t>ミツモリ</t>
    </rPh>
    <rPh sb="2" eb="5">
      <t>ヒカクヒョウ</t>
    </rPh>
    <phoneticPr fontId="48"/>
  </si>
  <si>
    <t>200×200×200</t>
    <phoneticPr fontId="48"/>
  </si>
  <si>
    <t>300×300×300</t>
    <phoneticPr fontId="48"/>
  </si>
  <si>
    <t>太暢金属</t>
    <rPh sb="0" eb="1">
      <t>フトシ</t>
    </rPh>
    <rPh sb="2" eb="4">
      <t>キンゾク</t>
    </rPh>
    <phoneticPr fontId="48"/>
  </si>
  <si>
    <t>八州電工</t>
    <rPh sb="0" eb="2">
      <t>ハッシュウ</t>
    </rPh>
    <rPh sb="2" eb="4">
      <t>デンコウ</t>
    </rPh>
    <phoneticPr fontId="48"/>
  </si>
  <si>
    <t>プルボックス(実勢価格)</t>
    <rPh sb="7" eb="11">
      <t>ジッセイカカク</t>
    </rPh>
    <phoneticPr fontId="48"/>
  </si>
  <si>
    <t>プルボックス(実勢価格)</t>
    <phoneticPr fontId="48"/>
  </si>
  <si>
    <t>ガス工事（大垣ガス）</t>
    <rPh sb="2" eb="4">
      <t>コウジ</t>
    </rPh>
    <rPh sb="5" eb="7">
      <t>オオガキ</t>
    </rPh>
    <phoneticPr fontId="48"/>
  </si>
  <si>
    <t>計装設備</t>
    <rPh sb="0" eb="4">
      <t>ケイソウセツビ</t>
    </rPh>
    <phoneticPr fontId="48"/>
  </si>
  <si>
    <t>計装設備</t>
    <rPh sb="0" eb="2">
      <t>ケイソウ</t>
    </rPh>
    <rPh sb="2" eb="4">
      <t>セツビ</t>
    </rPh>
    <phoneticPr fontId="48"/>
  </si>
  <si>
    <t>※他社アズビル、ジョンソンコントロールズは見積辞退の連絡あり</t>
    <rPh sb="1" eb="3">
      <t>タシャ</t>
    </rPh>
    <rPh sb="21" eb="23">
      <t>ミツモリ</t>
    </rPh>
    <rPh sb="23" eb="25">
      <t>ジタイ</t>
    </rPh>
    <rPh sb="26" eb="28">
      <t>レンラク</t>
    </rPh>
    <phoneticPr fontId="48"/>
  </si>
  <si>
    <t>富士工器</t>
    <rPh sb="0" eb="4">
      <t>フジコウキ</t>
    </rPh>
    <phoneticPr fontId="48"/>
  </si>
  <si>
    <t>本荘工業</t>
    <rPh sb="0" eb="2">
      <t>ホンジョウ</t>
    </rPh>
    <rPh sb="2" eb="4">
      <t>コウギョウ</t>
    </rPh>
    <phoneticPr fontId="48"/>
  </si>
  <si>
    <t>石原工業</t>
    <rPh sb="0" eb="2">
      <t>イシハラ</t>
    </rPh>
    <rPh sb="2" eb="4">
      <t>コウギョウ</t>
    </rPh>
    <phoneticPr fontId="48"/>
  </si>
  <si>
    <t>※富士工器は消火器、温水配管別途工事なので不採用とする。</t>
    <rPh sb="1" eb="5">
      <t>フジコウキ</t>
    </rPh>
    <rPh sb="6" eb="9">
      <t>ショウカキ</t>
    </rPh>
    <rPh sb="10" eb="18">
      <t>オンスイハイカンベットコウジ</t>
    </rPh>
    <rPh sb="21" eb="24">
      <t>フサイヨウ</t>
    </rPh>
    <phoneticPr fontId="48"/>
  </si>
  <si>
    <t>自立運転スイッチ＋集中設定費込み</t>
    <rPh sb="2" eb="4">
      <t>ウンテン</t>
    </rPh>
    <rPh sb="9" eb="11">
      <t>シュウチュウ</t>
    </rPh>
    <rPh sb="11" eb="13">
      <t>セッテイ</t>
    </rPh>
    <rPh sb="13" eb="14">
      <t>ヒ</t>
    </rPh>
    <rPh sb="14" eb="15">
      <t>コ</t>
    </rPh>
    <phoneticPr fontId="54"/>
  </si>
  <si>
    <t>300㎏/㎥未満</t>
    <rPh sb="6" eb="8">
      <t>ミマン</t>
    </rPh>
    <phoneticPr fontId="48"/>
  </si>
  <si>
    <t>25A</t>
    <phoneticPr fontId="48"/>
  </si>
  <si>
    <t>SUS製防虫金網</t>
    <rPh sb="3" eb="4">
      <t>セイ</t>
    </rPh>
    <rPh sb="4" eb="6">
      <t>ボウチュウ</t>
    </rPh>
    <rPh sb="6" eb="8">
      <t>カナアミ</t>
    </rPh>
    <phoneticPr fontId="48"/>
  </si>
  <si>
    <t>集中ON,OFF　ﾘﾓｺﾝ</t>
    <phoneticPr fontId="48"/>
  </si>
  <si>
    <t>個</t>
    <rPh sb="0" eb="1">
      <t>コ</t>
    </rPh>
    <phoneticPr fontId="48"/>
  </si>
  <si>
    <t>自立運転スイッチ＋集中設定費込み</t>
    <phoneticPr fontId="48"/>
  </si>
  <si>
    <t>ワイヤードリモコン</t>
    <phoneticPr fontId="48"/>
  </si>
  <si>
    <t>計装設備に支給</t>
    <rPh sb="0" eb="4">
      <t>ケイソウセツビ</t>
    </rPh>
    <rPh sb="5" eb="7">
      <t>シキュウ</t>
    </rPh>
    <phoneticPr fontId="48"/>
  </si>
  <si>
    <t>機器搬入費</t>
    <rPh sb="0" eb="2">
      <t>キキ</t>
    </rPh>
    <phoneticPr fontId="48"/>
  </si>
  <si>
    <t>SR-1自動制御盤</t>
    <rPh sb="4" eb="6">
      <t>ジドウ</t>
    </rPh>
    <rPh sb="6" eb="8">
      <t>セイギョ</t>
    </rPh>
    <rPh sb="8" eb="9">
      <t>バン</t>
    </rPh>
    <phoneticPr fontId="54"/>
  </si>
  <si>
    <t>SR-2自動制御盤</t>
    <rPh sb="4" eb="6">
      <t>ジドウ</t>
    </rPh>
    <rPh sb="6" eb="8">
      <t>セイギョ</t>
    </rPh>
    <rPh sb="8" eb="9">
      <t>バン</t>
    </rPh>
    <phoneticPr fontId="54"/>
  </si>
  <si>
    <t>調整費</t>
    <rPh sb="0" eb="3">
      <t>チョウセイヒ</t>
    </rPh>
    <phoneticPr fontId="48"/>
  </si>
  <si>
    <t>式</t>
    <rPh sb="0" eb="1">
      <t>シキ</t>
    </rPh>
    <phoneticPr fontId="48"/>
  </si>
  <si>
    <t>付属ケーブル</t>
    <rPh sb="0" eb="2">
      <t>フゾク</t>
    </rPh>
    <phoneticPr fontId="48"/>
  </si>
  <si>
    <t>ケーブルEM-CEE1.25-2C</t>
    <phoneticPr fontId="48"/>
  </si>
  <si>
    <t>ケーブルEM-CEES1.25-2C</t>
    <phoneticPr fontId="48"/>
  </si>
  <si>
    <t>ケーブルEM-CEES1.25-6C</t>
    <phoneticPr fontId="48"/>
  </si>
  <si>
    <t>ケーブルEM-CEES1.25-7C</t>
    <phoneticPr fontId="48"/>
  </si>
  <si>
    <t>ケーブルEM-CE2.0-3C</t>
    <phoneticPr fontId="48"/>
  </si>
  <si>
    <t>m</t>
    <phoneticPr fontId="48"/>
  </si>
  <si>
    <t>電線管　E25</t>
    <rPh sb="0" eb="3">
      <t>デンセンカン</t>
    </rPh>
    <phoneticPr fontId="48"/>
  </si>
  <si>
    <t>電線管　E31</t>
    <rPh sb="0" eb="3">
      <t>デンセンカン</t>
    </rPh>
    <phoneticPr fontId="48"/>
  </si>
  <si>
    <t>電線管　E51</t>
    <rPh sb="0" eb="3">
      <t>デンセンカン</t>
    </rPh>
    <phoneticPr fontId="48"/>
  </si>
  <si>
    <t>溶融亜鉛メッキ電線管　G22</t>
    <rPh sb="0" eb="4">
      <t>ヨウユウアエン</t>
    </rPh>
    <rPh sb="7" eb="10">
      <t>デンセンカン</t>
    </rPh>
    <phoneticPr fontId="48"/>
  </si>
  <si>
    <t>溶融亜鉛メッキ電線管　G28</t>
    <rPh sb="0" eb="4">
      <t>ヨウユウアエン</t>
    </rPh>
    <rPh sb="7" eb="10">
      <t>デンセンカン</t>
    </rPh>
    <phoneticPr fontId="48"/>
  </si>
  <si>
    <t>溶融亜鉛メッキ電線管　G36</t>
    <rPh sb="0" eb="4">
      <t>ヨウユウアエン</t>
    </rPh>
    <rPh sb="7" eb="10">
      <t>デンセンカン</t>
    </rPh>
    <phoneticPr fontId="48"/>
  </si>
  <si>
    <t>電線管付属品</t>
    <rPh sb="0" eb="6">
      <t>デンセンカンフゾクヒン</t>
    </rPh>
    <phoneticPr fontId="48"/>
  </si>
  <si>
    <t>プリカ＆コネクター類</t>
    <rPh sb="9" eb="10">
      <t>ルイ</t>
    </rPh>
    <phoneticPr fontId="48"/>
  </si>
  <si>
    <t>防水プルボックス250×250×250SUS</t>
    <rPh sb="0" eb="2">
      <t>ボウスイ</t>
    </rPh>
    <phoneticPr fontId="48"/>
  </si>
  <si>
    <t>吊材料費及び指示具</t>
    <rPh sb="0" eb="1">
      <t>ツリ</t>
    </rPh>
    <rPh sb="1" eb="4">
      <t>ザイリョウヒ</t>
    </rPh>
    <rPh sb="4" eb="5">
      <t>オヨ</t>
    </rPh>
    <rPh sb="6" eb="9">
      <t>シジグ</t>
    </rPh>
    <phoneticPr fontId="48"/>
  </si>
  <si>
    <t>雑材料・消耗品</t>
    <rPh sb="0" eb="3">
      <t>ザツザイリョウ</t>
    </rPh>
    <rPh sb="4" eb="7">
      <t>ショウモウヒン</t>
    </rPh>
    <phoneticPr fontId="48"/>
  </si>
  <si>
    <t>機器取付費</t>
    <rPh sb="0" eb="2">
      <t>キキ</t>
    </rPh>
    <rPh sb="2" eb="5">
      <t>トリツケヒ</t>
    </rPh>
    <phoneticPr fontId="48"/>
  </si>
  <si>
    <t>盤搬入費</t>
    <rPh sb="0" eb="1">
      <t>バン</t>
    </rPh>
    <rPh sb="1" eb="4">
      <t>ハンニュウヒ</t>
    </rPh>
    <phoneticPr fontId="48"/>
  </si>
  <si>
    <t>盤据付費</t>
    <rPh sb="0" eb="4">
      <t>バンスエツケヒ</t>
    </rPh>
    <phoneticPr fontId="48"/>
  </si>
  <si>
    <t>結線費</t>
    <rPh sb="0" eb="3">
      <t>ケッセンヒ</t>
    </rPh>
    <phoneticPr fontId="48"/>
  </si>
  <si>
    <t>本</t>
    <rPh sb="0" eb="1">
      <t>ホン</t>
    </rPh>
    <phoneticPr fontId="48"/>
  </si>
  <si>
    <t>労務費</t>
    <rPh sb="0" eb="3">
      <t>ロウムヒ</t>
    </rPh>
    <phoneticPr fontId="48"/>
  </si>
  <si>
    <t>雑工費</t>
    <rPh sb="0" eb="3">
      <t>ザツコウヒ</t>
    </rPh>
    <phoneticPr fontId="48"/>
  </si>
  <si>
    <t>試運転立会費</t>
    <rPh sb="0" eb="3">
      <t>シウンテン</t>
    </rPh>
    <rPh sb="3" eb="5">
      <t>タチアイ</t>
    </rPh>
    <rPh sb="5" eb="6">
      <t>ヒ</t>
    </rPh>
    <phoneticPr fontId="48"/>
  </si>
  <si>
    <t>機器・材料楊重費</t>
    <rPh sb="0" eb="2">
      <t>キキ</t>
    </rPh>
    <rPh sb="3" eb="5">
      <t>ザイリョウ</t>
    </rPh>
    <rPh sb="5" eb="7">
      <t>ヨウジュウ</t>
    </rPh>
    <rPh sb="7" eb="8">
      <t>ヒ</t>
    </rPh>
    <phoneticPr fontId="48"/>
  </si>
  <si>
    <t>交通運搬費</t>
    <rPh sb="0" eb="5">
      <t>コウツウウンパンヒ</t>
    </rPh>
    <phoneticPr fontId="48"/>
  </si>
  <si>
    <t>廃材場内小運搬費</t>
    <rPh sb="0" eb="2">
      <t>ハイザイ</t>
    </rPh>
    <rPh sb="2" eb="4">
      <t>ジョウナイ</t>
    </rPh>
    <rPh sb="4" eb="5">
      <t>ショウ</t>
    </rPh>
    <rPh sb="5" eb="7">
      <t>ウンパン</t>
    </rPh>
    <rPh sb="7" eb="8">
      <t>ヒ</t>
    </rPh>
    <phoneticPr fontId="48"/>
  </si>
  <si>
    <t>雑材料・消耗品</t>
    <rPh sb="0" eb="3">
      <t>ザツザイリョウ</t>
    </rPh>
    <rPh sb="4" eb="7">
      <t>ショウモウヒン</t>
    </rPh>
    <phoneticPr fontId="48"/>
  </si>
  <si>
    <t>土工事</t>
    <rPh sb="0" eb="1">
      <t>ド</t>
    </rPh>
    <rPh sb="1" eb="3">
      <t>コウジ</t>
    </rPh>
    <phoneticPr fontId="48"/>
  </si>
  <si>
    <t>代価3-4</t>
    <rPh sb="0" eb="2">
      <t>ダイカ</t>
    </rPh>
    <phoneticPr fontId="48"/>
  </si>
  <si>
    <t>給水埋設管土工事</t>
    <rPh sb="0" eb="2">
      <t>キュウスイ</t>
    </rPh>
    <rPh sb="2" eb="4">
      <t>マイセツ</t>
    </rPh>
    <rPh sb="4" eb="5">
      <t>カン</t>
    </rPh>
    <rPh sb="5" eb="8">
      <t>ドコウジ</t>
    </rPh>
    <phoneticPr fontId="63"/>
  </si>
  <si>
    <t>ｍ3</t>
    <phoneticPr fontId="48"/>
  </si>
  <si>
    <t>根切り</t>
    <rPh sb="0" eb="2">
      <t>ネキ</t>
    </rPh>
    <phoneticPr fontId="48"/>
  </si>
  <si>
    <t>埋め戻し</t>
    <rPh sb="0" eb="1">
      <t>ウ</t>
    </rPh>
    <rPh sb="2" eb="3">
      <t>モド</t>
    </rPh>
    <phoneticPr fontId="48"/>
  </si>
  <si>
    <t>仕切弁BOX</t>
    <rPh sb="0" eb="3">
      <t>シキリベン</t>
    </rPh>
    <phoneticPr fontId="54"/>
  </si>
  <si>
    <t>40A</t>
    <phoneticPr fontId="48"/>
  </si>
  <si>
    <t>天井内隠蔽　アルミガラスクロス25A</t>
    <rPh sb="0" eb="3">
      <t>テンジョウナイ</t>
    </rPh>
    <rPh sb="3" eb="5">
      <t>インペイ</t>
    </rPh>
    <phoneticPr fontId="54"/>
  </si>
  <si>
    <t>天井内隠蔽　アルミガラスクロス40A</t>
    <rPh sb="0" eb="3">
      <t>テンジョウナイ</t>
    </rPh>
    <rPh sb="3" eb="5">
      <t>インペイ</t>
    </rPh>
    <phoneticPr fontId="54"/>
  </si>
  <si>
    <t xml:space="preserve"> 硬質塩化ビニルライニング鋼管HIVP</t>
    <rPh sb="1" eb="5">
      <t>コウシツエンカ</t>
    </rPh>
    <rPh sb="13" eb="15">
      <t>コウカン</t>
    </rPh>
    <phoneticPr fontId="48"/>
  </si>
  <si>
    <t>50A</t>
    <phoneticPr fontId="48"/>
  </si>
  <si>
    <t>積算マニュアル機械</t>
    <rPh sb="0" eb="2">
      <t>セキサン</t>
    </rPh>
    <rPh sb="7" eb="9">
      <t>キカイ</t>
    </rPh>
    <phoneticPr fontId="54"/>
  </si>
  <si>
    <t>積算マニュアル機械</t>
    <rPh sb="0" eb="2">
      <t>セキサン</t>
    </rPh>
    <rPh sb="7" eb="9">
      <t>キカイ</t>
    </rPh>
    <phoneticPr fontId="48"/>
  </si>
  <si>
    <t>積算マニュアル機械改修</t>
    <rPh sb="0" eb="2">
      <t>セキサン</t>
    </rPh>
    <rPh sb="7" eb="11">
      <t>キカイカイシュウ</t>
    </rPh>
    <phoneticPr fontId="54"/>
  </si>
  <si>
    <t>Ｃ</t>
    <phoneticPr fontId="2"/>
  </si>
  <si>
    <t>付帯建築工事</t>
    <rPh sb="0" eb="2">
      <t>フタイ</t>
    </rPh>
    <rPh sb="2" eb="4">
      <t>ケンチク</t>
    </rPh>
    <rPh sb="4" eb="6">
      <t>コウジ</t>
    </rPh>
    <phoneticPr fontId="2"/>
  </si>
  <si>
    <t>付帯建築工事</t>
    <rPh sb="0" eb="2">
      <t>フタイ</t>
    </rPh>
    <rPh sb="2" eb="4">
      <t>ケンチク</t>
    </rPh>
    <rPh sb="4" eb="6">
      <t>コウジ</t>
    </rPh>
    <phoneticPr fontId="48"/>
  </si>
  <si>
    <t>GHP-4-1～3</t>
    <phoneticPr fontId="54"/>
  </si>
  <si>
    <t>ｶﾞｽﾋｰﾄﾎﾟﾝﾌﾟﾊﾟｯｹｰｼﾞｴｱｺﾝ</t>
    <phoneticPr fontId="48"/>
  </si>
  <si>
    <t>冷房　9.0kw</t>
    <phoneticPr fontId="48"/>
  </si>
  <si>
    <t>暖房　10.0kw</t>
    <phoneticPr fontId="48"/>
  </si>
  <si>
    <t>室内機－天井吊形</t>
    <rPh sb="4" eb="7">
      <t>テンジョウツリ</t>
    </rPh>
    <rPh sb="7" eb="8">
      <t>カタ</t>
    </rPh>
    <phoneticPr fontId="48"/>
  </si>
  <si>
    <t>室内機－天井カセット形</t>
    <rPh sb="4" eb="6">
      <t>テンジョウ</t>
    </rPh>
    <rPh sb="10" eb="11">
      <t>カタ</t>
    </rPh>
    <phoneticPr fontId="48"/>
  </si>
  <si>
    <t>大垣ガス</t>
    <rPh sb="0" eb="2">
      <t>オオガキ</t>
    </rPh>
    <phoneticPr fontId="48"/>
  </si>
  <si>
    <t>冷媒配管、ドレン配管保温工事</t>
    <rPh sb="0" eb="2">
      <t>レイバイ</t>
    </rPh>
    <rPh sb="2" eb="4">
      <t>ハイカン</t>
    </rPh>
    <rPh sb="8" eb="10">
      <t>ハイカン</t>
    </rPh>
    <rPh sb="10" eb="12">
      <t>ホオン</t>
    </rPh>
    <rPh sb="12" eb="14">
      <t>コウジ</t>
    </rPh>
    <phoneticPr fontId="63"/>
  </si>
  <si>
    <t>室内機露出配管　GW+塩ビ製樹脂カバー</t>
    <rPh sb="0" eb="3">
      <t>シツナイキ</t>
    </rPh>
    <rPh sb="3" eb="5">
      <t>ロシュツ</t>
    </rPh>
    <rPh sb="5" eb="7">
      <t>ハイカン</t>
    </rPh>
    <rPh sb="11" eb="12">
      <t>エン</t>
    </rPh>
    <rPh sb="13" eb="14">
      <t>セイ</t>
    </rPh>
    <rPh sb="14" eb="16">
      <t>ジュシ</t>
    </rPh>
    <phoneticPr fontId="48"/>
  </si>
  <si>
    <t>屋外露出　GW＋SUS　20A　</t>
    <rPh sb="0" eb="2">
      <t>オクガイ</t>
    </rPh>
    <rPh sb="2" eb="4">
      <t>ロシュツ</t>
    </rPh>
    <phoneticPr fontId="48"/>
  </si>
  <si>
    <t>L250×100φ</t>
    <phoneticPr fontId="63"/>
  </si>
  <si>
    <t>撤去工事</t>
    <rPh sb="0" eb="2">
      <t>テッキョ</t>
    </rPh>
    <rPh sb="2" eb="4">
      <t>コウジ</t>
    </rPh>
    <phoneticPr fontId="63"/>
  </si>
  <si>
    <t>冷媒配管撤去</t>
    <rPh sb="0" eb="6">
      <t>レイバイハイカンテッキョ</t>
    </rPh>
    <phoneticPr fontId="54"/>
  </si>
  <si>
    <t>台</t>
    <rPh sb="0" eb="1">
      <t>ダイ</t>
    </rPh>
    <phoneticPr fontId="48"/>
  </si>
  <si>
    <t>AC-1空調室内機撤去</t>
    <rPh sb="4" eb="6">
      <t>クウチョウ</t>
    </rPh>
    <rPh sb="6" eb="9">
      <t>シツナイキ</t>
    </rPh>
    <rPh sb="9" eb="11">
      <t>テッキョ</t>
    </rPh>
    <phoneticPr fontId="48"/>
  </si>
  <si>
    <t>ツインエアコン冷房20.0kw　　暖房22.4ｋｗ</t>
    <rPh sb="7" eb="9">
      <t>レイボウ</t>
    </rPh>
    <rPh sb="17" eb="19">
      <t>ダンボウ</t>
    </rPh>
    <phoneticPr fontId="48"/>
  </si>
  <si>
    <t>天井カセット形　冷房10.0kw　暖房11.2ｋｗ</t>
    <rPh sb="0" eb="2">
      <t>テンジョウ</t>
    </rPh>
    <rPh sb="6" eb="7">
      <t>カタ</t>
    </rPh>
    <rPh sb="8" eb="10">
      <t>レイボウ</t>
    </rPh>
    <rPh sb="17" eb="19">
      <t>ダンボウ</t>
    </rPh>
    <phoneticPr fontId="48"/>
  </si>
  <si>
    <t>AC-2空調室内機撤去</t>
    <rPh sb="4" eb="6">
      <t>クウチョウ</t>
    </rPh>
    <rPh sb="6" eb="9">
      <t>シツナイキ</t>
    </rPh>
    <rPh sb="9" eb="11">
      <t>テッキョ</t>
    </rPh>
    <phoneticPr fontId="48"/>
  </si>
  <si>
    <t>セパレートエアコン冷房10.0kw　　暖房11.2ｋｗ</t>
    <rPh sb="9" eb="11">
      <t>レイボウ</t>
    </rPh>
    <rPh sb="19" eb="21">
      <t>ダンボウ</t>
    </rPh>
    <phoneticPr fontId="48"/>
  </si>
  <si>
    <t>AC-1空調室外機撤去(架台共)</t>
    <rPh sb="4" eb="6">
      <t>クウチョウ</t>
    </rPh>
    <rPh sb="6" eb="9">
      <t>シツガイキ</t>
    </rPh>
    <rPh sb="9" eb="11">
      <t>テッキョ</t>
    </rPh>
    <rPh sb="12" eb="15">
      <t>カダイトモ</t>
    </rPh>
    <phoneticPr fontId="48"/>
  </si>
  <si>
    <t>AC-2空調室外機撤去(架台共)</t>
    <rPh sb="4" eb="6">
      <t>クウチョウ</t>
    </rPh>
    <rPh sb="6" eb="9">
      <t>シツガイキ</t>
    </rPh>
    <rPh sb="9" eb="11">
      <t>テッキョ</t>
    </rPh>
    <rPh sb="12" eb="15">
      <t>カダイトモ</t>
    </rPh>
    <phoneticPr fontId="48"/>
  </si>
  <si>
    <t>20A-20A</t>
    <phoneticPr fontId="48"/>
  </si>
  <si>
    <t>積算マニュアル改修機械</t>
    <rPh sb="0" eb="2">
      <t>セキサン</t>
    </rPh>
    <rPh sb="7" eb="11">
      <t>カイシュウキカイ</t>
    </rPh>
    <phoneticPr fontId="48"/>
  </si>
  <si>
    <t>設計書</t>
    <rPh sb="0" eb="3">
      <t>セッケイショ</t>
    </rPh>
    <phoneticPr fontId="48"/>
  </si>
  <si>
    <t>大藪小学校屋内運動場空調設備設置工事</t>
    <rPh sb="0" eb="2">
      <t>オオヤブ</t>
    </rPh>
    <rPh sb="2" eb="5">
      <t>ショウガッコウ</t>
    </rPh>
    <rPh sb="5" eb="7">
      <t>オクナイ</t>
    </rPh>
    <rPh sb="7" eb="10">
      <t>ウンドウジョウ</t>
    </rPh>
    <rPh sb="10" eb="12">
      <t>クウチョウ</t>
    </rPh>
    <rPh sb="12" eb="14">
      <t>セツビ</t>
    </rPh>
    <rPh sb="14" eb="16">
      <t>セッチ</t>
    </rPh>
    <rPh sb="16" eb="18">
      <t>コウジ</t>
    </rPh>
    <phoneticPr fontId="48"/>
  </si>
  <si>
    <t>大藪小学校屋内運動場空調設備設置工事</t>
    <phoneticPr fontId="48"/>
  </si>
  <si>
    <t>朝日機器(アイシン)</t>
    <rPh sb="0" eb="4">
      <t>アサヒキキ</t>
    </rPh>
    <phoneticPr fontId="48"/>
  </si>
  <si>
    <t>給水配管工事含む</t>
    <rPh sb="0" eb="2">
      <t>キュウスイ</t>
    </rPh>
    <rPh sb="2" eb="7">
      <t>ハイカンコウジフク</t>
    </rPh>
    <phoneticPr fontId="48"/>
  </si>
  <si>
    <t>　20A  土中埋設</t>
    <rPh sb="6" eb="10">
      <t>ドチュウマイセツ</t>
    </rPh>
    <phoneticPr fontId="48"/>
  </si>
  <si>
    <t>　20A  屋外露出</t>
    <rPh sb="6" eb="10">
      <t>オクガイロシュツ</t>
    </rPh>
    <phoneticPr fontId="48"/>
  </si>
  <si>
    <t>バルクタンク塗装工事</t>
    <rPh sb="6" eb="10">
      <t>トソウコウジ</t>
    </rPh>
    <phoneticPr fontId="48"/>
  </si>
  <si>
    <t>バルクタンク塗装工事</t>
    <rPh sb="6" eb="10">
      <t>トソウコウジ</t>
    </rPh>
    <phoneticPr fontId="63"/>
  </si>
  <si>
    <t>※ヤンマーは自立運転制御が図面内容と異なるので見積除外とした。</t>
    <rPh sb="6" eb="8">
      <t>ジリツ</t>
    </rPh>
    <rPh sb="8" eb="10">
      <t>ウンテン</t>
    </rPh>
    <rPh sb="10" eb="12">
      <t>セイギョ</t>
    </rPh>
    <rPh sb="13" eb="17">
      <t>ズメンナイヨウ</t>
    </rPh>
    <rPh sb="18" eb="19">
      <t>コト</t>
    </rPh>
    <rPh sb="23" eb="25">
      <t>ミツモリ</t>
    </rPh>
    <rPh sb="25" eb="27">
      <t>ジョガイ</t>
    </rPh>
    <phoneticPr fontId="54"/>
  </si>
  <si>
    <t>Ｃ</t>
    <phoneticPr fontId="48"/>
  </si>
  <si>
    <r>
      <t>共通仮設費(積上げ</t>
    </r>
    <r>
      <rPr>
        <sz val="11"/>
        <rFont val="ＭＳ Ｐゴシック"/>
        <family val="3"/>
        <charset val="128"/>
      </rPr>
      <t>)</t>
    </r>
    <rPh sb="6" eb="8">
      <t>ツミア</t>
    </rPh>
    <phoneticPr fontId="48"/>
  </si>
  <si>
    <t>1.直接仮設</t>
    <rPh sb="2" eb="4">
      <t>チョクセツ</t>
    </rPh>
    <rPh sb="4" eb="6">
      <t>カセツ</t>
    </rPh>
    <phoneticPr fontId="48"/>
  </si>
  <si>
    <t>2.撤去工事</t>
    <rPh sb="2" eb="4">
      <t>テッキョ</t>
    </rPh>
    <rPh sb="4" eb="6">
      <t>コウジ</t>
    </rPh>
    <phoneticPr fontId="48"/>
  </si>
  <si>
    <t>3.室外機置場建築工事</t>
    <rPh sb="2" eb="5">
      <t>シツガイキ</t>
    </rPh>
    <rPh sb="5" eb="7">
      <t>オキバ</t>
    </rPh>
    <rPh sb="7" eb="9">
      <t>ケンチク</t>
    </rPh>
    <rPh sb="9" eb="11">
      <t>コウジ</t>
    </rPh>
    <phoneticPr fontId="48"/>
  </si>
  <si>
    <t>C</t>
  </si>
  <si>
    <t>1.直接仮設</t>
  </si>
  <si>
    <t>やりかた</t>
  </si>
  <si>
    <t>RC造</t>
  </si>
  <si>
    <t>㎡</t>
  </si>
  <si>
    <t>墨出し</t>
  </si>
  <si>
    <t>室外機置場</t>
  </si>
  <si>
    <t>養生</t>
  </si>
  <si>
    <t>ｍ</t>
  </si>
  <si>
    <t>床養生</t>
  </si>
  <si>
    <t>ﾐｰﾃｨﾝｸﾞ･ｱﾘｰﾅ･ｷﾞｬﾗﾘｰ</t>
  </si>
  <si>
    <t>清掃型付</t>
  </si>
  <si>
    <t>竣工清掃</t>
  </si>
  <si>
    <t>外部足場</t>
  </si>
  <si>
    <t>クサビ足場　３ヶ月</t>
  </si>
  <si>
    <t>養生シート</t>
  </si>
  <si>
    <t>内部足場</t>
  </si>
  <si>
    <t>脚立足場</t>
  </si>
  <si>
    <t>2.撤去工事</t>
  </si>
  <si>
    <t>樹木撤去</t>
  </si>
  <si>
    <t>見積×0.7</t>
  </si>
  <si>
    <t>コンクリートカッター</t>
  </si>
  <si>
    <t>コンクリートカッター撤去</t>
  </si>
  <si>
    <t>運搬・処分共</t>
  </si>
  <si>
    <t>ｍ3</t>
  </si>
  <si>
    <t>U字溝(蓋共)撤去</t>
  </si>
  <si>
    <t>土撤去</t>
  </si>
  <si>
    <t>重機回送費</t>
  </si>
  <si>
    <t>ケイカル板 t12撤去</t>
  </si>
  <si>
    <t>軽鉄下地共</t>
  </si>
  <si>
    <t>ｍ2</t>
  </si>
  <si>
    <t>軽鉄下地運搬・処分費</t>
  </si>
  <si>
    <t>代価1-1</t>
  </si>
  <si>
    <t>ケイカル板 t12運搬・処分費</t>
  </si>
  <si>
    <t>代価1-2</t>
  </si>
  <si>
    <t>塩ビ廻り縁撤去</t>
  </si>
  <si>
    <t>3室外機置場建築工事</t>
  </si>
  <si>
    <t>3-1.土工事</t>
  </si>
  <si>
    <t>3-2.コンクリート</t>
  </si>
  <si>
    <t>3-3.鉄筋工事</t>
  </si>
  <si>
    <t>3-4.型枠工事</t>
  </si>
  <si>
    <t>3-5.左官工事</t>
  </si>
  <si>
    <t>3-6.雑工事</t>
  </si>
  <si>
    <t>計</t>
  </si>
  <si>
    <t>根切</t>
  </si>
  <si>
    <t>総堀</t>
  </si>
  <si>
    <t>埋戻し</t>
  </si>
  <si>
    <t>機械</t>
  </si>
  <si>
    <t>人力</t>
  </si>
  <si>
    <t>残土処分</t>
  </si>
  <si>
    <t>砕石</t>
  </si>
  <si>
    <t>土間下</t>
  </si>
  <si>
    <t>機械運搬費</t>
  </si>
  <si>
    <t>バックホウ</t>
  </si>
  <si>
    <t>往復</t>
  </si>
  <si>
    <t>捨コンクリート</t>
  </si>
  <si>
    <t>18-18-25</t>
  </si>
  <si>
    <t>同上打設</t>
  </si>
  <si>
    <t>ベースコンクリート</t>
  </si>
  <si>
    <t>21-18-25</t>
  </si>
  <si>
    <t>土間</t>
  </si>
  <si>
    <t>躯体コンクリート</t>
  </si>
  <si>
    <t>壁</t>
  </si>
  <si>
    <t>ポンプ圧送費</t>
  </si>
  <si>
    <t>回</t>
  </si>
  <si>
    <t>異形鉄筋D13</t>
  </si>
  <si>
    <t>SD295A、0.995kg/m</t>
  </si>
  <si>
    <t>ｔ</t>
  </si>
  <si>
    <t>鉄筋加工組立</t>
  </si>
  <si>
    <t>壁式</t>
  </si>
  <si>
    <t>鉄筋運搬</t>
  </si>
  <si>
    <t>4ｔ</t>
  </si>
  <si>
    <t>普通型枠</t>
  </si>
  <si>
    <t>捨コン</t>
  </si>
  <si>
    <t>化粧型枠</t>
  </si>
  <si>
    <t>型枠運搬</t>
  </si>
  <si>
    <t>4t</t>
  </si>
  <si>
    <t>床コンクリートコテ仕上</t>
  </si>
  <si>
    <t>壁天端ｺﾝｸﾘｰﾄ均し</t>
  </si>
  <si>
    <t>木コテ1回</t>
  </si>
  <si>
    <t>U字側溝</t>
  </si>
  <si>
    <t>U-300型　捨ｺﾝ・砕石共</t>
  </si>
  <si>
    <t>m</t>
  </si>
  <si>
    <t>同コンクリート蓋</t>
  </si>
  <si>
    <t>代価2-1</t>
  </si>
  <si>
    <t>同グレーチング</t>
  </si>
  <si>
    <t>6ｔ</t>
  </si>
  <si>
    <t>代価2-2</t>
  </si>
  <si>
    <t>ネットフェンス</t>
  </si>
  <si>
    <t xml:space="preserve">ﾒｯｼｭﾌｪﾝｽ H2000 </t>
  </si>
  <si>
    <t>ネットフェンス門扉</t>
  </si>
  <si>
    <t>H2000 W1000</t>
  </si>
  <si>
    <t>個所</t>
  </si>
  <si>
    <t>代価2-3</t>
  </si>
  <si>
    <t>SUSチェーン</t>
  </si>
  <si>
    <t>6ｍｍ</t>
  </si>
  <si>
    <t>同上ﾌｯｸ</t>
  </si>
  <si>
    <t>同上Uカン</t>
  </si>
  <si>
    <t>防球ネット</t>
  </si>
  <si>
    <t>７m品２倍</t>
  </si>
  <si>
    <t>代価2-4</t>
  </si>
  <si>
    <t>軒天井</t>
  </si>
  <si>
    <t>ケイカル板 t12</t>
  </si>
  <si>
    <t>軽量天井下地　</t>
  </si>
  <si>
    <t>25形　＠300</t>
  </si>
  <si>
    <t>軽量天井下地下り</t>
  </si>
  <si>
    <t>25形</t>
  </si>
  <si>
    <t>軽量天井下地　開口補強</t>
  </si>
  <si>
    <t>25形　450角</t>
  </si>
  <si>
    <t>塩ビ製廻り縁</t>
  </si>
  <si>
    <t>塩ビ製廻り縁下り</t>
  </si>
  <si>
    <t>アルミ枠天井点検口</t>
  </si>
  <si>
    <t>EP-G塗</t>
  </si>
  <si>
    <t>A種</t>
  </si>
  <si>
    <t>防鳥ネット張</t>
  </si>
  <si>
    <t>ﾎﾟﾘｴﾁﾚﾝ　25ｍｍ角程度</t>
  </si>
  <si>
    <t>D</t>
  </si>
  <si>
    <t>共通仮設積上げ</t>
  </si>
  <si>
    <t>仮囲い</t>
  </si>
  <si>
    <t>バリケード　6ｹ月</t>
  </si>
  <si>
    <t>出入口扉</t>
  </si>
  <si>
    <t>建築　　代価表1</t>
    <rPh sb="0" eb="2">
      <t>ケンチク</t>
    </rPh>
    <rPh sb="4" eb="6">
      <t>ダイカ</t>
    </rPh>
    <rPh sb="6" eb="7">
      <t>ヒョウ</t>
    </rPh>
    <phoneticPr fontId="54"/>
  </si>
  <si>
    <t>撤去工事</t>
    <rPh sb="0" eb="2">
      <t>テッキョ</t>
    </rPh>
    <rPh sb="2" eb="4">
      <t>コウジ</t>
    </rPh>
    <phoneticPr fontId="48"/>
  </si>
  <si>
    <t>軽量鉄骨天井下地25形処分費</t>
    <rPh sb="0" eb="2">
      <t>ケイリョウ</t>
    </rPh>
    <rPh sb="2" eb="4">
      <t>テッコツ</t>
    </rPh>
    <rPh sb="4" eb="6">
      <t>テンジョウ</t>
    </rPh>
    <rPh sb="6" eb="8">
      <t>シタジ</t>
    </rPh>
    <rPh sb="10" eb="11">
      <t>カタ</t>
    </rPh>
    <rPh sb="11" eb="13">
      <t>ショブン</t>
    </rPh>
    <rPh sb="13" eb="14">
      <t>ヒ</t>
    </rPh>
    <phoneticPr fontId="48"/>
  </si>
  <si>
    <t>積込み費</t>
    <rPh sb="0" eb="2">
      <t>ツミコ</t>
    </rPh>
    <rPh sb="3" eb="4">
      <t>ヒ</t>
    </rPh>
    <phoneticPr fontId="48"/>
  </si>
  <si>
    <t>運搬費</t>
    <rPh sb="0" eb="3">
      <t>ウンパンヒ</t>
    </rPh>
    <phoneticPr fontId="48"/>
  </si>
  <si>
    <t>一般運転手</t>
    <rPh sb="0" eb="2">
      <t>イッパン</t>
    </rPh>
    <rPh sb="2" eb="5">
      <t>ウンテンシュ</t>
    </rPh>
    <phoneticPr fontId="48"/>
  </si>
  <si>
    <t>人工</t>
    <rPh sb="0" eb="2">
      <t>ニンク</t>
    </rPh>
    <phoneticPr fontId="48"/>
  </si>
  <si>
    <t>処分費</t>
    <rPh sb="0" eb="3">
      <t>ショブンヒ</t>
    </rPh>
    <phoneticPr fontId="48"/>
  </si>
  <si>
    <t>衣浦港</t>
    <rPh sb="0" eb="2">
      <t>キヌウラ</t>
    </rPh>
    <rPh sb="2" eb="3">
      <t>ミナト</t>
    </rPh>
    <phoneticPr fontId="48"/>
  </si>
  <si>
    <t>ｔ</t>
    <phoneticPr fontId="48"/>
  </si>
  <si>
    <t>改計</t>
    <rPh sb="0" eb="1">
      <t>カイ</t>
    </rPh>
    <rPh sb="1" eb="2">
      <t>ケイ</t>
    </rPh>
    <phoneticPr fontId="48"/>
  </si>
  <si>
    <t>端数調整</t>
    <rPh sb="0" eb="2">
      <t>ハスウ</t>
    </rPh>
    <rPh sb="2" eb="4">
      <t>チョウセイ</t>
    </rPh>
    <phoneticPr fontId="48"/>
  </si>
  <si>
    <t>ケイカル板t12処分費</t>
    <rPh sb="4" eb="5">
      <t>イタ</t>
    </rPh>
    <rPh sb="8" eb="11">
      <t>ショブンヒ</t>
    </rPh>
    <phoneticPr fontId="48"/>
  </si>
  <si>
    <t>建築　　代価表2</t>
    <rPh sb="0" eb="2">
      <t>ケンチク</t>
    </rPh>
    <rPh sb="4" eb="6">
      <t>ダイカ</t>
    </rPh>
    <rPh sb="6" eb="7">
      <t>ヒョウ</t>
    </rPh>
    <phoneticPr fontId="54"/>
  </si>
  <si>
    <t>雑工事</t>
    <rPh sb="0" eb="1">
      <t>ザツ</t>
    </rPh>
    <rPh sb="1" eb="3">
      <t>コウジ</t>
    </rPh>
    <phoneticPr fontId="48"/>
  </si>
  <si>
    <t>U字溝蓋</t>
    <rPh sb="1" eb="2">
      <t>ジ</t>
    </rPh>
    <rPh sb="2" eb="3">
      <t>ミゾ</t>
    </rPh>
    <rPh sb="3" eb="4">
      <t>フタ</t>
    </rPh>
    <phoneticPr fontId="63"/>
  </si>
  <si>
    <t>コンクリート蓋　W300　L500</t>
    <phoneticPr fontId="48"/>
  </si>
  <si>
    <t>枚</t>
  </si>
  <si>
    <t>人/ｍ</t>
    <phoneticPr fontId="48"/>
  </si>
  <si>
    <t>ｍ</t>
    <phoneticPr fontId="48"/>
  </si>
  <si>
    <t>代価2-2</t>
    <rPh sb="0" eb="2">
      <t>ダイカ</t>
    </rPh>
    <phoneticPr fontId="48"/>
  </si>
  <si>
    <t>鋼製グレーチング</t>
    <rPh sb="0" eb="2">
      <t>コウセイ</t>
    </rPh>
    <phoneticPr fontId="48"/>
  </si>
  <si>
    <t>ｽﾁｰﾙｸﾞﾚｰﾁﾝｸﾞ　6ｔ</t>
  </si>
  <si>
    <t>特殊作業員(枠無)</t>
  </si>
  <si>
    <t>代価2-3</t>
    <rPh sb="0" eb="2">
      <t>ダイカ</t>
    </rPh>
    <phoneticPr fontId="48"/>
  </si>
  <si>
    <t>門扉</t>
  </si>
  <si>
    <t>ﾒｯｼｭﾌｪﾝｽ H2000 W1000</t>
  </si>
  <si>
    <t>特殊作業員</t>
  </si>
  <si>
    <t>人/箇所</t>
    <rPh sb="2" eb="4">
      <t>カショ</t>
    </rPh>
    <phoneticPr fontId="2"/>
  </si>
  <si>
    <t>個所</t>
    <phoneticPr fontId="48"/>
  </si>
  <si>
    <t>代価2-4</t>
    <rPh sb="0" eb="2">
      <t>ダイカ</t>
    </rPh>
    <phoneticPr fontId="63"/>
  </si>
  <si>
    <t>防球ネット7ｍ品</t>
  </si>
  <si>
    <t>14ｍ</t>
    <phoneticPr fontId="48"/>
  </si>
  <si>
    <t>代価2-5</t>
    <rPh sb="0" eb="2">
      <t>ダイカ</t>
    </rPh>
    <phoneticPr fontId="48"/>
  </si>
  <si>
    <t>防鳥ネット張</t>
    <rPh sb="0" eb="2">
      <t>ボウチョウ</t>
    </rPh>
    <rPh sb="5" eb="6">
      <t>ハリ</t>
    </rPh>
    <phoneticPr fontId="48"/>
  </si>
  <si>
    <t>ﾎﾟﾘｴﾁﾚﾝ25mm角</t>
    <rPh sb="11" eb="12">
      <t>カク</t>
    </rPh>
    <phoneticPr fontId="48"/>
  </si>
  <si>
    <t>ｍ2</t>
    <phoneticPr fontId="48"/>
  </si>
  <si>
    <t>人/㎡</t>
    <rPh sb="0" eb="1">
      <t>ニン</t>
    </rPh>
    <phoneticPr fontId="48"/>
  </si>
  <si>
    <t>見積比較表　建築</t>
    <rPh sb="0" eb="2">
      <t>ミツモリ</t>
    </rPh>
    <rPh sb="2" eb="5">
      <t>ヒカクヒョウ</t>
    </rPh>
    <rPh sb="6" eb="8">
      <t>ケンチク</t>
    </rPh>
    <phoneticPr fontId="48"/>
  </si>
  <si>
    <t>撤去</t>
    <rPh sb="0" eb="2">
      <t>テッキョ</t>
    </rPh>
    <phoneticPr fontId="48"/>
  </si>
  <si>
    <t>(株)名神</t>
    <rPh sb="0" eb="3">
      <t>カブ</t>
    </rPh>
    <rPh sb="3" eb="5">
      <t>メイシン</t>
    </rPh>
    <phoneticPr fontId="2"/>
  </si>
  <si>
    <t>(株)ガラシャ</t>
    <rPh sb="0" eb="3">
      <t>カブ</t>
    </rPh>
    <phoneticPr fontId="2"/>
  </si>
  <si>
    <t>(株)ブレイク</t>
    <rPh sb="0" eb="3">
      <t>カブ</t>
    </rPh>
    <phoneticPr fontId="2"/>
  </si>
  <si>
    <t>樹木撤去・処分</t>
    <rPh sb="0" eb="2">
      <t>ジュモク</t>
    </rPh>
    <rPh sb="2" eb="4">
      <t>テッキョ</t>
    </rPh>
    <rPh sb="5" eb="7">
      <t>ショブン</t>
    </rPh>
    <phoneticPr fontId="2"/>
  </si>
  <si>
    <t>式</t>
    <rPh sb="0" eb="1">
      <t>シキ</t>
    </rPh>
    <phoneticPr fontId="2"/>
  </si>
  <si>
    <t>コンクリート撤去</t>
    <rPh sb="6" eb="8">
      <t>テッキョ</t>
    </rPh>
    <phoneticPr fontId="2"/>
  </si>
  <si>
    <t>運搬・処分共</t>
    <rPh sb="0" eb="2">
      <t>ウンパン</t>
    </rPh>
    <rPh sb="3" eb="5">
      <t>ショブン</t>
    </rPh>
    <rPh sb="5" eb="6">
      <t>トモ</t>
    </rPh>
    <phoneticPr fontId="2"/>
  </si>
  <si>
    <t>U字溝(蓋共)撤去</t>
    <rPh sb="1" eb="2">
      <t>ジ</t>
    </rPh>
    <rPh sb="2" eb="3">
      <t>ミゾ</t>
    </rPh>
    <rPh sb="4" eb="5">
      <t>フタ</t>
    </rPh>
    <rPh sb="5" eb="6">
      <t>トモ</t>
    </rPh>
    <rPh sb="7" eb="9">
      <t>テッキョ</t>
    </rPh>
    <phoneticPr fontId="2"/>
  </si>
  <si>
    <t>土撤去</t>
    <rPh sb="0" eb="1">
      <t>ツチ</t>
    </rPh>
    <rPh sb="1" eb="3">
      <t>テッキョ</t>
    </rPh>
    <phoneticPr fontId="2"/>
  </si>
  <si>
    <t>重機回送費</t>
    <rPh sb="0" eb="2">
      <t>ジュウキ</t>
    </rPh>
    <rPh sb="2" eb="5">
      <t>カイソウヒ</t>
    </rPh>
    <phoneticPr fontId="2"/>
  </si>
  <si>
    <t>物価単価資料　　比較表</t>
    <rPh sb="0" eb="2">
      <t>ブッカ</t>
    </rPh>
    <rPh sb="2" eb="4">
      <t>タンカ</t>
    </rPh>
    <rPh sb="4" eb="6">
      <t>シリョウ</t>
    </rPh>
    <rPh sb="8" eb="10">
      <t>ヒカク</t>
    </rPh>
    <rPh sb="10" eb="11">
      <t>ヒョウ</t>
    </rPh>
    <phoneticPr fontId="70"/>
  </si>
  <si>
    <t>No</t>
    <phoneticPr fontId="70"/>
  </si>
  <si>
    <t>名称</t>
    <rPh sb="0" eb="2">
      <t>メイショウ</t>
    </rPh>
    <phoneticPr fontId="70"/>
  </si>
  <si>
    <t>仕様等</t>
    <rPh sb="0" eb="2">
      <t>シヨウ</t>
    </rPh>
    <rPh sb="2" eb="3">
      <t>トウ</t>
    </rPh>
    <phoneticPr fontId="70"/>
  </si>
  <si>
    <t>単位</t>
    <rPh sb="0" eb="2">
      <t>タンイ</t>
    </rPh>
    <phoneticPr fontId="70"/>
  </si>
  <si>
    <t>建設物価2026/10</t>
    <rPh sb="0" eb="2">
      <t>ケンセツ</t>
    </rPh>
    <rPh sb="2" eb="3">
      <t>ブツ</t>
    </rPh>
    <phoneticPr fontId="70"/>
  </si>
  <si>
    <t>積算資料2026/10</t>
    <rPh sb="0" eb="2">
      <t>セキサン</t>
    </rPh>
    <rPh sb="2" eb="4">
      <t>シリョウ</t>
    </rPh>
    <phoneticPr fontId="70"/>
  </si>
  <si>
    <t>建築ｺｽﾄ情報2026/秋</t>
    <rPh sb="0" eb="2">
      <t>ケンチク</t>
    </rPh>
    <rPh sb="5" eb="7">
      <t>ジョウホウ</t>
    </rPh>
    <rPh sb="12" eb="13">
      <t>アキ</t>
    </rPh>
    <phoneticPr fontId="70"/>
  </si>
  <si>
    <t>建築施工単価2026/秋</t>
    <rPh sb="0" eb="2">
      <t>ケンチク</t>
    </rPh>
    <rPh sb="2" eb="4">
      <t>セコウ</t>
    </rPh>
    <rPh sb="4" eb="6">
      <t>タンカ</t>
    </rPh>
    <rPh sb="11" eb="12">
      <t>アキ</t>
    </rPh>
    <phoneticPr fontId="70"/>
  </si>
  <si>
    <t>採用価格</t>
    <rPh sb="0" eb="2">
      <t>サイヨウ</t>
    </rPh>
    <rPh sb="2" eb="4">
      <t>カカク</t>
    </rPh>
    <phoneticPr fontId="70"/>
  </si>
  <si>
    <t>価格</t>
    <rPh sb="0" eb="2">
      <t>カカク</t>
    </rPh>
    <phoneticPr fontId="70"/>
  </si>
  <si>
    <t>ﾍﾟｰｼﾞ</t>
    <phoneticPr fontId="70"/>
  </si>
  <si>
    <t>ﾍﾟｰｼﾞ</t>
  </si>
  <si>
    <t>工場等</t>
    <rPh sb="0" eb="2">
      <t>コウジョウ</t>
    </rPh>
    <rPh sb="2" eb="3">
      <t>トウ</t>
    </rPh>
    <phoneticPr fontId="70"/>
  </si>
  <si>
    <t>ｍ2</t>
    <phoneticPr fontId="70"/>
  </si>
  <si>
    <t>墨出し</t>
    <rPh sb="0" eb="2">
      <t>スミダ</t>
    </rPh>
    <phoneticPr fontId="1"/>
  </si>
  <si>
    <t>工場等､躯体･仕上共</t>
    <rPh sb="0" eb="2">
      <t>コウジョウ</t>
    </rPh>
    <rPh sb="2" eb="3">
      <t>トウ</t>
    </rPh>
    <rPh sb="4" eb="6">
      <t>クタイ</t>
    </rPh>
    <rPh sb="7" eb="9">
      <t>シア</t>
    </rPh>
    <rPh sb="9" eb="10">
      <t>トモ</t>
    </rPh>
    <phoneticPr fontId="70"/>
  </si>
  <si>
    <t>原寸型板</t>
    <rPh sb="0" eb="2">
      <t>ゲンスン</t>
    </rPh>
    <rPh sb="2" eb="4">
      <t>カタイタ</t>
    </rPh>
    <phoneticPr fontId="1"/>
  </si>
  <si>
    <t>養生</t>
    <rPh sb="0" eb="2">
      <t>ヨウジョウ</t>
    </rPh>
    <phoneticPr fontId="1"/>
  </si>
  <si>
    <t>床養生</t>
    <rPh sb="0" eb="1">
      <t>ユカ</t>
    </rPh>
    <rPh sb="1" eb="3">
      <t>ヨウジョウ</t>
    </rPh>
    <phoneticPr fontId="70"/>
  </si>
  <si>
    <t>清掃片付</t>
    <rPh sb="0" eb="2">
      <t>セイソウ</t>
    </rPh>
    <rPh sb="2" eb="4">
      <t>カタヅ</t>
    </rPh>
    <phoneticPr fontId="1"/>
  </si>
  <si>
    <t>竣工清掃</t>
    <rPh sb="0" eb="2">
      <t>シュンコウ</t>
    </rPh>
    <rPh sb="2" eb="4">
      <t>セイソウ</t>
    </rPh>
    <phoneticPr fontId="1"/>
  </si>
  <si>
    <t>外部足場</t>
    <rPh sb="0" eb="2">
      <t>ガイブ</t>
    </rPh>
    <rPh sb="2" eb="4">
      <t>アシバ</t>
    </rPh>
    <phoneticPr fontId="70"/>
  </si>
  <si>
    <t>ｸｻﾋﾞ足場 W900 3ヶ月</t>
    <rPh sb="4" eb="6">
      <t>アシバ</t>
    </rPh>
    <rPh sb="14" eb="15">
      <t>ゲツ</t>
    </rPh>
    <phoneticPr fontId="70"/>
  </si>
  <si>
    <t>養生シート</t>
    <rPh sb="0" eb="2">
      <t>ヨウジョウ</t>
    </rPh>
    <phoneticPr fontId="70"/>
  </si>
  <si>
    <t>内部足場</t>
    <rPh sb="0" eb="2">
      <t>ナイブ</t>
    </rPh>
    <rPh sb="2" eb="4">
      <t>アシバ</t>
    </rPh>
    <phoneticPr fontId="70"/>
  </si>
  <si>
    <t>脚立足場</t>
    <rPh sb="0" eb="2">
      <t>キャタツ</t>
    </rPh>
    <rPh sb="2" eb="4">
      <t>アシバ</t>
    </rPh>
    <phoneticPr fontId="70"/>
  </si>
  <si>
    <t>仮囲い</t>
    <rPh sb="0" eb="2">
      <t>カリカコ</t>
    </rPh>
    <phoneticPr fontId="70"/>
  </si>
  <si>
    <t>ｍ</t>
    <phoneticPr fontId="70"/>
  </si>
  <si>
    <t>出入口扉</t>
    <rPh sb="0" eb="3">
      <t>デイリグチ</t>
    </rPh>
    <rPh sb="3" eb="4">
      <t>トビラ</t>
    </rPh>
    <phoneticPr fontId="70"/>
  </si>
  <si>
    <t>個所</t>
    <rPh sb="0" eb="2">
      <t>カショ</t>
    </rPh>
    <phoneticPr fontId="70"/>
  </si>
  <si>
    <t>根切り</t>
    <rPh sb="0" eb="1">
      <t>ネ</t>
    </rPh>
    <rPh sb="1" eb="2">
      <t>キ</t>
    </rPh>
    <phoneticPr fontId="70"/>
  </si>
  <si>
    <t>総掘り</t>
    <rPh sb="0" eb="1">
      <t>ソウ</t>
    </rPh>
    <rPh sb="1" eb="2">
      <t>ホ</t>
    </rPh>
    <phoneticPr fontId="70"/>
  </si>
  <si>
    <t>市6</t>
    <rPh sb="0" eb="1">
      <t>シ</t>
    </rPh>
    <phoneticPr fontId="70"/>
  </si>
  <si>
    <t>市8</t>
    <rPh sb="0" eb="1">
      <t>シ</t>
    </rPh>
    <phoneticPr fontId="70"/>
  </si>
  <si>
    <t>埋戻し</t>
    <rPh sb="0" eb="1">
      <t>ウ</t>
    </rPh>
    <rPh sb="1" eb="2">
      <t>モド</t>
    </rPh>
    <phoneticPr fontId="70"/>
  </si>
  <si>
    <t>機械、発生土</t>
    <rPh sb="0" eb="2">
      <t>キカイ</t>
    </rPh>
    <rPh sb="3" eb="6">
      <t>ハッセイド</t>
    </rPh>
    <phoneticPr fontId="70"/>
  </si>
  <si>
    <t>人力、発生土</t>
    <rPh sb="0" eb="2">
      <t>ジンリキ</t>
    </rPh>
    <rPh sb="3" eb="6">
      <t>ハッセイド</t>
    </rPh>
    <phoneticPr fontId="70"/>
  </si>
  <si>
    <t>砕石（土間下）</t>
    <rPh sb="0" eb="2">
      <t>サイセキ</t>
    </rPh>
    <rPh sb="3" eb="5">
      <t>ドマ</t>
    </rPh>
    <rPh sb="5" eb="6">
      <t>シタ</t>
    </rPh>
    <phoneticPr fontId="70"/>
  </si>
  <si>
    <t>新材</t>
    <rPh sb="0" eb="2">
      <t>シンザイ</t>
    </rPh>
    <phoneticPr fontId="70"/>
  </si>
  <si>
    <t>機械運搬費</t>
    <rPh sb="0" eb="2">
      <t>キカイ</t>
    </rPh>
    <rPh sb="2" eb="5">
      <t>ウンパンヒ</t>
    </rPh>
    <phoneticPr fontId="70"/>
  </si>
  <si>
    <t>往復</t>
    <rPh sb="0" eb="2">
      <t>オウフク</t>
    </rPh>
    <phoneticPr fontId="70"/>
  </si>
  <si>
    <t>捨コンクリート</t>
    <rPh sb="0" eb="1">
      <t>ス</t>
    </rPh>
    <phoneticPr fontId="70"/>
  </si>
  <si>
    <t>18-18-25</t>
    <phoneticPr fontId="70"/>
  </si>
  <si>
    <t>ｍ3</t>
    <phoneticPr fontId="70"/>
  </si>
  <si>
    <t>同上打ち手間</t>
    <rPh sb="0" eb="2">
      <t>ドウジョウ</t>
    </rPh>
    <rPh sb="2" eb="3">
      <t>ウ</t>
    </rPh>
    <rPh sb="4" eb="6">
      <t>テマ</t>
    </rPh>
    <phoneticPr fontId="70"/>
  </si>
  <si>
    <t>ポンプ打ち</t>
    <rPh sb="3" eb="4">
      <t>ウ</t>
    </rPh>
    <phoneticPr fontId="70"/>
  </si>
  <si>
    <t>市14</t>
    <rPh sb="0" eb="1">
      <t>シ</t>
    </rPh>
    <phoneticPr fontId="70"/>
  </si>
  <si>
    <t>市16</t>
    <rPh sb="0" eb="1">
      <t>シ</t>
    </rPh>
    <phoneticPr fontId="70"/>
  </si>
  <si>
    <t>ベースコンクリート</t>
    <phoneticPr fontId="70"/>
  </si>
  <si>
    <t>(21+6)-18-25</t>
    <phoneticPr fontId="70"/>
  </si>
  <si>
    <t>壁コンクリート</t>
    <rPh sb="0" eb="1">
      <t>カベ</t>
    </rPh>
    <phoneticPr fontId="70"/>
  </si>
  <si>
    <t>(21+6)-18-25</t>
  </si>
  <si>
    <t>ポンプ圧送費</t>
    <rPh sb="3" eb="6">
      <t>アッソウヒ</t>
    </rPh>
    <phoneticPr fontId="70"/>
  </si>
  <si>
    <t>回</t>
    <rPh sb="0" eb="1">
      <t>カイ</t>
    </rPh>
    <phoneticPr fontId="70"/>
  </si>
  <si>
    <t>市18</t>
    <rPh sb="0" eb="1">
      <t>シ</t>
    </rPh>
    <phoneticPr fontId="70"/>
  </si>
  <si>
    <t>異形鉄筋　D13</t>
    <rPh sb="0" eb="2">
      <t>イケイ</t>
    </rPh>
    <rPh sb="2" eb="4">
      <t>テッキン</t>
    </rPh>
    <phoneticPr fontId="70"/>
  </si>
  <si>
    <t>SD295 岐阜 小口</t>
    <rPh sb="6" eb="8">
      <t>ギフ</t>
    </rPh>
    <rPh sb="9" eb="11">
      <t>コクチ</t>
    </rPh>
    <phoneticPr fontId="70"/>
  </si>
  <si>
    <t>t</t>
  </si>
  <si>
    <t>鉄筋加工組立</t>
    <rPh sb="0" eb="2">
      <t>テッキン</t>
    </rPh>
    <rPh sb="2" eb="4">
      <t>カコウ</t>
    </rPh>
    <rPh sb="4" eb="6">
      <t>クミタテ</t>
    </rPh>
    <phoneticPr fontId="70"/>
  </si>
  <si>
    <t>壁式</t>
    <rPh sb="0" eb="2">
      <t>カベシキ</t>
    </rPh>
    <phoneticPr fontId="70"/>
  </si>
  <si>
    <t>市9</t>
    <rPh sb="0" eb="1">
      <t>シ</t>
    </rPh>
    <phoneticPr fontId="70"/>
  </si>
  <si>
    <t>市11</t>
    <rPh sb="0" eb="1">
      <t>シ</t>
    </rPh>
    <phoneticPr fontId="70"/>
  </si>
  <si>
    <t>鉄筋運搬</t>
    <rPh sb="0" eb="2">
      <t>テッキン</t>
    </rPh>
    <rPh sb="2" eb="4">
      <t>ウンパン</t>
    </rPh>
    <phoneticPr fontId="70"/>
  </si>
  <si>
    <t>４ｔ</t>
  </si>
  <si>
    <t>普通型枠</t>
    <rPh sb="0" eb="2">
      <t>フツウ</t>
    </rPh>
    <rPh sb="2" eb="4">
      <t>カタワク</t>
    </rPh>
    <phoneticPr fontId="70"/>
  </si>
  <si>
    <t>基礎</t>
    <rPh sb="0" eb="2">
      <t>キソ</t>
    </rPh>
    <phoneticPr fontId="70"/>
  </si>
  <si>
    <t>市19</t>
    <rPh sb="0" eb="1">
      <t>シ</t>
    </rPh>
    <phoneticPr fontId="70"/>
  </si>
  <si>
    <t>市21</t>
    <rPh sb="0" eb="1">
      <t>シ</t>
    </rPh>
    <phoneticPr fontId="70"/>
  </si>
  <si>
    <t>化粧型枠</t>
    <rPh sb="0" eb="2">
      <t>ケショウ</t>
    </rPh>
    <rPh sb="2" eb="4">
      <t>カタワク</t>
    </rPh>
    <phoneticPr fontId="70"/>
  </si>
  <si>
    <t>壁式C種</t>
    <rPh sb="0" eb="2">
      <t>カベシキ</t>
    </rPh>
    <rPh sb="3" eb="4">
      <t>シュ</t>
    </rPh>
    <phoneticPr fontId="70"/>
  </si>
  <si>
    <t>型枠運搬</t>
    <rPh sb="0" eb="2">
      <t>カタワク</t>
    </rPh>
    <rPh sb="2" eb="4">
      <t>ウンパン</t>
    </rPh>
    <phoneticPr fontId="70"/>
  </si>
  <si>
    <t>４ｔ</t>
    <phoneticPr fontId="70"/>
  </si>
  <si>
    <t>床ｺﾝｸﾘｰﾄｺﾃ仕上</t>
    <rPh sb="0" eb="1">
      <t>ユカ</t>
    </rPh>
    <rPh sb="9" eb="11">
      <t>シア</t>
    </rPh>
    <phoneticPr fontId="70"/>
  </si>
  <si>
    <t>木コテ</t>
    <rPh sb="0" eb="1">
      <t>キ</t>
    </rPh>
    <phoneticPr fontId="70"/>
  </si>
  <si>
    <t>m2</t>
    <phoneticPr fontId="70"/>
  </si>
  <si>
    <t>壁天端ｺﾝｸﾘｰ均し</t>
    <rPh sb="0" eb="1">
      <t>カベ</t>
    </rPh>
    <rPh sb="1" eb="3">
      <t>テンバ</t>
    </rPh>
    <rPh sb="8" eb="9">
      <t>ナラ</t>
    </rPh>
    <phoneticPr fontId="70"/>
  </si>
  <si>
    <t>木コテ１回</t>
    <rPh sb="0" eb="1">
      <t>キ</t>
    </rPh>
    <rPh sb="4" eb="5">
      <t>カイ</t>
    </rPh>
    <phoneticPr fontId="70"/>
  </si>
  <si>
    <t>m2</t>
  </si>
  <si>
    <t>U字側溝（U-300）</t>
    <rPh sb="1" eb="2">
      <t>ジ</t>
    </rPh>
    <rPh sb="2" eb="4">
      <t>ソッコウ</t>
    </rPh>
    <phoneticPr fontId="70"/>
  </si>
  <si>
    <t>根切・捨ｺﾝ・砕石共</t>
    <rPh sb="0" eb="2">
      <t>ネギリ</t>
    </rPh>
    <rPh sb="3" eb="4">
      <t>ス</t>
    </rPh>
    <rPh sb="7" eb="9">
      <t>サイセキ</t>
    </rPh>
    <rPh sb="9" eb="10">
      <t>トモ</t>
    </rPh>
    <phoneticPr fontId="70"/>
  </si>
  <si>
    <t>個</t>
    <rPh sb="0" eb="1">
      <t>コ</t>
    </rPh>
    <phoneticPr fontId="70"/>
  </si>
  <si>
    <t>コンクリート蓋</t>
    <rPh sb="6" eb="7">
      <t>フタ</t>
    </rPh>
    <phoneticPr fontId="70"/>
  </si>
  <si>
    <t>300　１種</t>
    <rPh sb="5" eb="6">
      <t>シュ</t>
    </rPh>
    <phoneticPr fontId="70"/>
  </si>
  <si>
    <t>グレーチング</t>
    <phoneticPr fontId="70"/>
  </si>
  <si>
    <t>300用　6ｔ</t>
    <rPh sb="3" eb="4">
      <t>ヨウ</t>
    </rPh>
    <phoneticPr fontId="70"/>
  </si>
  <si>
    <t>枚</t>
    <rPh sb="0" eb="1">
      <t>マイ</t>
    </rPh>
    <phoneticPr fontId="70"/>
  </si>
  <si>
    <t>ネットフェンス</t>
    <phoneticPr fontId="70"/>
  </si>
  <si>
    <t>ﾒｯｼｭﾌｪﾝｽ　H2000</t>
    <phoneticPr fontId="70"/>
  </si>
  <si>
    <t>天井下地</t>
    <rPh sb="0" eb="2">
      <t>テンジョウ</t>
    </rPh>
    <rPh sb="2" eb="4">
      <t>シタジ</t>
    </rPh>
    <phoneticPr fontId="70"/>
  </si>
  <si>
    <t>25形　＠300</t>
    <rPh sb="2" eb="3">
      <t>カタ</t>
    </rPh>
    <phoneticPr fontId="70"/>
  </si>
  <si>
    <t>市24</t>
    <rPh sb="0" eb="1">
      <t>シ</t>
    </rPh>
    <phoneticPr fontId="70"/>
  </si>
  <si>
    <t>市26</t>
    <rPh sb="0" eb="1">
      <t>シ</t>
    </rPh>
    <phoneticPr fontId="70"/>
  </si>
  <si>
    <t>25形　下り天井</t>
    <rPh sb="2" eb="3">
      <t>カタチ</t>
    </rPh>
    <rPh sb="4" eb="5">
      <t>サガ</t>
    </rPh>
    <rPh sb="6" eb="8">
      <t>テンジョウ</t>
    </rPh>
    <phoneticPr fontId="70"/>
  </si>
  <si>
    <t>同開口補強</t>
    <rPh sb="0" eb="1">
      <t>ドウ</t>
    </rPh>
    <rPh sb="1" eb="3">
      <t>カイコウ</t>
    </rPh>
    <rPh sb="3" eb="5">
      <t>ホキョウ</t>
    </rPh>
    <phoneticPr fontId="70"/>
  </si>
  <si>
    <t>25形　450角</t>
    <rPh sb="2" eb="3">
      <t>カタ</t>
    </rPh>
    <rPh sb="7" eb="8">
      <t>カク</t>
    </rPh>
    <phoneticPr fontId="70"/>
  </si>
  <si>
    <t>ｹｲｶﾙ板 t12</t>
    <rPh sb="4" eb="5">
      <t>イタ</t>
    </rPh>
    <phoneticPr fontId="70"/>
  </si>
  <si>
    <t>塩ビ廻り縁</t>
    <rPh sb="0" eb="1">
      <t>エン</t>
    </rPh>
    <rPh sb="2" eb="3">
      <t>マワ</t>
    </rPh>
    <rPh sb="4" eb="5">
      <t>フチ</t>
    </rPh>
    <phoneticPr fontId="70"/>
  </si>
  <si>
    <t>12mm</t>
    <phoneticPr fontId="70"/>
  </si>
  <si>
    <t>下り天井</t>
    <rPh sb="0" eb="1">
      <t>サガ</t>
    </rPh>
    <rPh sb="2" eb="4">
      <t>テンジョウ</t>
    </rPh>
    <phoneticPr fontId="70"/>
  </si>
  <si>
    <t>天井点検口</t>
    <rPh sb="0" eb="2">
      <t>テンジョウ</t>
    </rPh>
    <rPh sb="2" eb="4">
      <t>テンケン</t>
    </rPh>
    <rPh sb="4" eb="5">
      <t>クチ</t>
    </rPh>
    <phoneticPr fontId="70"/>
  </si>
  <si>
    <t>アルミ枠450角</t>
    <rPh sb="3" eb="4">
      <t>ワク</t>
    </rPh>
    <rPh sb="7" eb="8">
      <t>カク</t>
    </rPh>
    <phoneticPr fontId="70"/>
  </si>
  <si>
    <t>EP-G</t>
    <phoneticPr fontId="70"/>
  </si>
  <si>
    <t>ボード面A種</t>
    <rPh sb="3" eb="4">
      <t>メン</t>
    </rPh>
    <rPh sb="5" eb="6">
      <t>シュ</t>
    </rPh>
    <phoneticPr fontId="70"/>
  </si>
  <si>
    <t>下地撤去</t>
    <rPh sb="0" eb="2">
      <t>シタジ</t>
    </rPh>
    <rPh sb="2" eb="4">
      <t>テッキョ</t>
    </rPh>
    <phoneticPr fontId="70"/>
  </si>
  <si>
    <t>ボード撤去</t>
    <rPh sb="3" eb="5">
      <t>テッキョ</t>
    </rPh>
    <phoneticPr fontId="70"/>
  </si>
  <si>
    <t>防鳥ネット</t>
    <rPh sb="0" eb="2">
      <t>ボウチョウ</t>
    </rPh>
    <phoneticPr fontId="70"/>
  </si>
  <si>
    <t>撤去費</t>
    <rPh sb="0" eb="3">
      <t>テッキョヒ</t>
    </rPh>
    <phoneticPr fontId="70"/>
  </si>
  <si>
    <t>ボード(下地共)</t>
    <rPh sb="4" eb="6">
      <t>シタジ</t>
    </rPh>
    <rPh sb="6" eb="7">
      <t>トモ</t>
    </rPh>
    <phoneticPr fontId="70"/>
  </si>
  <si>
    <t>廻り縁</t>
    <rPh sb="0" eb="1">
      <t>マワ</t>
    </rPh>
    <rPh sb="2" eb="3">
      <t>フチ</t>
    </rPh>
    <phoneticPr fontId="70"/>
  </si>
  <si>
    <t>処分費</t>
    <rPh sb="0" eb="3">
      <t>ショブンヒ</t>
    </rPh>
    <phoneticPr fontId="70"/>
  </si>
  <si>
    <t>金属くず(衣浦港)</t>
    <rPh sb="0" eb="2">
      <t>キンゾク</t>
    </rPh>
    <rPh sb="5" eb="7">
      <t>キヌウラ</t>
    </rPh>
    <rPh sb="7" eb="8">
      <t>ミナト</t>
    </rPh>
    <phoneticPr fontId="70"/>
  </si>
  <si>
    <t>t</t>
    <phoneticPr fontId="70"/>
  </si>
  <si>
    <t>ボード</t>
    <phoneticPr fontId="70"/>
  </si>
  <si>
    <t>積込み</t>
    <rPh sb="0" eb="2">
      <t>ツミコ</t>
    </rPh>
    <phoneticPr fontId="70"/>
  </si>
  <si>
    <t>人力</t>
    <rPh sb="0" eb="2">
      <t>ジンリキ</t>
    </rPh>
    <phoneticPr fontId="70"/>
  </si>
  <si>
    <t>労務費</t>
    <rPh sb="0" eb="3">
      <t>ロウムヒ</t>
    </rPh>
    <phoneticPr fontId="70"/>
  </si>
  <si>
    <t>普通作業員</t>
    <rPh sb="0" eb="5">
      <t>フツウサギョウイン</t>
    </rPh>
    <phoneticPr fontId="70"/>
  </si>
  <si>
    <t>人工</t>
    <rPh sb="0" eb="2">
      <t>ニンク</t>
    </rPh>
    <phoneticPr fontId="70"/>
  </si>
  <si>
    <t>特殊作業員</t>
    <rPh sb="0" eb="5">
      <t>トクシュサギョウイン</t>
    </rPh>
    <phoneticPr fontId="70"/>
  </si>
  <si>
    <t>運転手(一般)</t>
    <rPh sb="0" eb="3">
      <t>ウンテンシュ</t>
    </rPh>
    <rPh sb="4" eb="6">
      <t>イッパン</t>
    </rPh>
    <phoneticPr fontId="70"/>
  </si>
  <si>
    <t>Teikin</t>
  </si>
  <si>
    <t>KANESO</t>
  </si>
  <si>
    <t>SunPole</t>
  </si>
  <si>
    <t>フック</t>
  </si>
  <si>
    <t>Uカン</t>
  </si>
  <si>
    <t>単価比較表　建築</t>
    <rPh sb="0" eb="2">
      <t>タンカ</t>
    </rPh>
    <rPh sb="2" eb="5">
      <t>ヒカクヒョウ</t>
    </rPh>
    <rPh sb="6" eb="8">
      <t>ケンチク</t>
    </rPh>
    <phoneticPr fontId="48"/>
  </si>
  <si>
    <t>施錠機能付</t>
    <rPh sb="0" eb="2">
      <t>セジョウ</t>
    </rPh>
    <rPh sb="2" eb="4">
      <t>キノウ</t>
    </rPh>
    <rPh sb="4" eb="5">
      <t>ツ</t>
    </rPh>
    <phoneticPr fontId="2"/>
  </si>
  <si>
    <t>個</t>
    <rPh sb="0" eb="1">
      <t>コ</t>
    </rPh>
    <phoneticPr fontId="2"/>
  </si>
  <si>
    <t>防球ネット</t>
    <rPh sb="0" eb="2">
      <t>ボウキュウ</t>
    </rPh>
    <phoneticPr fontId="2"/>
  </si>
  <si>
    <t>(株)日本ﾊﾟｰﾂｾﾝﾀｰ</t>
    <rPh sb="0" eb="3">
      <t>カブ</t>
    </rPh>
    <rPh sb="3" eb="5">
      <t>ニホン</t>
    </rPh>
    <phoneticPr fontId="2"/>
  </si>
  <si>
    <t>ﾃｨﾈﾇﾈｯﾄ(株)</t>
    <rPh sb="7" eb="10">
      <t>カブ</t>
    </rPh>
    <phoneticPr fontId="2"/>
  </si>
  <si>
    <t>山陽建工(株)</t>
    <rPh sb="0" eb="2">
      <t>サンヨウ</t>
    </rPh>
    <rPh sb="2" eb="4">
      <t>ケンコウ</t>
    </rPh>
    <rPh sb="4" eb="7">
      <t>カブ</t>
    </rPh>
    <phoneticPr fontId="70"/>
  </si>
  <si>
    <t>7ｍ品</t>
    <rPh sb="2" eb="3">
      <t>ヒン</t>
    </rPh>
    <phoneticPr fontId="2"/>
  </si>
  <si>
    <t>合計</t>
  </si>
  <si>
    <t>ころがし（冷媒管共巻き・天井内）</t>
  </si>
  <si>
    <t>積算マニュアル電気</t>
  </si>
  <si>
    <t>管内（室外機置場）</t>
  </si>
  <si>
    <t>EP-25 屋内露出（SR-2立下り）</t>
  </si>
  <si>
    <t>電線管　E63</t>
  </si>
  <si>
    <t>EP-63 床下（SR-1引込）</t>
  </si>
  <si>
    <t>溶融亜鉛メッキ電線管　G70</t>
  </si>
  <si>
    <t>GP-70 屋外露出（SR-1立上り・置場～天井裏）</t>
  </si>
  <si>
    <t>溶融亜鉛メッキ電線管　G22</t>
  </si>
  <si>
    <t>GP-22 屋外露出（室外機置場）</t>
  </si>
  <si>
    <t>溶融亜鉛メッキ電線管　G28</t>
  </si>
  <si>
    <t>GP-28 屋外露出（室外機置場）</t>
  </si>
  <si>
    <t>溶融亜鉛メッキ電線管　G36</t>
  </si>
  <si>
    <t>GP-36 屋外露出（室外機置場）</t>
  </si>
  <si>
    <t>複合単価に含む</t>
  </si>
  <si>
    <t>機械はつり</t>
  </si>
  <si>
    <t>φ100 200mm（外壁貫通）</t>
  </si>
  <si>
    <t>防水プルボックス300×300×200SUS</t>
  </si>
  <si>
    <t>屋外（立上り上部）</t>
  </si>
  <si>
    <t>機器取付費</t>
  </si>
  <si>
    <t>盤搬入費</t>
  </si>
  <si>
    <t>盤据付費</t>
  </si>
  <si>
    <t>結線費</t>
  </si>
  <si>
    <t>試運転立会費</t>
  </si>
  <si>
    <t>電線管</t>
  </si>
  <si>
    <t>GP-22 　露出　溶融亜鉛メッキ</t>
  </si>
  <si>
    <t>GP-28 　露出　溶融亜鉛メッキ</t>
  </si>
  <si>
    <t>GP-42 　露出　溶融亜鉛メッキ</t>
  </si>
  <si>
    <t>GP-54 　露出　溶融亜鉛メッキ</t>
  </si>
  <si>
    <t>ＥP-25 　隠ぺい（天井内）</t>
  </si>
  <si>
    <t>ＥP-31 　隠ぺい（天井内）</t>
  </si>
  <si>
    <t>ＥP-39　隠ぺい（天井内）</t>
  </si>
  <si>
    <t>ＥP-51 　隠ぺい（天井内）</t>
  </si>
  <si>
    <t>CP-25 　露出　塗装あり</t>
  </si>
  <si>
    <t>積算マニュアル電気 管4,030+塗装290</t>
  </si>
  <si>
    <t>CP-51 　露出　塗装あり</t>
  </si>
  <si>
    <t>積算マニュアル電気 管8,550+塗装590</t>
  </si>
  <si>
    <t>HIVE16 露出</t>
  </si>
  <si>
    <t>F-24　ビニル被覆（防水）付属品共</t>
  </si>
  <si>
    <t>F-30　ビニル被覆（防水）付属品共</t>
  </si>
  <si>
    <t>露出ボックス</t>
  </si>
  <si>
    <t>丸型1方出　C25　塗装あり</t>
  </si>
  <si>
    <t>積算マニュアル電気 5,040+塗装50</t>
  </si>
  <si>
    <t>丸型3方出　E25</t>
  </si>
  <si>
    <t>丸型2方出　E25</t>
  </si>
  <si>
    <t>プルボックス</t>
  </si>
  <si>
    <t>150×150×150　錆止め</t>
  </si>
  <si>
    <t>200×200×200　錆止め</t>
  </si>
  <si>
    <t>250×250×200　錆止め</t>
  </si>
  <si>
    <t>150×150×150　SUS WP</t>
  </si>
  <si>
    <t>300×300×200　SUS WP</t>
  </si>
  <si>
    <t>500×500×300　SUS WP</t>
  </si>
  <si>
    <t>EM-CE 2.0sq-3C　管内</t>
  </si>
  <si>
    <t>EM-CE 3.5sq-3C　管内</t>
  </si>
  <si>
    <t>EM-CE 14sq-2C　管内</t>
  </si>
  <si>
    <t>新設空調電源盤</t>
  </si>
  <si>
    <t>L-AC　屋外自立型 WP・SUS</t>
  </si>
  <si>
    <t>メーカー定価×0.8</t>
  </si>
  <si>
    <t>新設開閉器盤</t>
  </si>
  <si>
    <t>S-AC　屋外壁掛型 WP・SUS</t>
  </si>
  <si>
    <t>医用コンセント</t>
  </si>
  <si>
    <t>2P15A×1　接地極付　赤色（非常用）</t>
  </si>
  <si>
    <t>防水コンセント</t>
  </si>
  <si>
    <t>2P15A×1　抜け止め・接地端子付</t>
  </si>
  <si>
    <t>接地工事</t>
  </si>
  <si>
    <t>打込式接地棒　14φ×1500（ED・EDELB）</t>
  </si>
  <si>
    <t>接地埋設標</t>
  </si>
  <si>
    <t>接地抵抗測定含む</t>
  </si>
  <si>
    <t>室内機15・室外機4・自立ユニット1</t>
  </si>
  <si>
    <t>φ32-φ38 200mm</t>
  </si>
  <si>
    <t>φ75-φ88 200mm</t>
  </si>
  <si>
    <t>φ150 200mm</t>
  </si>
  <si>
    <t>点検調査費</t>
  </si>
  <si>
    <t>中部電気保安協会</t>
  </si>
  <si>
    <t>外灯移設工事</t>
  </si>
  <si>
    <t>既設外灯を東へ約2.5m移設</t>
  </si>
  <si>
    <t>外灯撤去</t>
  </si>
  <si>
    <t>ポール灯　取外し・再使用品保管</t>
  </si>
  <si>
    <t>基</t>
  </si>
  <si>
    <t>積算マニュアル電気 撤去費</t>
  </si>
  <si>
    <t>根切り</t>
  </si>
  <si>
    <t>人力（基礎部 2.0・配管部 2.5×0.4×0.6）</t>
  </si>
  <si>
    <t>㎥</t>
  </si>
  <si>
    <t>建設発生土処理</t>
  </si>
  <si>
    <t>人力（場内敷ならし）</t>
  </si>
  <si>
    <t>砂利地業</t>
  </si>
  <si>
    <t>基礎下</t>
  </si>
  <si>
    <t>既設基礎掘起し</t>
  </si>
  <si>
    <t>ｺﾝｸﾘｰﾄ基礎 約400×400×600（0.23t）</t>
  </si>
  <si>
    <t>箇所</t>
  </si>
  <si>
    <t>積算マニュアル電気 機器搬出費</t>
  </si>
  <si>
    <t>基礎移設据付</t>
  </si>
  <si>
    <t>既設基礎再使用（0.23t）</t>
  </si>
  <si>
    <t>積算マニュアル電気 機器搬入費</t>
  </si>
  <si>
    <t>外灯再取付</t>
  </si>
  <si>
    <t>建込・灯具取付・結線・点灯確認</t>
  </si>
  <si>
    <t>積算マニュアル電気 労務費＋諸経費</t>
  </si>
  <si>
    <t>波付硬質ポリエチレン管</t>
  </si>
  <si>
    <t>FEP30　地中（既設管接続・防水処理共）</t>
  </si>
  <si>
    <t>EM-CE 2.0sq-3C　FEP管内（抜替え）</t>
  </si>
  <si>
    <t>ケーブル撤去</t>
  </si>
  <si>
    <t>EM-CE 2.0sq-3C（既設）</t>
  </si>
  <si>
    <t>埋設標識シート</t>
  </si>
  <si>
    <t>幅150mm　シングル</t>
  </si>
  <si>
    <t>※この表は輪之内中の見積のまま（大藪小の計装メーカー見積は未入手）</t>
  </si>
  <si>
    <t>※輪之内中の盤見積のまま（大藪小の L-AC・S-AC は電気（明細）に記入）</t>
  </si>
  <si>
    <t>※輪之内中の見積のまま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</si>
</sst>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5" formatCode="&quot;¥&quot;#,##0;&quot;¥&quot;\-#,##0"/>
    <numFmt numFmtId="41" formatCode="_ * #,##0_ ;_ * \-#,##0_ ;_ * &quot;-&quot;_ ;_ @_ "/>
    <numFmt numFmtId="43" formatCode="_ * #,##0.00_ ;_ * \-#,##0.00_ ;_ * &quot;-&quot;??_ ;_ @_ "/>
    <numFmt numFmtId="176" formatCode="#,##0;\-#,##0;&quot;-&quot;"/>
    <numFmt numFmtId="177" formatCode="#,##0.0%;\(#,##0.0%\)"/>
    <numFmt numFmtId="178" formatCode="#,##0.00%;[Red]\(#,##0.00%\)"/>
    <numFmt numFmtId="179" formatCode="0.0&quot;%&quot;"/>
    <numFmt numFmtId="180" formatCode="&quot;$&quot;#,##0_);\(&quot;$&quot;#,##0.0\)"/>
    <numFmt numFmtId="181" formatCode="_ &quot;$&quot;* #,##0.00_ ;_ &quot;$&quot;* \-#,##0.00_ ;_ &quot;$&quot;* &quot;-&quot;??_ ;_ @_ "/>
    <numFmt numFmtId="182" formatCode="0.0000%"/>
    <numFmt numFmtId="183" formatCode="#,##0.0%;[Red]\(#,##0.0%\)"/>
    <numFmt numFmtId="184" formatCode="&quot;$&quot;#,##0_);[Red]\(&quot;$&quot;#,##0\)"/>
    <numFmt numFmtId="185" formatCode="&quot;$&quot;#,##0.00_);[Red]\(&quot;$&quot;#,##0.00\)"/>
    <numFmt numFmtId="186" formatCode="0.00_)"/>
    <numFmt numFmtId="187" formatCode="&quot;$&quot;#,##0.00;[Red]&quot;$&quot;\-#,##0.00"/>
    <numFmt numFmtId="188" formatCode="&quot;$&quot;#.##"/>
    <numFmt numFmtId="189" formatCode="&quot;$&quot;#,##0.000_);\(&quot;$&quot;#,##0.000\)"/>
    <numFmt numFmtId="190" formatCode="#,##0_ "/>
    <numFmt numFmtId="191" formatCode="_ &quot;$&quot;* #,##0_ ;_ &quot;$&quot;* \-#,##0_ ;_ &quot;$&quot;* &quot;-&quot;_ ;_ @_ "/>
    <numFmt numFmtId="192" formatCode="#,###,##0"/>
    <numFmt numFmtId="193" formatCode="###,###,###,###"/>
    <numFmt numFmtId="194" formatCode="###,###,###.0"/>
    <numFmt numFmtId="195" formatCode="&quot;△ &quot;###,###,##0"/>
    <numFmt numFmtId="196" formatCode="#,###;[Red]&quot;△&quot;#,###"/>
    <numFmt numFmtId="197" formatCode="#,##0_);[Red]\(#,##0\)"/>
    <numFmt numFmtId="198" formatCode="0.0_);[Red]\(0.0\)"/>
    <numFmt numFmtId="199" formatCode="#,##0.0_ "/>
    <numFmt numFmtId="200" formatCode="_ * #,##0.0_ ;_ * \-#,##0.0_ ;_ * &quot;-&quot;?_ ;_ @_ "/>
    <numFmt numFmtId="201" formatCode="#,##0.0_);[Red]\(#,##0.0\)"/>
    <numFmt numFmtId="202" formatCode="#,##0.000000_ "/>
    <numFmt numFmtId="203" formatCode="0.00000_);[Red]\(0.00000\)"/>
    <numFmt numFmtId="204" formatCode="#,##0.0;[Red]\-#,##0.0"/>
    <numFmt numFmtId="205" formatCode="0.0"/>
    <numFmt numFmtId="206" formatCode="0.000_ "/>
    <numFmt numFmtId="207" formatCode="0.00_ "/>
    <numFmt numFmtId="208" formatCode="#,##0.000;[Red]\-#,##0.000"/>
    <numFmt numFmtId="209" formatCode="0.00_);[Red]\(0.00\)"/>
    <numFmt numFmtId="210" formatCode="0_);[Red]\(0\)"/>
    <numFmt numFmtId="211" formatCode="0_);\(0\)"/>
    <numFmt numFmtId="212" formatCode="0.000_);[Red]\(0.000\)"/>
    <numFmt numFmtId="213" formatCode="&quot;Ｅ－&quot;####"/>
    <numFmt numFmtId="214" formatCode="&quot;T　　&quot;####"/>
    <numFmt numFmtId="215" formatCode="&quot;P&quot;####"/>
    <numFmt numFmtId="216" formatCode="0.000"/>
    <numFmt numFmtId="217" formatCode="&quot;見積比較表　　　Ｅ　　&quot;####"/>
    <numFmt numFmtId="218" formatCode="#&quot;　を採用&quot;"/>
    <numFmt numFmtId="219" formatCode="#,##0_ ;[Red]\-#,##0\ "/>
  </numFmts>
  <fonts count="73">
    <font>
      <sz val="11"/>
      <name val="ＭＳ Ｐゴシック"/>
      <family val="3"/>
      <charset val="128"/>
    </font>
    <font>
      <sz val="11"/>
      <color theme="1"/>
      <name val="ＭＳ Ｐゴシック"/>
      <family val="2"/>
      <charset val="128"/>
      <scheme val="minor"/>
    </font>
    <font>
      <sz val="11"/>
      <name val="ＭＳ Ｐゴシック"/>
      <family val="3"/>
      <charset val="128"/>
    </font>
    <font>
      <sz val="10"/>
      <name val="Arial"/>
      <family val="2"/>
    </font>
    <font>
      <sz val="11"/>
      <color indexed="8"/>
      <name val="ＭＳ Ｐゴシック"/>
      <family val="3"/>
      <charset val="128"/>
    </font>
    <font>
      <sz val="11"/>
      <color indexed="9"/>
      <name val="ＭＳ Ｐゴシック"/>
      <family val="3"/>
      <charset val="128"/>
    </font>
    <font>
      <sz val="8"/>
      <name val="Verdana"/>
      <family val="2"/>
    </font>
    <font>
      <sz val="10"/>
      <color indexed="8"/>
      <name val="Arial"/>
      <family val="2"/>
    </font>
    <font>
      <sz val="11"/>
      <name val="ＭＳ 明朝"/>
      <family val="1"/>
      <charset val="128"/>
    </font>
    <font>
      <sz val="8"/>
      <name val="ＭＳ ゴシック"/>
      <family val="3"/>
      <charset val="128"/>
    </font>
    <font>
      <sz val="9"/>
      <name val="Times New Roman"/>
      <family val="1"/>
    </font>
    <font>
      <u/>
      <sz val="10"/>
      <color indexed="14"/>
      <name val="MS Sans Serif"/>
      <family val="2"/>
    </font>
    <font>
      <sz val="8"/>
      <name val="Arial"/>
      <family val="2"/>
    </font>
    <font>
      <b/>
      <sz val="12"/>
      <name val="Arial"/>
      <family val="2"/>
    </font>
    <font>
      <u/>
      <sz val="8"/>
      <color indexed="12"/>
      <name val="Times New Roman"/>
      <family val="1"/>
    </font>
    <font>
      <sz val="10"/>
      <name val="MS Sans Serif"/>
      <family val="2"/>
    </font>
    <font>
      <b/>
      <sz val="8"/>
      <color indexed="23"/>
      <name val="Verdana"/>
      <family val="2"/>
    </font>
    <font>
      <b/>
      <i/>
      <sz val="16"/>
      <name val="Helv"/>
      <family val="2"/>
    </font>
    <font>
      <sz val="16"/>
      <color indexed="9"/>
      <name val="Tahoma"/>
      <family val="2"/>
    </font>
    <font>
      <sz val="8"/>
      <color indexed="16"/>
      <name val="Century Schoolbook"/>
      <family val="1"/>
    </font>
    <font>
      <b/>
      <i/>
      <sz val="10"/>
      <name val="Times New Roman"/>
      <family val="1"/>
    </font>
    <font>
      <b/>
      <sz val="11"/>
      <name val="Helv"/>
      <family val="2"/>
    </font>
    <font>
      <b/>
      <sz val="9"/>
      <name val="Times New Roman"/>
      <family val="1"/>
    </font>
    <font>
      <sz val="11"/>
      <name val="ＭＳ Ｐ明朝"/>
      <family val="1"/>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2"/>
      <name val="ＭＳ Ｐゴシック"/>
      <family val="3"/>
      <charset val="128"/>
    </font>
    <font>
      <sz val="10"/>
      <name val="Helv"/>
      <family val="2"/>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sz val="11"/>
      <name val="Century"/>
      <family val="1"/>
    </font>
    <font>
      <sz val="9.5"/>
      <name val="ｺﾞｼｯｸ"/>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9"/>
      <name val="ＭＳ 明朝"/>
      <family val="1"/>
      <charset val="128"/>
    </font>
    <font>
      <sz val="8"/>
      <name val="ＭＳ 明朝"/>
      <family val="1"/>
      <charset val="128"/>
    </font>
    <font>
      <i/>
      <sz val="9"/>
      <name val="ＭＳ 明朝"/>
      <family val="1"/>
      <charset val="128"/>
    </font>
    <font>
      <sz val="10"/>
      <name val="ＭＳ ゴシック"/>
      <family val="3"/>
      <charset val="128"/>
    </font>
    <font>
      <sz val="12"/>
      <name val="ＭＳ 明朝"/>
      <family val="1"/>
      <charset val="128"/>
    </font>
    <font>
      <sz val="11"/>
      <color indexed="17"/>
      <name val="ＭＳ Ｐゴシック"/>
      <family val="3"/>
      <charset val="128"/>
    </font>
    <font>
      <sz val="6"/>
      <name val="ＭＳ Ｐゴシック"/>
      <family val="3"/>
      <charset val="128"/>
    </font>
    <font>
      <sz val="10"/>
      <name val="ＭＳ Ｐゴシック"/>
      <family val="3"/>
      <charset val="128"/>
    </font>
    <font>
      <b/>
      <sz val="16"/>
      <name val="ＭＳ Ｐゴシック"/>
      <family val="3"/>
      <charset val="128"/>
    </font>
    <font>
      <sz val="18"/>
      <name val="ＭＳ Ｐゴシック"/>
      <family val="3"/>
      <charset val="128"/>
    </font>
    <font>
      <sz val="9"/>
      <name val="ＭＳ Ｐゴシック"/>
      <family val="3"/>
      <charset val="128"/>
    </font>
    <font>
      <sz val="11"/>
      <color theme="1"/>
      <name val="ＭＳ Ｐゴシック"/>
      <family val="3"/>
      <charset val="128"/>
    </font>
    <font>
      <sz val="6"/>
      <name val="ＭＳ 明朝"/>
      <family val="1"/>
      <charset val="128"/>
    </font>
    <font>
      <sz val="10"/>
      <name val="ＭＳ 明朝"/>
      <family val="1"/>
      <charset val="128"/>
    </font>
    <font>
      <sz val="10"/>
      <name val="ＭＳ Ｐ明朝"/>
      <family val="1"/>
      <charset val="128"/>
    </font>
    <font>
      <sz val="8"/>
      <name val="ＭＳ Ｐ明朝"/>
      <family val="1"/>
      <charset val="128"/>
    </font>
    <font>
      <sz val="8"/>
      <color indexed="10"/>
      <name val="ＭＳ Ｐ明朝"/>
      <family val="1"/>
      <charset val="128"/>
    </font>
    <font>
      <sz val="6"/>
      <name val="ＭＳ Ｐ明朝"/>
      <family val="1"/>
      <charset val="128"/>
    </font>
    <font>
      <sz val="6"/>
      <name val="ＭＳ ゴシック"/>
      <family val="3"/>
      <charset val="128"/>
    </font>
    <font>
      <sz val="12"/>
      <name val="ＭＳ ゴシック"/>
      <family val="3"/>
      <charset val="128"/>
    </font>
    <font>
      <sz val="11"/>
      <name val="明朝"/>
      <family val="1"/>
      <charset val="128"/>
    </font>
    <font>
      <sz val="7"/>
      <name val="ＭＳ Ｐ明朝"/>
      <family val="1"/>
      <charset val="128"/>
    </font>
    <font>
      <sz val="11"/>
      <color rgb="FFFF0000"/>
      <name val="ＭＳ Ｐゴシック"/>
      <family val="3"/>
      <charset val="128"/>
    </font>
    <font>
      <sz val="9"/>
      <color theme="1"/>
      <name val="ＭＳ Ｐゴシック"/>
      <family val="3"/>
      <charset val="128"/>
    </font>
    <font>
      <b/>
      <sz val="10"/>
      <name val="ＭＳ Ｐ明朝"/>
      <family val="1"/>
      <charset val="128"/>
    </font>
    <font>
      <sz val="10"/>
      <color indexed="9"/>
      <name val="ＭＳ Ｐ明朝"/>
      <family val="1"/>
      <charset val="128"/>
    </font>
    <font>
      <sz val="11"/>
      <color theme="1"/>
      <name val="ＭＳ Ｐ明朝"/>
      <family val="1"/>
      <charset val="128"/>
    </font>
    <font>
      <sz val="16"/>
      <color theme="1"/>
      <name val="ＭＳ Ｐゴシック"/>
      <family val="2"/>
      <charset val="128"/>
      <scheme val="minor"/>
    </font>
    <font>
      <sz val="6"/>
      <name val="ＭＳ Ｐゴシック"/>
      <family val="2"/>
      <charset val="128"/>
      <scheme val="minor"/>
    </font>
    <font>
      <sz val="10"/>
      <color theme="1"/>
      <name val="ＭＳ Ｐゴシック"/>
      <family val="2"/>
      <charset val="128"/>
      <scheme val="minor"/>
    </font>
    <font>
      <sz val="10"/>
      <color theme="1"/>
      <name val="ＭＳ Ｐゴシック"/>
      <family val="3"/>
      <charset val="128"/>
      <scheme val="minor"/>
    </font>
  </fonts>
  <fills count="32">
    <fill>
      <patternFill patternType="none"/>
    </fill>
    <fill>
      <patternFill patternType="gray125"/>
    </fill>
    <fill>
      <patternFill patternType="solid">
        <fgColor indexed="4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55"/>
        <bgColor indexed="64"/>
      </patternFill>
    </fill>
    <fill>
      <patternFill patternType="solid">
        <fgColor indexed="22"/>
        <bgColor indexed="64"/>
      </patternFill>
    </fill>
    <fill>
      <patternFill patternType="solid">
        <fgColor indexed="26"/>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gray0625"/>
    </fill>
    <fill>
      <patternFill patternType="solid">
        <fgColor indexed="9"/>
        <bgColor indexed="64"/>
      </patternFill>
    </fill>
    <fill>
      <patternFill patternType="solid">
        <fgColor rgb="FFFFFF00"/>
        <bgColor indexed="64"/>
      </patternFill>
    </fill>
    <fill>
      <patternFill patternType="solid">
        <fgColor indexed="13"/>
        <bgColor indexed="64"/>
      </patternFill>
    </fill>
  </fills>
  <borders count="88">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right/>
      <top/>
      <bottom style="dotted">
        <color indexed="64"/>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64"/>
      </left>
      <right/>
      <top style="thin">
        <color indexed="64"/>
      </top>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style="dotted">
        <color indexed="64"/>
      </left>
      <right/>
      <top style="thin">
        <color indexed="64"/>
      </top>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medium">
        <color indexed="12"/>
      </left>
      <right/>
      <top/>
      <bottom style="hair">
        <color indexed="12"/>
      </bottom>
      <diagonal/>
    </border>
    <border>
      <left style="thin">
        <color indexed="12"/>
      </left>
      <right/>
      <top/>
      <bottom style="hair">
        <color indexed="12"/>
      </bottom>
      <diagonal/>
    </border>
    <border>
      <left style="thin">
        <color indexed="64"/>
      </left>
      <right/>
      <top style="thin">
        <color indexed="64"/>
      </top>
      <bottom style="thin">
        <color indexed="64"/>
      </bottom>
      <diagonal/>
    </border>
    <border>
      <left/>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style="hair">
        <color indexed="64"/>
      </right>
      <top/>
      <bottom/>
      <diagonal/>
    </border>
    <border>
      <left/>
      <right style="hair">
        <color indexed="64"/>
      </right>
      <top/>
      <bottom style="hair">
        <color indexed="64"/>
      </bottom>
      <diagonal/>
    </border>
    <border>
      <left style="hair">
        <color indexed="64"/>
      </left>
      <right style="thin">
        <color indexed="64"/>
      </right>
      <top/>
      <bottom style="hair">
        <color indexed="64"/>
      </bottom>
      <diagonal/>
    </border>
    <border>
      <left style="hair">
        <color indexed="64"/>
      </left>
      <right style="hair">
        <color indexed="64"/>
      </right>
      <top/>
      <bottom style="hair">
        <color indexed="64"/>
      </bottom>
      <diagonal/>
    </border>
    <border>
      <left style="hair">
        <color indexed="64"/>
      </left>
      <right style="hair">
        <color indexed="64"/>
      </right>
      <top/>
      <bottom style="thin">
        <color indexed="64"/>
      </bottom>
      <diagonal/>
    </border>
    <border>
      <left style="thin">
        <color indexed="64"/>
      </left>
      <right style="thin">
        <color indexed="64"/>
      </right>
      <top/>
      <bottom/>
      <diagonal/>
    </border>
    <border>
      <left/>
      <right/>
      <top/>
      <bottom style="hair">
        <color indexed="64"/>
      </bottom>
      <diagonal/>
    </border>
    <border>
      <left style="hair">
        <color indexed="64"/>
      </left>
      <right/>
      <top/>
      <bottom style="hair">
        <color indexed="64"/>
      </bottom>
      <diagonal/>
    </border>
    <border>
      <left/>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style="hair">
        <color indexed="64"/>
      </right>
      <top style="thin">
        <color indexed="64"/>
      </top>
      <bottom/>
      <diagonal/>
    </border>
    <border>
      <left/>
      <right style="hair">
        <color indexed="64"/>
      </right>
      <top style="thin">
        <color indexed="64"/>
      </top>
      <bottom/>
      <diagonal/>
    </border>
    <border>
      <left style="hair">
        <color indexed="64"/>
      </left>
      <right/>
      <top style="thin">
        <color indexed="64"/>
      </top>
      <bottom style="hair">
        <color indexed="64"/>
      </bottom>
      <diagonal/>
    </border>
    <border>
      <left style="thin">
        <color indexed="64"/>
      </left>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bottom style="thin">
        <color indexed="64"/>
      </bottom>
      <diagonal/>
    </border>
    <border>
      <left style="thin">
        <color indexed="64"/>
      </left>
      <right/>
      <top style="hair">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thin">
        <color indexed="64"/>
      </right>
      <top style="thin">
        <color indexed="64"/>
      </top>
      <bottom style="hair">
        <color indexed="64"/>
      </bottom>
      <diagonal/>
    </border>
    <border>
      <left style="hair">
        <color indexed="64"/>
      </left>
      <right style="thin">
        <color indexed="64"/>
      </right>
      <top style="hair">
        <color indexed="64"/>
      </top>
      <bottom/>
      <diagonal/>
    </border>
    <border>
      <left style="thin">
        <color indexed="64"/>
      </left>
      <right style="thin">
        <color indexed="64"/>
      </right>
      <top style="hair">
        <color indexed="64"/>
      </top>
      <bottom style="hair">
        <color indexed="64"/>
      </bottom>
      <diagonal/>
    </border>
    <border>
      <left style="hair">
        <color indexed="64"/>
      </left>
      <right style="thin">
        <color indexed="64"/>
      </right>
      <top/>
      <bottom/>
      <diagonal/>
    </border>
    <border>
      <left style="thin">
        <color indexed="64"/>
      </left>
      <right style="thin">
        <color indexed="64"/>
      </right>
      <top style="hair">
        <color indexed="64"/>
      </top>
      <bottom style="thin">
        <color indexed="64"/>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thin">
        <color indexed="64"/>
      </left>
      <right style="hair">
        <color indexed="64"/>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thin">
        <color indexed="64"/>
      </bottom>
      <diagonal/>
    </border>
    <border>
      <left style="hair">
        <color indexed="64"/>
      </left>
      <right/>
      <top style="thin">
        <color indexed="64"/>
      </top>
      <bottom/>
      <diagonal/>
    </border>
    <border>
      <left style="hair">
        <color indexed="64"/>
      </left>
      <right style="hair">
        <color indexed="64"/>
      </right>
      <top style="thin">
        <color indexed="64"/>
      </top>
      <bottom/>
      <diagonal/>
    </border>
    <border>
      <left/>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thin">
        <color indexed="64"/>
      </right>
      <top style="thin">
        <color indexed="64"/>
      </top>
      <bottom/>
      <diagonal/>
    </border>
    <border>
      <left style="hair">
        <color indexed="64"/>
      </left>
      <right/>
      <top/>
      <bottom/>
      <diagonal/>
    </border>
    <border>
      <left style="hair">
        <color indexed="64"/>
      </left>
      <right style="hair">
        <color indexed="64"/>
      </right>
      <top/>
      <bottom/>
      <diagonal/>
    </border>
    <border>
      <left style="hair">
        <color indexed="64"/>
      </left>
      <right/>
      <top/>
      <bottom style="thin">
        <color indexed="64"/>
      </bottom>
      <diagonal/>
    </border>
    <border>
      <left/>
      <right style="thin">
        <color indexed="64"/>
      </right>
      <top style="hair">
        <color indexed="64"/>
      </top>
      <bottom style="thin">
        <color indexed="64"/>
      </bottom>
      <diagonal/>
    </border>
    <border>
      <left/>
      <right style="hair">
        <color indexed="64"/>
      </right>
      <top style="hair">
        <color indexed="64"/>
      </top>
      <bottom/>
      <diagonal/>
    </border>
    <border>
      <left/>
      <right style="hair">
        <color indexed="64"/>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style="thin">
        <color indexed="64"/>
      </right>
      <top/>
      <bottom style="thin">
        <color indexed="64"/>
      </bottom>
      <diagonal/>
    </border>
    <border>
      <left style="thin">
        <color indexed="64"/>
      </left>
      <right/>
      <top/>
      <bottom style="hair">
        <color indexed="64"/>
      </bottom>
      <diagonal/>
    </border>
    <border>
      <left style="thin">
        <color indexed="64"/>
      </left>
      <right/>
      <top style="hair">
        <color indexed="64"/>
      </top>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bottom style="thin">
        <color indexed="64"/>
      </bottom>
      <diagonal/>
    </border>
    <border>
      <left/>
      <right style="thin">
        <color indexed="64"/>
      </right>
      <top style="hair">
        <color indexed="64"/>
      </top>
      <bottom style="hair">
        <color indexed="64"/>
      </bottom>
      <diagonal/>
    </border>
    <border>
      <left/>
      <right/>
      <top style="hair">
        <color indexed="64"/>
      </top>
      <bottom/>
      <diagonal/>
    </border>
    <border>
      <left style="hair">
        <color indexed="64"/>
      </left>
      <right/>
      <top style="hair">
        <color indexed="64"/>
      </top>
      <bottom/>
      <diagonal/>
    </border>
    <border>
      <left/>
      <right style="thin">
        <color indexed="64"/>
      </right>
      <top style="hair">
        <color indexed="64"/>
      </top>
      <bottom/>
      <diagonal/>
    </border>
  </borders>
  <cellStyleXfs count="195">
    <xf numFmtId="0" fontId="0" fillId="0" borderId="0">
      <alignment vertical="center"/>
    </xf>
    <xf numFmtId="9" fontId="3" fillId="2" borderId="0"/>
    <xf numFmtId="0" fontId="4" fillId="3" borderId="0" applyNumberFormat="0" applyBorder="0" applyAlignment="0" applyProtection="0">
      <alignment vertical="center"/>
    </xf>
    <xf numFmtId="0" fontId="4" fillId="4" borderId="0" applyNumberFormat="0" applyBorder="0" applyAlignment="0" applyProtection="0">
      <alignment vertical="center"/>
    </xf>
    <xf numFmtId="0" fontId="4" fillId="5" borderId="0" applyNumberFormat="0" applyBorder="0" applyAlignment="0" applyProtection="0">
      <alignment vertical="center"/>
    </xf>
    <xf numFmtId="0" fontId="4" fillId="6" borderId="0" applyNumberFormat="0" applyBorder="0" applyAlignment="0" applyProtection="0">
      <alignment vertical="center"/>
    </xf>
    <xf numFmtId="0" fontId="4" fillId="7" borderId="0" applyNumberFormat="0" applyBorder="0" applyAlignment="0" applyProtection="0">
      <alignment vertical="center"/>
    </xf>
    <xf numFmtId="0" fontId="4" fillId="8" borderId="0" applyNumberFormat="0" applyBorder="0" applyAlignment="0" applyProtection="0">
      <alignment vertical="center"/>
    </xf>
    <xf numFmtId="0" fontId="4" fillId="9" borderId="0" applyNumberFormat="0" applyBorder="0" applyAlignment="0" applyProtection="0">
      <alignment vertical="center"/>
    </xf>
    <xf numFmtId="0" fontId="4" fillId="10" borderId="0" applyNumberFormat="0" applyBorder="0" applyAlignment="0" applyProtection="0">
      <alignment vertical="center"/>
    </xf>
    <xf numFmtId="0" fontId="4" fillId="11" borderId="0" applyNumberFormat="0" applyBorder="0" applyAlignment="0" applyProtection="0">
      <alignment vertical="center"/>
    </xf>
    <xf numFmtId="0" fontId="4" fillId="6" borderId="0" applyNumberFormat="0" applyBorder="0" applyAlignment="0" applyProtection="0">
      <alignment vertical="center"/>
    </xf>
    <xf numFmtId="0" fontId="4" fillId="9" borderId="0" applyNumberFormat="0" applyBorder="0" applyAlignment="0" applyProtection="0">
      <alignment vertical="center"/>
    </xf>
    <xf numFmtId="0" fontId="4" fillId="12" borderId="0" applyNumberFormat="0" applyBorder="0" applyAlignment="0" applyProtection="0">
      <alignment vertical="center"/>
    </xf>
    <xf numFmtId="0" fontId="5" fillId="13" borderId="0" applyNumberFormat="0" applyBorder="0" applyAlignment="0" applyProtection="0">
      <alignment vertical="center"/>
    </xf>
    <xf numFmtId="0" fontId="5" fillId="10" borderId="0" applyNumberFormat="0" applyBorder="0" applyAlignment="0" applyProtection="0">
      <alignment vertical="center"/>
    </xf>
    <xf numFmtId="0" fontId="5" fillId="11" borderId="0" applyNumberFormat="0" applyBorder="0" applyAlignment="0" applyProtection="0">
      <alignment vertical="center"/>
    </xf>
    <xf numFmtId="0" fontId="5" fillId="14" borderId="0" applyNumberFormat="0" applyBorder="0" applyAlignment="0" applyProtection="0">
      <alignment vertical="center"/>
    </xf>
    <xf numFmtId="0" fontId="5" fillId="15" borderId="0" applyNumberFormat="0" applyBorder="0" applyAlignment="0" applyProtection="0">
      <alignment vertical="center"/>
    </xf>
    <xf numFmtId="0" fontId="5" fillId="16" borderId="0" applyNumberFormat="0" applyBorder="0" applyAlignment="0" applyProtection="0">
      <alignment vertical="center"/>
    </xf>
    <xf numFmtId="0" fontId="6" fillId="17" borderId="0" applyBorder="0">
      <alignment horizontal="left" vertical="center" indent="1"/>
    </xf>
    <xf numFmtId="176" fontId="7" fillId="0" borderId="0" applyFill="0" applyBorder="0" applyAlignment="0"/>
    <xf numFmtId="177" fontId="8" fillId="0" borderId="0" applyFill="0" applyBorder="0" applyAlignment="0"/>
    <xf numFmtId="178" fontId="8" fillId="0" borderId="0" applyFill="0" applyBorder="0" applyAlignment="0"/>
    <xf numFmtId="179" fontId="8" fillId="0" borderId="0" applyFill="0" applyBorder="0" applyAlignment="0"/>
    <xf numFmtId="180" fontId="8" fillId="0" borderId="0" applyFill="0" applyBorder="0" applyAlignment="0"/>
    <xf numFmtId="181" fontId="8" fillId="0" borderId="0" applyFill="0" applyBorder="0" applyAlignment="0"/>
    <xf numFmtId="182" fontId="8" fillId="0" borderId="0" applyFill="0" applyBorder="0" applyAlignment="0"/>
    <xf numFmtId="177" fontId="8" fillId="0" borderId="0" applyFill="0" applyBorder="0" applyAlignment="0"/>
    <xf numFmtId="0" fontId="3" fillId="0" borderId="0" applyFont="0" applyFill="0" applyBorder="0" applyAlignment="0" applyProtection="0"/>
    <xf numFmtId="181" fontId="8" fillId="0" borderId="0" applyFont="0" applyFill="0" applyBorder="0" applyAlignment="0" applyProtection="0"/>
    <xf numFmtId="183" fontId="8" fillId="0" borderId="0" applyFont="0" applyFill="0" applyBorder="0" applyAlignment="0" applyProtection="0"/>
    <xf numFmtId="0" fontId="3" fillId="0" borderId="0" applyFont="0" applyFill="0" applyBorder="0" applyAlignment="0" applyProtection="0"/>
    <xf numFmtId="177" fontId="8" fillId="0" borderId="0" applyFont="0" applyFill="0" applyBorder="0" applyAlignment="0" applyProtection="0"/>
    <xf numFmtId="182" fontId="8" fillId="0" borderId="0" applyFont="0" applyFill="0" applyBorder="0" applyAlignment="0" applyProtection="0"/>
    <xf numFmtId="49" fontId="9" fillId="0" borderId="0">
      <alignment horizontal="left" vertical="top" shrinkToFit="1"/>
    </xf>
    <xf numFmtId="14" fontId="7" fillId="0" borderId="0" applyFill="0" applyBorder="0" applyAlignment="0"/>
    <xf numFmtId="181" fontId="8" fillId="0" borderId="0" applyFill="0" applyBorder="0" applyAlignment="0"/>
    <xf numFmtId="177" fontId="8" fillId="0" borderId="0" applyFill="0" applyBorder="0" applyAlignment="0"/>
    <xf numFmtId="181" fontId="8" fillId="0" borderId="0" applyFill="0" applyBorder="0" applyAlignment="0"/>
    <xf numFmtId="182" fontId="8" fillId="0" borderId="0" applyFill="0" applyBorder="0" applyAlignment="0"/>
    <xf numFmtId="177" fontId="8" fillId="0" borderId="0" applyFill="0" applyBorder="0" applyAlignment="0"/>
    <xf numFmtId="0" fontId="10" fillId="0" borderId="0">
      <alignment horizontal="left"/>
    </xf>
    <xf numFmtId="0" fontId="11" fillId="0" borderId="0" applyNumberFormat="0" applyFill="0" applyBorder="0" applyAlignment="0" applyProtection="0"/>
    <xf numFmtId="38" fontId="12" fillId="18" borderId="0" applyNumberFormat="0" applyBorder="0" applyAlignment="0" applyProtection="0"/>
    <xf numFmtId="0" fontId="13" fillId="0" borderId="1" applyNumberFormat="0" applyAlignment="0" applyProtection="0">
      <alignment horizontal="left" vertical="center"/>
    </xf>
    <xf numFmtId="0" fontId="13" fillId="0" borderId="2">
      <alignment horizontal="left" vertical="center"/>
    </xf>
    <xf numFmtId="0" fontId="14" fillId="0" borderId="0" applyNumberFormat="0" applyFill="0" applyBorder="0" applyAlignment="0" applyProtection="0">
      <alignment vertical="top"/>
      <protection locked="0"/>
    </xf>
    <xf numFmtId="10" fontId="12" fillId="19" borderId="3" applyNumberFormat="0" applyBorder="0" applyAlignment="0" applyProtection="0"/>
    <xf numFmtId="0" fontId="2" fillId="0" borderId="0" applyNumberFormat="0"/>
    <xf numFmtId="181" fontId="8" fillId="0" borderId="0" applyFill="0" applyBorder="0" applyAlignment="0"/>
    <xf numFmtId="177" fontId="8" fillId="0" borderId="0" applyFill="0" applyBorder="0" applyAlignment="0"/>
    <xf numFmtId="181" fontId="8" fillId="0" borderId="0" applyFill="0" applyBorder="0" applyAlignment="0"/>
    <xf numFmtId="182" fontId="8" fillId="0" borderId="0" applyFill="0" applyBorder="0" applyAlignment="0"/>
    <xf numFmtId="177" fontId="8" fillId="0" borderId="0" applyFill="0" applyBorder="0" applyAlignment="0"/>
    <xf numFmtId="38" fontId="15" fillId="0" borderId="0" applyFont="0" applyFill="0" applyBorder="0" applyAlignment="0" applyProtection="0"/>
    <xf numFmtId="40" fontId="15" fillId="0" borderId="0" applyFont="0" applyFill="0" applyBorder="0" applyAlignment="0" applyProtection="0"/>
    <xf numFmtId="184" fontId="15" fillId="0" borderId="0" applyFont="0" applyFill="0" applyBorder="0" applyAlignment="0" applyProtection="0"/>
    <xf numFmtId="185" fontId="15" fillId="0" borderId="0" applyFont="0" applyFill="0" applyBorder="0" applyAlignment="0" applyProtection="0"/>
    <xf numFmtId="0" fontId="16" fillId="18" borderId="0">
      <alignment horizontal="left" indent="1"/>
    </xf>
    <xf numFmtId="186" fontId="17" fillId="0" borderId="0"/>
    <xf numFmtId="0" fontId="3" fillId="0" borderId="0"/>
    <xf numFmtId="187" fontId="8" fillId="0" borderId="0" applyFont="0" applyFill="0" applyBorder="0" applyAlignment="0" applyProtection="0"/>
    <xf numFmtId="181" fontId="8" fillId="0" borderId="0" applyFont="0" applyFill="0" applyBorder="0" applyAlignment="0" applyProtection="0"/>
    <xf numFmtId="180" fontId="8" fillId="0" borderId="0" applyFont="0" applyFill="0" applyBorder="0" applyAlignment="0" applyProtection="0"/>
    <xf numFmtId="183" fontId="8" fillId="0" borderId="0" applyFont="0" applyFill="0" applyBorder="0" applyAlignment="0" applyProtection="0"/>
    <xf numFmtId="10" fontId="3" fillId="0" borderId="0" applyFont="0" applyFill="0" applyBorder="0" applyAlignment="0" applyProtection="0"/>
    <xf numFmtId="188" fontId="8" fillId="0" borderId="0" applyFont="0" applyFill="0" applyBorder="0" applyAlignment="0" applyProtection="0"/>
    <xf numFmtId="181" fontId="8" fillId="0" borderId="0" applyFill="0" applyBorder="0" applyAlignment="0"/>
    <xf numFmtId="177" fontId="8" fillId="0" borderId="0" applyFill="0" applyBorder="0" applyAlignment="0"/>
    <xf numFmtId="181" fontId="8" fillId="0" borderId="0" applyFill="0" applyBorder="0" applyAlignment="0"/>
    <xf numFmtId="182" fontId="8" fillId="0" borderId="0" applyFill="0" applyBorder="0" applyAlignment="0"/>
    <xf numFmtId="177" fontId="8" fillId="0" borderId="0" applyFill="0" applyBorder="0" applyAlignment="0"/>
    <xf numFmtId="4" fontId="10" fillId="0" borderId="0">
      <alignment horizontal="right"/>
    </xf>
    <xf numFmtId="0" fontId="18" fillId="17" borderId="0">
      <alignment horizontal="left" indent="1"/>
    </xf>
    <xf numFmtId="4" fontId="19" fillId="0" borderId="0">
      <alignment horizontal="right"/>
    </xf>
    <xf numFmtId="0" fontId="20" fillId="0" borderId="0">
      <alignment horizontal="left"/>
    </xf>
    <xf numFmtId="0" fontId="15" fillId="0" borderId="0"/>
    <xf numFmtId="0" fontId="21" fillId="0" borderId="0"/>
    <xf numFmtId="49" fontId="7" fillId="0" borderId="0" applyFill="0" applyBorder="0" applyAlignment="0"/>
    <xf numFmtId="188" fontId="8" fillId="0" borderId="0" applyFill="0" applyBorder="0" applyAlignment="0"/>
    <xf numFmtId="189" fontId="8" fillId="0" borderId="0" applyFill="0" applyBorder="0" applyAlignment="0"/>
    <xf numFmtId="0" fontId="22" fillId="0" borderId="0">
      <alignment horizontal="center"/>
    </xf>
    <xf numFmtId="190" fontId="23" fillId="0" borderId="3"/>
    <xf numFmtId="191" fontId="8" fillId="0" borderId="0" applyFont="0" applyFill="0" applyBorder="0" applyAlignment="0" applyProtection="0"/>
    <xf numFmtId="192" fontId="8" fillId="0" borderId="0" applyFont="0" applyFill="0" applyBorder="0" applyAlignment="0" applyProtection="0"/>
    <xf numFmtId="0" fontId="5" fillId="20" borderId="0" applyNumberFormat="0" applyBorder="0" applyAlignment="0" applyProtection="0">
      <alignment vertical="center"/>
    </xf>
    <xf numFmtId="0" fontId="5" fillId="21" borderId="0" applyNumberFormat="0" applyBorder="0" applyAlignment="0" applyProtection="0">
      <alignment vertical="center"/>
    </xf>
    <xf numFmtId="0" fontId="5" fillId="22" borderId="0" applyNumberFormat="0" applyBorder="0" applyAlignment="0" applyProtection="0">
      <alignment vertical="center"/>
    </xf>
    <xf numFmtId="0" fontId="5" fillId="14" borderId="0" applyNumberFormat="0" applyBorder="0" applyAlignment="0" applyProtection="0">
      <alignment vertical="center"/>
    </xf>
    <xf numFmtId="0" fontId="5" fillId="15" borderId="0" applyNumberFormat="0" applyBorder="0" applyAlignment="0" applyProtection="0">
      <alignment vertical="center"/>
    </xf>
    <xf numFmtId="0" fontId="5" fillId="23" borderId="0" applyNumberFormat="0" applyBorder="0" applyAlignment="0" applyProtection="0">
      <alignment vertical="center"/>
    </xf>
    <xf numFmtId="0" fontId="24" fillId="0" borderId="0" applyNumberFormat="0" applyFill="0" applyBorder="0" applyAlignment="0" applyProtection="0">
      <alignment vertical="center"/>
    </xf>
    <xf numFmtId="0" fontId="25" fillId="24" borderId="4" applyNumberFormat="0" applyAlignment="0" applyProtection="0">
      <alignment vertical="center"/>
    </xf>
    <xf numFmtId="0" fontId="26" fillId="25" borderId="0" applyNumberFormat="0" applyBorder="0" applyAlignment="0" applyProtection="0">
      <alignment vertical="center"/>
    </xf>
    <xf numFmtId="189" fontId="8" fillId="0" borderId="0" applyFont="0" applyFill="0" applyBorder="0" applyAlignment="0" applyProtection="0"/>
    <xf numFmtId="188" fontId="8" fillId="0" borderId="0" applyFont="0" applyFill="0" applyBorder="0" applyAlignment="0" applyProtection="0"/>
    <xf numFmtId="9" fontId="2" fillId="0" borderId="0" applyFont="0" applyFill="0" applyBorder="0" applyAlignment="0" applyProtection="0">
      <alignment vertical="center"/>
    </xf>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0" fontId="27" fillId="0" borderId="5">
      <alignment horizontal="center"/>
    </xf>
    <xf numFmtId="0" fontId="28" fillId="0" borderId="0"/>
    <xf numFmtId="0" fontId="2" fillId="26" borderId="6" applyNumberFormat="0" applyFont="0" applyAlignment="0" applyProtection="0">
      <alignment vertical="center"/>
    </xf>
    <xf numFmtId="41" fontId="3" fillId="0" borderId="0" applyFont="0" applyFill="0" applyBorder="0" applyAlignment="0" applyProtection="0"/>
    <xf numFmtId="4" fontId="28" fillId="0" borderId="0" applyFont="0" applyFill="0" applyBorder="0" applyAlignment="0" applyProtection="0"/>
    <xf numFmtId="0" fontId="29" fillId="0" borderId="7" applyNumberFormat="0" applyFill="0" applyAlignment="0" applyProtection="0">
      <alignment vertical="center"/>
    </xf>
    <xf numFmtId="0" fontId="30" fillId="4" borderId="0" applyNumberFormat="0" applyBorder="0" applyAlignment="0" applyProtection="0">
      <alignment vertical="center"/>
    </xf>
    <xf numFmtId="193" fontId="2" fillId="0" borderId="8"/>
    <xf numFmtId="0" fontId="31" fillId="27" borderId="9" applyNumberFormat="0" applyAlignment="0" applyProtection="0">
      <alignment vertical="center"/>
    </xf>
    <xf numFmtId="0" fontId="32" fillId="0" borderId="0" applyNumberFormat="0" applyFill="0" applyBorder="0" applyAlignment="0" applyProtection="0">
      <alignment vertical="center"/>
    </xf>
    <xf numFmtId="38" fontId="2" fillId="0" borderId="0" applyFont="0" applyFill="0" applyBorder="0" applyAlignment="0" applyProtection="0">
      <alignment vertical="center"/>
    </xf>
    <xf numFmtId="38" fontId="2" fillId="0" borderId="0" applyFont="0" applyFill="0" applyBorder="0" applyAlignment="0" applyProtection="0"/>
    <xf numFmtId="38" fontId="2" fillId="0" borderId="0" applyFont="0" applyFill="0" applyBorder="0" applyAlignment="0" applyProtection="0"/>
    <xf numFmtId="38" fontId="33" fillId="0" borderId="0" applyFont="0" applyFill="0" applyBorder="0" applyAlignment="0" applyProtection="0"/>
    <xf numFmtId="38" fontId="2" fillId="0" borderId="0" applyFont="0" applyFill="0" applyBorder="0" applyAlignment="0" applyProtection="0">
      <alignment vertical="center"/>
    </xf>
    <xf numFmtId="0" fontId="34" fillId="0" borderId="0" applyFont="0" applyFill="0" applyBorder="0" applyAlignment="0" applyProtection="0"/>
    <xf numFmtId="0" fontId="35" fillId="0" borderId="10" applyNumberFormat="0" applyFill="0" applyAlignment="0" applyProtection="0">
      <alignment vertical="center"/>
    </xf>
    <xf numFmtId="0" fontId="36" fillId="0" borderId="11" applyNumberFormat="0" applyFill="0" applyAlignment="0" applyProtection="0">
      <alignment vertical="center"/>
    </xf>
    <xf numFmtId="0" fontId="37" fillId="0" borderId="12" applyNumberFormat="0" applyFill="0" applyAlignment="0" applyProtection="0">
      <alignment vertical="center"/>
    </xf>
    <xf numFmtId="0" fontId="37" fillId="0" borderId="0" applyNumberFormat="0" applyFill="0" applyBorder="0" applyAlignment="0" applyProtection="0">
      <alignment vertical="center"/>
    </xf>
    <xf numFmtId="0" fontId="2" fillId="0" borderId="13">
      <alignment wrapText="1"/>
    </xf>
    <xf numFmtId="0" fontId="38" fillId="0" borderId="14" applyNumberFormat="0" applyFill="0" applyAlignment="0" applyProtection="0">
      <alignment vertical="center"/>
    </xf>
    <xf numFmtId="0" fontId="39" fillId="27" borderId="15" applyNumberFormat="0" applyAlignment="0" applyProtection="0">
      <alignment vertical="center"/>
    </xf>
    <xf numFmtId="194" fontId="2" fillId="0" borderId="8">
      <alignment horizontal="right" wrapText="1"/>
    </xf>
    <xf numFmtId="0" fontId="40" fillId="0" borderId="0" applyNumberFormat="0" applyFill="0" applyBorder="0" applyAlignment="0" applyProtection="0">
      <alignment vertical="center"/>
    </xf>
    <xf numFmtId="0" fontId="2" fillId="0" borderId="8">
      <alignment horizontal="right"/>
    </xf>
    <xf numFmtId="193" fontId="2" fillId="0" borderId="8"/>
    <xf numFmtId="195" fontId="32" fillId="0" borderId="8">
      <alignment horizontal="right"/>
    </xf>
    <xf numFmtId="0" fontId="3" fillId="0" borderId="0" applyFont="0" applyFill="0" applyBorder="0" applyAlignment="0" applyProtection="0"/>
    <xf numFmtId="0" fontId="3" fillId="0" borderId="0" applyFont="0" applyFill="0" applyBorder="0" applyAlignment="0" applyProtection="0"/>
    <xf numFmtId="0" fontId="41" fillId="8" borderId="9"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 fillId="0" borderId="0">
      <alignment vertical="center"/>
    </xf>
    <xf numFmtId="0" fontId="2"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xf numFmtId="0" fontId="2"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xf numFmtId="0" fontId="2" fillId="0" borderId="0">
      <alignment vertical="center"/>
    </xf>
    <xf numFmtId="0" fontId="2" fillId="0" borderId="0">
      <alignment vertical="center"/>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alignment vertical="center"/>
    </xf>
    <xf numFmtId="0" fontId="42" fillId="0" borderId="0" applyNumberFormat="0" applyFill="0" applyBorder="0" applyAlignment="0" applyProtection="0"/>
    <xf numFmtId="0" fontId="43" fillId="28" borderId="16" applyNumberFormat="0" applyFill="0" applyBorder="0" applyAlignment="0" applyProtection="0">
      <alignment horizontal="distributed" vertical="center"/>
    </xf>
    <xf numFmtId="196" fontId="44" fillId="0" borderId="17" applyNumberFormat="0" applyFill="0" applyBorder="0" applyAlignment="0" applyProtection="0"/>
    <xf numFmtId="196" fontId="42" fillId="0" borderId="17" applyNumberFormat="0" applyFill="0" applyBorder="0" applyAlignment="0" applyProtection="0"/>
    <xf numFmtId="0" fontId="45" fillId="0" borderId="0" applyNumberFormat="0" applyFill="0" applyBorder="0" applyAlignment="0" applyProtection="0">
      <alignment horizontal="right"/>
    </xf>
    <xf numFmtId="0" fontId="46" fillId="0" borderId="0" applyBorder="0">
      <alignment vertical="center"/>
    </xf>
    <xf numFmtId="0" fontId="27" fillId="0" borderId="0"/>
    <xf numFmtId="0" fontId="47" fillId="5" borderId="0" applyNumberFormat="0" applyBorder="0" applyAlignment="0" applyProtection="0">
      <alignment vertical="center"/>
    </xf>
    <xf numFmtId="38" fontId="2" fillId="0" borderId="0" applyFont="0" applyFill="0" applyBorder="0" applyAlignment="0" applyProtection="0"/>
    <xf numFmtId="38" fontId="2" fillId="0" borderId="0" applyFont="0" applyFill="0" applyBorder="0" applyAlignment="0" applyProtection="0">
      <alignment vertical="center"/>
    </xf>
    <xf numFmtId="0" fontId="55" fillId="0" borderId="0"/>
    <xf numFmtId="0" fontId="49" fillId="0" borderId="0"/>
    <xf numFmtId="38" fontId="55" fillId="0" borderId="0" applyFont="0" applyFill="0" applyBorder="0" applyAlignment="0" applyProtection="0"/>
    <xf numFmtId="38" fontId="2" fillId="0" borderId="0" applyFont="0" applyFill="0" applyBorder="0" applyAlignment="0" applyProtection="0"/>
    <xf numFmtId="38" fontId="55" fillId="0" borderId="0" applyFont="0" applyFill="0" applyBorder="0" applyAlignment="0" applyProtection="0"/>
    <xf numFmtId="0" fontId="61" fillId="0" borderId="0"/>
    <xf numFmtId="0" fontId="62" fillId="0" borderId="0"/>
    <xf numFmtId="0" fontId="2" fillId="0" borderId="0"/>
    <xf numFmtId="0" fontId="2" fillId="0" borderId="0"/>
  </cellStyleXfs>
  <cellXfs count="801">
    <xf numFmtId="0" fontId="0" fillId="0" borderId="0" xfId="0">
      <alignment vertical="center"/>
    </xf>
    <xf numFmtId="0" fontId="2" fillId="0" borderId="0" xfId="167"/>
    <xf numFmtId="0" fontId="4" fillId="0" borderId="3" xfId="172" applyFont="1" applyBorder="1" applyAlignment="1">
      <alignment horizontal="left"/>
    </xf>
    <xf numFmtId="0" fontId="2" fillId="0" borderId="0" xfId="0" applyFont="1">
      <alignment vertical="center"/>
    </xf>
    <xf numFmtId="43" fontId="49" fillId="0" borderId="19" xfId="171" applyNumberFormat="1" applyFont="1" applyBorder="1" applyAlignment="1">
      <alignment horizontal="center"/>
    </xf>
    <xf numFmtId="43" fontId="49" fillId="0" borderId="0" xfId="171" applyNumberFormat="1" applyFont="1"/>
    <xf numFmtId="0" fontId="50" fillId="0" borderId="21" xfId="171" applyFont="1" applyBorder="1" applyAlignment="1">
      <alignment horizontal="center" vertical="center"/>
    </xf>
    <xf numFmtId="0" fontId="50" fillId="0" borderId="0" xfId="171" applyFont="1" applyAlignment="1">
      <alignment horizontal="center" vertical="center"/>
    </xf>
    <xf numFmtId="0" fontId="2" fillId="0" borderId="3" xfId="167" applyBorder="1" applyAlignment="1">
      <alignment horizontal="center"/>
    </xf>
    <xf numFmtId="198" fontId="2" fillId="0" borderId="3" xfId="167" applyNumberFormat="1" applyBorder="1" applyAlignment="1">
      <alignment horizontal="right"/>
    </xf>
    <xf numFmtId="197" fontId="2" fillId="0" borderId="3" xfId="167" applyNumberFormat="1" applyBorder="1"/>
    <xf numFmtId="0" fontId="2" fillId="0" borderId="20" xfId="167" applyBorder="1" applyAlignment="1">
      <alignment horizontal="center"/>
    </xf>
    <xf numFmtId="0" fontId="49" fillId="0" borderId="0" xfId="173" applyFont="1"/>
    <xf numFmtId="43" fontId="49" fillId="0" borderId="19" xfId="173" applyNumberFormat="1" applyFont="1" applyBorder="1" applyAlignment="1">
      <alignment horizontal="center"/>
    </xf>
    <xf numFmtId="198" fontId="49" fillId="0" borderId="19" xfId="173" applyNumberFormat="1" applyFont="1" applyBorder="1" applyAlignment="1">
      <alignment horizontal="center"/>
    </xf>
    <xf numFmtId="0" fontId="2" fillId="0" borderId="0" xfId="0" applyFont="1" applyAlignment="1"/>
    <xf numFmtId="198" fontId="2" fillId="0" borderId="0" xfId="0" applyNumberFormat="1" applyFont="1" applyAlignment="1"/>
    <xf numFmtId="0" fontId="2" fillId="0" borderId="0" xfId="0" applyFont="1" applyAlignment="1">
      <alignment horizontal="center"/>
    </xf>
    <xf numFmtId="0" fontId="2" fillId="0" borderId="3" xfId="0" applyFont="1" applyBorder="1" applyAlignment="1"/>
    <xf numFmtId="0" fontId="2" fillId="0" borderId="0" xfId="167" applyAlignment="1">
      <alignment horizontal="center"/>
    </xf>
    <xf numFmtId="43" fontId="2" fillId="0" borderId="0" xfId="167" applyNumberFormat="1"/>
    <xf numFmtId="197" fontId="2" fillId="0" borderId="0" xfId="167" applyNumberFormat="1"/>
    <xf numFmtId="49" fontId="2" fillId="0" borderId="0" xfId="167" applyNumberFormat="1"/>
    <xf numFmtId="0" fontId="2" fillId="0" borderId="0" xfId="167" applyAlignment="1">
      <alignment horizontal="right"/>
    </xf>
    <xf numFmtId="0" fontId="2" fillId="0" borderId="18" xfId="167" applyBorder="1" applyAlignment="1">
      <alignment horizontal="center"/>
    </xf>
    <xf numFmtId="0" fontId="2" fillId="0" borderId="3" xfId="167" applyBorder="1"/>
    <xf numFmtId="43" fontId="2" fillId="0" borderId="3" xfId="167" applyNumberFormat="1" applyBorder="1" applyAlignment="1">
      <alignment horizontal="center"/>
    </xf>
    <xf numFmtId="197" fontId="2" fillId="0" borderId="3" xfId="167" applyNumberFormat="1" applyBorder="1" applyAlignment="1">
      <alignment horizontal="center"/>
    </xf>
    <xf numFmtId="49" fontId="2" fillId="0" borderId="3" xfId="167" applyNumberFormat="1" applyBorder="1" applyAlignment="1">
      <alignment horizontal="center"/>
    </xf>
    <xf numFmtId="49" fontId="2" fillId="0" borderId="3" xfId="167" applyNumberFormat="1" applyBorder="1"/>
    <xf numFmtId="43" fontId="2" fillId="0" borderId="19" xfId="167" applyNumberFormat="1" applyBorder="1" applyAlignment="1">
      <alignment horizontal="center"/>
    </xf>
    <xf numFmtId="0" fontId="2" fillId="0" borderId="19" xfId="167" applyBorder="1" applyAlignment="1">
      <alignment horizontal="center"/>
    </xf>
    <xf numFmtId="0" fontId="2" fillId="0" borderId="19" xfId="167" applyBorder="1" applyAlignment="1">
      <alignment horizontal="right"/>
    </xf>
    <xf numFmtId="0" fontId="2" fillId="0" borderId="0" xfId="0" applyFont="1" applyAlignment="1">
      <alignment horizontal="right" vertical="center"/>
    </xf>
    <xf numFmtId="9" fontId="2" fillId="0" borderId="27" xfId="97" applyFont="1" applyBorder="1" applyAlignment="1">
      <alignment horizontal="center"/>
    </xf>
    <xf numFmtId="197" fontId="2" fillId="0" borderId="27" xfId="112" applyNumberFormat="1" applyFont="1" applyBorder="1" applyAlignment="1">
      <alignment horizontal="center"/>
    </xf>
    <xf numFmtId="49" fontId="53" fillId="0" borderId="3" xfId="0" applyNumberFormat="1" applyFont="1" applyBorder="1" applyAlignment="1">
      <alignment horizontal="left"/>
    </xf>
    <xf numFmtId="49" fontId="53" fillId="0" borderId="3" xfId="0" applyNumberFormat="1" applyFont="1" applyBorder="1" applyAlignment="1"/>
    <xf numFmtId="198" fontId="53" fillId="0" borderId="3" xfId="0" applyNumberFormat="1" applyFont="1" applyBorder="1" applyAlignment="1"/>
    <xf numFmtId="0" fontId="53" fillId="0" borderId="3" xfId="0" applyFont="1" applyBorder="1" applyAlignment="1">
      <alignment horizontal="center"/>
    </xf>
    <xf numFmtId="197" fontId="53" fillId="0" borderId="3" xfId="113" applyNumberFormat="1" applyFont="1" applyBorder="1" applyAlignment="1"/>
    <xf numFmtId="197" fontId="53" fillId="0" borderId="3" xfId="113" applyNumberFormat="1" applyFont="1" applyBorder="1" applyAlignment="1">
      <alignment horizontal="right"/>
    </xf>
    <xf numFmtId="197" fontId="2" fillId="0" borderId="3" xfId="112" applyNumberFormat="1" applyFont="1" applyBorder="1" applyAlignment="1"/>
    <xf numFmtId="9" fontId="2" fillId="0" borderId="3" xfId="97" applyFont="1" applyBorder="1" applyAlignment="1">
      <alignment horizontal="left"/>
    </xf>
    <xf numFmtId="49" fontId="53" fillId="0" borderId="30" xfId="0" applyNumberFormat="1" applyFont="1" applyBorder="1" applyAlignment="1"/>
    <xf numFmtId="0" fontId="0" fillId="0" borderId="3" xfId="167" applyFont="1" applyBorder="1" applyAlignment="1">
      <alignment horizontal="left"/>
    </xf>
    <xf numFmtId="0" fontId="0" fillId="0" borderId="3" xfId="167" applyFont="1" applyBorder="1"/>
    <xf numFmtId="49" fontId="52" fillId="0" borderId="3" xfId="171" applyNumberFormat="1" applyFont="1" applyBorder="1" applyAlignment="1">
      <alignment horizontal="center"/>
    </xf>
    <xf numFmtId="190" fontId="52" fillId="0" borderId="3" xfId="171" applyNumberFormat="1" applyFont="1" applyBorder="1" applyAlignment="1">
      <alignment horizontal="right"/>
    </xf>
    <xf numFmtId="190" fontId="52" fillId="0" borderId="3" xfId="171" applyNumberFormat="1" applyFont="1" applyBorder="1"/>
    <xf numFmtId="10" fontId="52" fillId="0" borderId="3" xfId="97" applyNumberFormat="1" applyFont="1" applyBorder="1" applyAlignment="1">
      <alignment horizontal="right"/>
    </xf>
    <xf numFmtId="0" fontId="2" fillId="0" borderId="3" xfId="112" applyNumberFormat="1" applyFont="1" applyBorder="1" applyAlignment="1"/>
    <xf numFmtId="197" fontId="2" fillId="0" borderId="0" xfId="112" applyNumberFormat="1" applyFont="1" applyAlignment="1">
      <alignment horizontal="right"/>
    </xf>
    <xf numFmtId="9" fontId="2" fillId="0" borderId="3" xfId="97" applyFont="1" applyBorder="1" applyAlignment="1">
      <alignment horizontal="center"/>
    </xf>
    <xf numFmtId="197" fontId="2" fillId="0" borderId="3" xfId="112" applyNumberFormat="1" applyFont="1" applyBorder="1" applyAlignment="1">
      <alignment horizontal="center"/>
    </xf>
    <xf numFmtId="197" fontId="2" fillId="0" borderId="0" xfId="184" applyNumberFormat="1" applyAlignment="1">
      <alignment horizontal="right"/>
    </xf>
    <xf numFmtId="204" fontId="2" fillId="0" borderId="0" xfId="185" applyNumberFormat="1" applyAlignment="1"/>
    <xf numFmtId="0" fontId="2" fillId="0" borderId="0" xfId="161">
      <alignment vertical="center"/>
    </xf>
    <xf numFmtId="9" fontId="2" fillId="0" borderId="3" xfId="99" applyBorder="1" applyAlignment="1">
      <alignment horizontal="center"/>
    </xf>
    <xf numFmtId="197" fontId="2" fillId="0" borderId="3" xfId="184" applyNumberFormat="1" applyBorder="1" applyAlignment="1">
      <alignment horizontal="center"/>
    </xf>
    <xf numFmtId="197" fontId="2" fillId="0" borderId="3" xfId="184" applyNumberFormat="1" applyBorder="1" applyAlignment="1">
      <alignment horizontal="right"/>
    </xf>
    <xf numFmtId="197" fontId="2" fillId="0" borderId="3" xfId="184" applyNumberFormat="1" applyBorder="1"/>
    <xf numFmtId="204" fontId="2" fillId="0" borderId="0" xfId="185" applyNumberFormat="1">
      <alignment vertical="center"/>
    </xf>
    <xf numFmtId="0" fontId="2" fillId="0" borderId="0" xfId="161" applyAlignment="1">
      <alignment horizontal="right" vertical="center"/>
    </xf>
    <xf numFmtId="0" fontId="57" fillId="0" borderId="8" xfId="187" applyFont="1" applyBorder="1" applyAlignment="1">
      <alignment horizontal="right"/>
    </xf>
    <xf numFmtId="0" fontId="57" fillId="0" borderId="19" xfId="187" applyFont="1" applyBorder="1" applyAlignment="1">
      <alignment horizontal="center" vertical="center"/>
    </xf>
    <xf numFmtId="0" fontId="57" fillId="0" borderId="19" xfId="187" applyFont="1" applyBorder="1"/>
    <xf numFmtId="0" fontId="57" fillId="0" borderId="24" xfId="187" applyFont="1" applyBorder="1"/>
    <xf numFmtId="0" fontId="57" fillId="0" borderId="0" xfId="187" applyFont="1"/>
    <xf numFmtId="0" fontId="57" fillId="0" borderId="21" xfId="187" quotePrefix="1" applyFont="1" applyBorder="1" applyAlignment="1">
      <alignment horizontal="right" shrinkToFit="1"/>
    </xf>
    <xf numFmtId="0" fontId="57" fillId="0" borderId="25" xfId="187" applyFont="1" applyBorder="1"/>
    <xf numFmtId="0" fontId="57" fillId="0" borderId="18" xfId="187" applyFont="1" applyBorder="1"/>
    <xf numFmtId="0" fontId="57" fillId="0" borderId="2" xfId="187" applyFont="1" applyBorder="1"/>
    <xf numFmtId="0" fontId="57" fillId="0" borderId="28" xfId="187" applyFont="1" applyBorder="1"/>
    <xf numFmtId="0" fontId="57" fillId="0" borderId="23" xfId="187" applyFont="1" applyBorder="1"/>
    <xf numFmtId="0" fontId="57" fillId="0" borderId="22" xfId="187" applyFont="1" applyBorder="1"/>
    <xf numFmtId="0" fontId="57" fillId="29" borderId="22" xfId="186" applyFont="1" applyFill="1" applyBorder="1" applyAlignment="1">
      <alignment vertical="center"/>
    </xf>
    <xf numFmtId="0" fontId="57" fillId="29" borderId="22" xfId="186" applyFont="1" applyFill="1" applyBorder="1" applyAlignment="1">
      <alignment horizontal="right" vertical="center"/>
    </xf>
    <xf numFmtId="0" fontId="57" fillId="0" borderId="26" xfId="187" applyFont="1" applyBorder="1" applyAlignment="1">
      <alignment horizontal="center"/>
    </xf>
    <xf numFmtId="0" fontId="57" fillId="0" borderId="34" xfId="187" applyFont="1" applyBorder="1"/>
    <xf numFmtId="0" fontId="57" fillId="29" borderId="34" xfId="186" applyFont="1" applyFill="1" applyBorder="1" applyAlignment="1">
      <alignment horizontal="center" vertical="center"/>
    </xf>
    <xf numFmtId="0" fontId="57" fillId="29" borderId="0" xfId="186" applyFont="1" applyFill="1" applyAlignment="1">
      <alignment horizontal="center" vertical="center"/>
    </xf>
    <xf numFmtId="0" fontId="57" fillId="29" borderId="34" xfId="186" applyFont="1" applyFill="1" applyBorder="1" applyAlignment="1">
      <alignment horizontal="center"/>
    </xf>
    <xf numFmtId="0" fontId="57" fillId="0" borderId="34" xfId="187" applyFont="1" applyBorder="1" applyAlignment="1">
      <alignment horizontal="center"/>
    </xf>
    <xf numFmtId="0" fontId="57" fillId="0" borderId="34" xfId="187" quotePrefix="1" applyFont="1" applyBorder="1" applyAlignment="1">
      <alignment horizontal="center"/>
    </xf>
    <xf numFmtId="0" fontId="57" fillId="0" borderId="8" xfId="187" applyFont="1" applyBorder="1"/>
    <xf numFmtId="0" fontId="57" fillId="0" borderId="27" xfId="187" applyFont="1" applyBorder="1" applyAlignment="1">
      <alignment horizontal="center"/>
    </xf>
    <xf numFmtId="0" fontId="57" fillId="29" borderId="35" xfId="186" applyFont="1" applyFill="1" applyBorder="1" applyAlignment="1">
      <alignment horizontal="center" vertical="center"/>
    </xf>
    <xf numFmtId="0" fontId="57" fillId="29" borderId="36" xfId="186" applyFont="1" applyFill="1" applyBorder="1" applyAlignment="1">
      <alignment horizontal="center" vertical="center"/>
    </xf>
    <xf numFmtId="0" fontId="57" fillId="0" borderId="21" xfId="187" applyFont="1" applyBorder="1" applyAlignment="1">
      <alignment horizontal="center"/>
    </xf>
    <xf numFmtId="0" fontId="57" fillId="29" borderId="37" xfId="186" applyFont="1" applyFill="1" applyBorder="1" applyAlignment="1">
      <alignment horizontal="center" vertical="center"/>
    </xf>
    <xf numFmtId="0" fontId="57" fillId="29" borderId="38" xfId="186" applyFont="1" applyFill="1" applyBorder="1" applyAlignment="1">
      <alignment horizontal="center" vertical="center"/>
    </xf>
    <xf numFmtId="0" fontId="57" fillId="29" borderId="0" xfId="186" applyFont="1" applyFill="1" applyAlignment="1">
      <alignment horizontal="center" vertical="center" shrinkToFit="1"/>
    </xf>
    <xf numFmtId="0" fontId="57" fillId="29" borderId="34" xfId="186" applyFont="1" applyFill="1" applyBorder="1"/>
    <xf numFmtId="0" fontId="57" fillId="0" borderId="20" xfId="187" applyFont="1" applyBorder="1"/>
    <xf numFmtId="2" fontId="57" fillId="0" borderId="20" xfId="187" applyNumberFormat="1" applyFont="1" applyBorder="1" applyAlignment="1">
      <alignment horizontal="center" shrinkToFit="1"/>
    </xf>
    <xf numFmtId="0" fontId="57" fillId="29" borderId="39" xfId="186" applyFont="1" applyFill="1" applyBorder="1" applyAlignment="1">
      <alignment horizontal="center" vertical="center"/>
    </xf>
    <xf numFmtId="190" fontId="57" fillId="29" borderId="40" xfId="186" applyNumberFormat="1" applyFont="1" applyFill="1" applyBorder="1" applyAlignment="1">
      <alignment horizontal="right" vertical="center"/>
    </xf>
    <xf numFmtId="2" fontId="57" fillId="29" borderId="20" xfId="186" applyNumberFormat="1" applyFont="1" applyFill="1" applyBorder="1" applyAlignment="1">
      <alignment horizontal="center" vertical="center"/>
    </xf>
    <xf numFmtId="0" fontId="57" fillId="29" borderId="22" xfId="186" applyFont="1" applyFill="1" applyBorder="1" applyAlignment="1">
      <alignment horizontal="center" vertical="center"/>
    </xf>
    <xf numFmtId="0" fontId="57" fillId="29" borderId="20" xfId="186" applyFont="1" applyFill="1" applyBorder="1"/>
    <xf numFmtId="0" fontId="59" fillId="0" borderId="41" xfId="186" applyFont="1" applyBorder="1" applyAlignment="1">
      <alignment vertical="center" shrinkToFit="1"/>
    </xf>
    <xf numFmtId="0" fontId="59" fillId="0" borderId="3" xfId="187" applyFont="1" applyBorder="1" applyAlignment="1">
      <alignment vertical="center" wrapText="1" shrinkToFit="1"/>
    </xf>
    <xf numFmtId="0" fontId="57" fillId="0" borderId="3" xfId="187" applyFont="1" applyBorder="1" applyAlignment="1">
      <alignment vertical="center"/>
    </xf>
    <xf numFmtId="0" fontId="57" fillId="0" borderId="3" xfId="187" applyFont="1" applyBorder="1" applyAlignment="1">
      <alignment horizontal="center" vertical="center"/>
    </xf>
    <xf numFmtId="0" fontId="57" fillId="0" borderId="3" xfId="187" applyFont="1" applyBorder="1" applyAlignment="1">
      <alignment vertical="center" shrinkToFit="1"/>
    </xf>
    <xf numFmtId="38" fontId="57" fillId="0" borderId="3" xfId="188" applyFont="1" applyFill="1" applyBorder="1" applyAlignment="1">
      <alignment vertical="center" shrinkToFit="1"/>
    </xf>
    <xf numFmtId="2" fontId="57" fillId="0" borderId="3" xfId="187" applyNumberFormat="1" applyFont="1" applyBorder="1" applyAlignment="1">
      <alignment vertical="center" shrinkToFit="1"/>
    </xf>
    <xf numFmtId="206" fontId="57" fillId="29" borderId="3" xfId="186" applyNumberFormat="1" applyFont="1" applyFill="1" applyBorder="1" applyAlignment="1">
      <alignment vertical="center" shrinkToFit="1"/>
    </xf>
    <xf numFmtId="190" fontId="57" fillId="29" borderId="3" xfId="186" applyNumberFormat="1" applyFont="1" applyFill="1" applyBorder="1" applyAlignment="1">
      <alignment vertical="center" shrinkToFit="1"/>
    </xf>
    <xf numFmtId="38" fontId="57" fillId="29" borderId="3" xfId="186" applyNumberFormat="1" applyFont="1" applyFill="1" applyBorder="1" applyAlignment="1">
      <alignment vertical="center" shrinkToFit="1"/>
    </xf>
    <xf numFmtId="190" fontId="57" fillId="29" borderId="3" xfId="186" applyNumberFormat="1" applyFont="1" applyFill="1" applyBorder="1" applyAlignment="1">
      <alignment horizontal="right" vertical="center" shrinkToFit="1"/>
    </xf>
    <xf numFmtId="0" fontId="57" fillId="0" borderId="3" xfId="187" quotePrefix="1" applyFont="1" applyBorder="1" applyAlignment="1">
      <alignment horizontal="center" vertical="center" shrinkToFit="1"/>
    </xf>
    <xf numFmtId="207" fontId="57" fillId="29" borderId="3" xfId="186" applyNumberFormat="1" applyFont="1" applyFill="1" applyBorder="1" applyAlignment="1">
      <alignment vertical="center" shrinkToFit="1"/>
    </xf>
    <xf numFmtId="38" fontId="43" fillId="0" borderId="22" xfId="189" applyFont="1" applyFill="1" applyBorder="1" applyAlignment="1">
      <alignment horizontal="center" vertical="center"/>
    </xf>
    <xf numFmtId="38" fontId="43" fillId="0" borderId="0" xfId="189" applyFont="1" applyFill="1" applyBorder="1" applyAlignment="1">
      <alignment vertical="center"/>
    </xf>
    <xf numFmtId="38" fontId="43" fillId="0" borderId="0" xfId="189" applyFont="1" applyFill="1" applyBorder="1" applyAlignment="1">
      <alignment horizontal="center" vertical="center"/>
    </xf>
    <xf numFmtId="38" fontId="43" fillId="0" borderId="0" xfId="189" applyFont="1" applyFill="1" applyAlignment="1">
      <alignment vertical="center"/>
    </xf>
    <xf numFmtId="38" fontId="43" fillId="0" borderId="0" xfId="189" applyFont="1" applyFill="1" applyAlignment="1">
      <alignment horizontal="center" vertical="center"/>
    </xf>
    <xf numFmtId="0" fontId="43" fillId="0" borderId="0" xfId="186" applyFont="1"/>
    <xf numFmtId="38" fontId="43" fillId="0" borderId="0" xfId="189" applyFont="1" applyFill="1"/>
    <xf numFmtId="38" fontId="43" fillId="0" borderId="22" xfId="189" applyFont="1" applyFill="1" applyBorder="1" applyAlignment="1">
      <alignment vertical="center"/>
    </xf>
    <xf numFmtId="0" fontId="57" fillId="0" borderId="45" xfId="192" applyFont="1" applyBorder="1" applyAlignment="1">
      <alignment horizontal="center"/>
    </xf>
    <xf numFmtId="0" fontId="57" fillId="0" borderId="46" xfId="192" applyFont="1" applyBorder="1" applyAlignment="1">
      <alignment horizontal="center"/>
    </xf>
    <xf numFmtId="1" fontId="57" fillId="0" borderId="46" xfId="192" applyNumberFormat="1" applyFont="1" applyBorder="1" applyAlignment="1">
      <alignment horizontal="center"/>
    </xf>
    <xf numFmtId="38" fontId="57" fillId="0" borderId="46" xfId="188" applyFont="1" applyFill="1" applyBorder="1" applyAlignment="1">
      <alignment horizontal="center"/>
    </xf>
    <xf numFmtId="0" fontId="57" fillId="0" borderId="47" xfId="192" applyFont="1" applyBorder="1" applyAlignment="1">
      <alignment horizontal="center"/>
    </xf>
    <xf numFmtId="0" fontId="57" fillId="0" borderId="0" xfId="192" applyFont="1"/>
    <xf numFmtId="0" fontId="57" fillId="0" borderId="49" xfId="192" applyFont="1" applyBorder="1" applyAlignment="1">
      <alignment horizontal="center"/>
    </xf>
    <xf numFmtId="0" fontId="57" fillId="0" borderId="50" xfId="192" applyFont="1" applyBorder="1"/>
    <xf numFmtId="210" fontId="57" fillId="0" borderId="50" xfId="192" applyNumberFormat="1" applyFont="1" applyBorder="1"/>
    <xf numFmtId="0" fontId="57" fillId="0" borderId="50" xfId="192" applyFont="1" applyBorder="1" applyAlignment="1">
      <alignment horizontal="center"/>
    </xf>
    <xf numFmtId="38" fontId="57" fillId="0" borderId="50" xfId="188" applyFont="1" applyFill="1" applyBorder="1" applyAlignment="1"/>
    <xf numFmtId="0" fontId="57" fillId="0" borderId="51" xfId="192" applyFont="1" applyBorder="1"/>
    <xf numFmtId="211" fontId="57" fillId="0" borderId="49" xfId="192" quotePrefix="1" applyNumberFormat="1" applyFont="1" applyBorder="1" applyAlignment="1">
      <alignment horizontal="center"/>
    </xf>
    <xf numFmtId="0" fontId="57" fillId="0" borderId="32" xfId="192" applyFont="1" applyBorder="1"/>
    <xf numFmtId="210" fontId="57" fillId="0" borderId="32" xfId="192" applyNumberFormat="1" applyFont="1" applyBorder="1"/>
    <xf numFmtId="0" fontId="57" fillId="0" borderId="32" xfId="192" applyFont="1" applyBorder="1" applyAlignment="1">
      <alignment horizontal="center"/>
    </xf>
    <xf numFmtId="38" fontId="57" fillId="0" borderId="32" xfId="188" applyFont="1" applyFill="1" applyBorder="1" applyAlignment="1"/>
    <xf numFmtId="0" fontId="57" fillId="0" borderId="31" xfId="192" applyFont="1" applyBorder="1"/>
    <xf numFmtId="211" fontId="57" fillId="0" borderId="64" xfId="192" quotePrefix="1" applyNumberFormat="1" applyFont="1" applyBorder="1" applyAlignment="1">
      <alignment horizontal="center"/>
    </xf>
    <xf numFmtId="198" fontId="57" fillId="0" borderId="32" xfId="192" applyNumberFormat="1" applyFont="1" applyBorder="1"/>
    <xf numFmtId="0" fontId="57" fillId="0" borderId="64" xfId="192" applyFont="1" applyBorder="1" applyAlignment="1">
      <alignment horizontal="center"/>
    </xf>
    <xf numFmtId="198" fontId="57" fillId="0" borderId="50" xfId="192" applyNumberFormat="1" applyFont="1" applyBorder="1"/>
    <xf numFmtId="209" fontId="57" fillId="0" borderId="50" xfId="192" applyNumberFormat="1" applyFont="1" applyBorder="1"/>
    <xf numFmtId="3" fontId="57" fillId="0" borderId="50" xfId="192" applyNumberFormat="1" applyFont="1" applyBorder="1" applyAlignment="1">
      <alignment horizontal="center"/>
    </xf>
    <xf numFmtId="0" fontId="57" fillId="0" borderId="54" xfId="192" applyFont="1" applyBorder="1" applyAlignment="1">
      <alignment horizontal="center"/>
    </xf>
    <xf numFmtId="0" fontId="57" fillId="0" borderId="55" xfId="192" applyFont="1" applyBorder="1"/>
    <xf numFmtId="210" fontId="57" fillId="0" borderId="55" xfId="192" applyNumberFormat="1" applyFont="1" applyBorder="1"/>
    <xf numFmtId="0" fontId="57" fillId="0" borderId="55" xfId="192" applyFont="1" applyBorder="1" applyAlignment="1">
      <alignment horizontal="center"/>
    </xf>
    <xf numFmtId="38" fontId="57" fillId="0" borderId="55" xfId="188" applyFont="1" applyFill="1" applyBorder="1" applyAlignment="1"/>
    <xf numFmtId="0" fontId="57" fillId="0" borderId="56" xfId="192" applyFont="1" applyBorder="1"/>
    <xf numFmtId="38" fontId="43" fillId="0" borderId="45" xfId="190" applyFont="1" applyFill="1" applyBorder="1" applyAlignment="1">
      <alignment horizontal="center" vertical="center"/>
    </xf>
    <xf numFmtId="40" fontId="43" fillId="0" borderId="46" xfId="190" applyNumberFormat="1" applyFont="1" applyFill="1" applyBorder="1" applyAlignment="1">
      <alignment horizontal="center" vertical="center"/>
    </xf>
    <xf numFmtId="38" fontId="43" fillId="0" borderId="46" xfId="189" applyFont="1" applyFill="1" applyBorder="1" applyAlignment="1">
      <alignment horizontal="center" vertical="center"/>
    </xf>
    <xf numFmtId="0" fontId="43" fillId="0" borderId="46" xfId="191" applyFont="1" applyBorder="1" applyAlignment="1">
      <alignment horizontal="center"/>
    </xf>
    <xf numFmtId="38" fontId="43" fillId="0" borderId="46" xfId="189" applyFont="1" applyFill="1" applyBorder="1" applyAlignment="1">
      <alignment horizontal="center"/>
    </xf>
    <xf numFmtId="0" fontId="43" fillId="0" borderId="47" xfId="191" applyFont="1" applyBorder="1" applyAlignment="1">
      <alignment horizontal="center"/>
    </xf>
    <xf numFmtId="0" fontId="43" fillId="0" borderId="0" xfId="191" applyFont="1"/>
    <xf numFmtId="38" fontId="43" fillId="0" borderId="49" xfId="190" applyFont="1" applyFill="1" applyBorder="1" applyAlignment="1">
      <alignment horizontal="center" vertical="center"/>
    </xf>
    <xf numFmtId="38" fontId="43" fillId="0" borderId="50" xfId="189" applyFont="1" applyFill="1" applyBorder="1" applyAlignment="1">
      <alignment horizontal="center" vertical="center"/>
    </xf>
    <xf numFmtId="40" fontId="43" fillId="0" borderId="50" xfId="189" applyNumberFormat="1" applyFont="1" applyFill="1" applyBorder="1" applyAlignment="1">
      <alignment horizontal="center" vertical="center"/>
    </xf>
    <xf numFmtId="0" fontId="43" fillId="0" borderId="50" xfId="191" applyFont="1" applyBorder="1" applyAlignment="1">
      <alignment horizontal="center"/>
    </xf>
    <xf numFmtId="38" fontId="43" fillId="0" borderId="50" xfId="189" applyFont="1" applyFill="1" applyBorder="1" applyAlignment="1">
      <alignment horizontal="center"/>
    </xf>
    <xf numFmtId="0" fontId="43" fillId="0" borderId="51" xfId="191" applyFont="1" applyBorder="1" applyAlignment="1">
      <alignment horizontal="center"/>
    </xf>
    <xf numFmtId="38" fontId="43" fillId="0" borderId="54" xfId="189" applyFont="1" applyFill="1" applyBorder="1" applyAlignment="1">
      <alignment horizontal="center" vertical="center"/>
    </xf>
    <xf numFmtId="38" fontId="43" fillId="0" borderId="55" xfId="189" applyFont="1" applyFill="1" applyBorder="1" applyAlignment="1">
      <alignment horizontal="center" vertical="center"/>
    </xf>
    <xf numFmtId="38" fontId="43" fillId="0" borderId="56" xfId="189" applyFont="1" applyFill="1" applyBorder="1" applyAlignment="1">
      <alignment horizontal="center" vertical="center"/>
    </xf>
    <xf numFmtId="38" fontId="43" fillId="0" borderId="45" xfId="189" applyFont="1" applyFill="1" applyBorder="1" applyAlignment="1">
      <alignment vertical="center"/>
    </xf>
    <xf numFmtId="38" fontId="43" fillId="0" borderId="46" xfId="189" applyFont="1" applyFill="1" applyBorder="1" applyAlignment="1">
      <alignment vertical="center"/>
    </xf>
    <xf numFmtId="38" fontId="43" fillId="0" borderId="47" xfId="189" applyFont="1" applyFill="1" applyBorder="1" applyAlignment="1">
      <alignment vertical="center"/>
    </xf>
    <xf numFmtId="38" fontId="43" fillId="0" borderId="57" xfId="189" applyFont="1" applyFill="1" applyBorder="1" applyAlignment="1">
      <alignment horizontal="center" vertical="center"/>
    </xf>
    <xf numFmtId="38" fontId="43" fillId="0" borderId="45" xfId="189" applyFont="1" applyFill="1" applyBorder="1" applyAlignment="1">
      <alignment horizontal="center" vertical="center"/>
    </xf>
    <xf numFmtId="40" fontId="43" fillId="0" borderId="46" xfId="189" applyNumberFormat="1" applyFont="1" applyFill="1" applyBorder="1" applyAlignment="1">
      <alignment horizontal="center" vertical="center"/>
    </xf>
    <xf numFmtId="38" fontId="59" fillId="0" borderId="49" xfId="189" applyFont="1" applyBorder="1" applyAlignment="1">
      <alignment vertical="center" shrinkToFit="1"/>
    </xf>
    <xf numFmtId="38" fontId="59" fillId="0" borderId="50" xfId="189" applyFont="1" applyBorder="1" applyAlignment="1">
      <alignment vertical="center" shrinkToFit="1"/>
    </xf>
    <xf numFmtId="38" fontId="43" fillId="0" borderId="59" xfId="189" applyFont="1" applyFill="1" applyBorder="1" applyAlignment="1">
      <alignment horizontal="center" vertical="center"/>
    </xf>
    <xf numFmtId="208" fontId="43" fillId="0" borderId="50" xfId="190" applyNumberFormat="1" applyFont="1" applyFill="1" applyBorder="1" applyAlignment="1">
      <alignment horizontal="center" vertical="center"/>
    </xf>
    <xf numFmtId="40" fontId="43" fillId="0" borderId="50" xfId="190" applyNumberFormat="1" applyFont="1" applyFill="1" applyBorder="1" applyAlignment="1">
      <alignment horizontal="center" vertical="center"/>
    </xf>
    <xf numFmtId="40" fontId="43" fillId="0" borderId="50" xfId="190" applyNumberFormat="1" applyFont="1" applyFill="1" applyBorder="1" applyAlignment="1">
      <alignment vertical="center"/>
    </xf>
    <xf numFmtId="38" fontId="43" fillId="0" borderId="50" xfId="189" applyFont="1" applyFill="1" applyBorder="1" applyAlignment="1">
      <alignment vertical="center"/>
    </xf>
    <xf numFmtId="38" fontId="43" fillId="0" borderId="50" xfId="189" applyFont="1" applyFill="1" applyBorder="1"/>
    <xf numFmtId="38" fontId="43" fillId="0" borderId="50" xfId="191" applyNumberFormat="1" applyFont="1" applyBorder="1"/>
    <xf numFmtId="0" fontId="43" fillId="0" borderId="51" xfId="191" applyFont="1" applyBorder="1"/>
    <xf numFmtId="38" fontId="43" fillId="0" borderId="50" xfId="190" applyFont="1" applyFill="1" applyBorder="1" applyAlignment="1">
      <alignment horizontal="center" vertical="center"/>
    </xf>
    <xf numFmtId="38" fontId="43" fillId="0" borderId="49" xfId="189" applyFont="1" applyFill="1" applyBorder="1" applyAlignment="1">
      <alignment vertical="center"/>
    </xf>
    <xf numFmtId="38" fontId="43" fillId="0" borderId="51" xfId="189" applyFont="1" applyFill="1" applyBorder="1" applyAlignment="1">
      <alignment vertical="center"/>
    </xf>
    <xf numFmtId="38" fontId="43" fillId="0" borderId="54" xfId="189" applyFont="1" applyFill="1" applyBorder="1" applyAlignment="1">
      <alignment vertical="center"/>
    </xf>
    <xf numFmtId="38" fontId="43" fillId="0" borderId="55" xfId="189" applyFont="1" applyFill="1" applyBorder="1" applyAlignment="1">
      <alignment vertical="center"/>
    </xf>
    <xf numFmtId="38" fontId="43" fillId="0" borderId="56" xfId="189" applyFont="1" applyFill="1" applyBorder="1" applyAlignment="1">
      <alignment vertical="center"/>
    </xf>
    <xf numFmtId="38" fontId="43" fillId="0" borderId="61" xfId="189" applyFont="1" applyFill="1" applyBorder="1" applyAlignment="1">
      <alignment horizontal="center" vertical="center"/>
    </xf>
    <xf numFmtId="38" fontId="43" fillId="0" borderId="62" xfId="190" applyFont="1" applyFill="1" applyBorder="1" applyAlignment="1">
      <alignment horizontal="center" vertical="center"/>
    </xf>
    <xf numFmtId="38" fontId="43" fillId="0" borderId="63" xfId="190" applyFont="1" applyFill="1" applyBorder="1" applyAlignment="1">
      <alignment horizontal="center" vertical="center"/>
    </xf>
    <xf numFmtId="40" fontId="43" fillId="0" borderId="63" xfId="190" applyNumberFormat="1" applyFont="1" applyFill="1" applyBorder="1" applyAlignment="1">
      <alignment vertical="center"/>
    </xf>
    <xf numFmtId="38" fontId="43" fillId="0" borderId="63" xfId="189" applyFont="1" applyFill="1" applyBorder="1" applyAlignment="1">
      <alignment horizontal="center" vertical="center"/>
    </xf>
    <xf numFmtId="40" fontId="43" fillId="0" borderId="63" xfId="189" applyNumberFormat="1" applyFont="1" applyFill="1" applyBorder="1" applyAlignment="1">
      <alignment vertical="center"/>
    </xf>
    <xf numFmtId="40" fontId="43" fillId="0" borderId="63" xfId="189" applyNumberFormat="1" applyFont="1" applyFill="1" applyBorder="1" applyAlignment="1">
      <alignment horizontal="center" vertical="center"/>
    </xf>
    <xf numFmtId="38" fontId="43" fillId="0" borderId="63" xfId="189" applyFont="1" applyFill="1" applyBorder="1"/>
    <xf numFmtId="0" fontId="43" fillId="0" borderId="63" xfId="191" applyFont="1" applyBorder="1"/>
    <xf numFmtId="0" fontId="43" fillId="0" borderId="58" xfId="191" applyFont="1" applyBorder="1"/>
    <xf numFmtId="38" fontId="43" fillId="0" borderId="46" xfId="190" applyFont="1" applyFill="1" applyBorder="1" applyAlignment="1">
      <alignment vertical="center"/>
    </xf>
    <xf numFmtId="40" fontId="43" fillId="0" borderId="46" xfId="190" applyNumberFormat="1" applyFont="1" applyFill="1" applyBorder="1" applyAlignment="1">
      <alignment horizontal="center" vertical="center" shrinkToFit="1"/>
    </xf>
    <xf numFmtId="0" fontId="43" fillId="0" borderId="46" xfId="191" applyFont="1" applyBorder="1"/>
    <xf numFmtId="38" fontId="43" fillId="0" borderId="46" xfId="189" applyFont="1" applyFill="1" applyBorder="1"/>
    <xf numFmtId="38" fontId="43" fillId="0" borderId="46" xfId="191" applyNumberFormat="1" applyFont="1" applyBorder="1"/>
    <xf numFmtId="0" fontId="43" fillId="0" borderId="47" xfId="191" applyFont="1" applyBorder="1"/>
    <xf numFmtId="38" fontId="43" fillId="0" borderId="54" xfId="190" applyFont="1" applyFill="1" applyBorder="1" applyAlignment="1">
      <alignment horizontal="center" vertical="center"/>
    </xf>
    <xf numFmtId="38" fontId="43" fillId="0" borderId="55" xfId="190" applyFont="1" applyFill="1" applyBorder="1" applyAlignment="1">
      <alignment vertical="center"/>
    </xf>
    <xf numFmtId="40" fontId="43" fillId="0" borderId="55" xfId="190" applyNumberFormat="1" applyFont="1" applyFill="1" applyBorder="1" applyAlignment="1">
      <alignment vertical="center"/>
    </xf>
    <xf numFmtId="0" fontId="43" fillId="0" borderId="55" xfId="191" applyFont="1" applyBorder="1"/>
    <xf numFmtId="38" fontId="43" fillId="0" borderId="55" xfId="189" applyFont="1" applyFill="1" applyBorder="1"/>
    <xf numFmtId="38" fontId="43" fillId="0" borderId="55" xfId="191" applyNumberFormat="1" applyFont="1" applyBorder="1"/>
    <xf numFmtId="0" fontId="43" fillId="0" borderId="56" xfId="191" applyFont="1" applyBorder="1"/>
    <xf numFmtId="209" fontId="57" fillId="0" borderId="32" xfId="192" applyNumberFormat="1" applyFont="1" applyBorder="1"/>
    <xf numFmtId="38" fontId="43" fillId="0" borderId="0" xfId="189" quotePrefix="1" applyFont="1" applyFill="1" applyBorder="1" applyAlignment="1">
      <alignment horizontal="center" vertical="center"/>
    </xf>
    <xf numFmtId="0" fontId="43" fillId="0" borderId="0" xfId="186" quotePrefix="1" applyFont="1"/>
    <xf numFmtId="38" fontId="43" fillId="0" borderId="22" xfId="189" quotePrefix="1" applyFont="1" applyFill="1" applyBorder="1" applyAlignment="1">
      <alignment horizontal="center" vertical="center"/>
    </xf>
    <xf numFmtId="0" fontId="56" fillId="0" borderId="0" xfId="161" applyFont="1">
      <alignment vertical="center"/>
    </xf>
    <xf numFmtId="204" fontId="56" fillId="0" borderId="0" xfId="185" applyNumberFormat="1" applyFont="1">
      <alignment vertical="center"/>
    </xf>
    <xf numFmtId="0" fontId="56" fillId="0" borderId="0" xfId="161" applyFont="1" applyAlignment="1">
      <alignment horizontal="right" vertical="center"/>
    </xf>
    <xf numFmtId="0" fontId="2" fillId="0" borderId="0" xfId="171" applyAlignment="1">
      <alignment horizontal="center"/>
    </xf>
    <xf numFmtId="0" fontId="2" fillId="0" borderId="0" xfId="171"/>
    <xf numFmtId="197" fontId="2" fillId="0" borderId="0" xfId="171" applyNumberFormat="1"/>
    <xf numFmtId="197" fontId="2" fillId="0" borderId="0" xfId="113" applyNumberFormat="1" applyFont="1"/>
    <xf numFmtId="49" fontId="2" fillId="0" borderId="0" xfId="171" applyNumberFormat="1" applyAlignment="1">
      <alignment horizontal="right"/>
    </xf>
    <xf numFmtId="0" fontId="2" fillId="0" borderId="18" xfId="171" applyBorder="1" applyAlignment="1">
      <alignment horizontal="center"/>
    </xf>
    <xf numFmtId="0" fontId="2" fillId="0" borderId="3" xfId="171" applyBorder="1"/>
    <xf numFmtId="9" fontId="2" fillId="0" borderId="3" xfId="98" applyFont="1" applyBorder="1" applyAlignment="1">
      <alignment horizontal="center"/>
    </xf>
    <xf numFmtId="43" fontId="2" fillId="0" borderId="3" xfId="171" applyNumberFormat="1" applyBorder="1" applyAlignment="1">
      <alignment horizontal="center"/>
    </xf>
    <xf numFmtId="0" fontId="2" fillId="0" borderId="3" xfId="171" applyBorder="1" applyAlignment="1">
      <alignment horizontal="center"/>
    </xf>
    <xf numFmtId="197" fontId="2" fillId="0" borderId="3" xfId="171" applyNumberFormat="1" applyBorder="1" applyAlignment="1">
      <alignment horizontal="center"/>
    </xf>
    <xf numFmtId="197" fontId="2" fillId="0" borderId="3" xfId="113" applyNumberFormat="1" applyFont="1" applyBorder="1" applyAlignment="1">
      <alignment horizontal="center"/>
    </xf>
    <xf numFmtId="49" fontId="2" fillId="0" borderId="3" xfId="171" applyNumberFormat="1" applyBorder="1" applyAlignment="1">
      <alignment horizontal="center"/>
    </xf>
    <xf numFmtId="0" fontId="2" fillId="0" borderId="20" xfId="171" applyBorder="1" applyAlignment="1">
      <alignment horizontal="center"/>
    </xf>
    <xf numFmtId="0" fontId="2" fillId="0" borderId="3" xfId="171" applyBorder="1" applyAlignment="1">
      <alignment horizontal="left"/>
    </xf>
    <xf numFmtId="198" fontId="2" fillId="0" borderId="3" xfId="171" applyNumberFormat="1" applyBorder="1" applyAlignment="1">
      <alignment horizontal="right"/>
    </xf>
    <xf numFmtId="197" fontId="2" fillId="0" borderId="3" xfId="171" applyNumberFormat="1" applyBorder="1" applyAlignment="1">
      <alignment horizontal="left"/>
    </xf>
    <xf numFmtId="197" fontId="2" fillId="0" borderId="3" xfId="113" applyNumberFormat="1" applyFont="1" applyBorder="1" applyAlignment="1">
      <alignment horizontal="right"/>
    </xf>
    <xf numFmtId="38" fontId="2" fillId="29" borderId="23" xfId="112" applyFont="1" applyFill="1" applyBorder="1" applyAlignment="1">
      <alignment horizontal="right"/>
    </xf>
    <xf numFmtId="202" fontId="2" fillId="0" borderId="3" xfId="171" applyNumberFormat="1" applyBorder="1" applyAlignment="1">
      <alignment horizontal="left"/>
    </xf>
    <xf numFmtId="0" fontId="2" fillId="0" borderId="3" xfId="0" applyFont="1" applyBorder="1">
      <alignment vertical="center"/>
    </xf>
    <xf numFmtId="10" fontId="2" fillId="0" borderId="0" xfId="154" applyNumberFormat="1"/>
    <xf numFmtId="0" fontId="2" fillId="0" borderId="0" xfId="154"/>
    <xf numFmtId="203" fontId="2" fillId="0" borderId="3" xfId="171" applyNumberFormat="1" applyBorder="1" applyAlignment="1">
      <alignment horizontal="left"/>
    </xf>
    <xf numFmtId="10" fontId="2" fillId="0" borderId="3" xfId="171" applyNumberFormat="1" applyBorder="1" applyAlignment="1">
      <alignment horizontal="left"/>
    </xf>
    <xf numFmtId="0" fontId="4" fillId="0" borderId="0" xfId="175" applyAlignment="1">
      <alignment horizontal="right"/>
    </xf>
    <xf numFmtId="199" fontId="2" fillId="0" borderId="0" xfId="171" applyNumberFormat="1"/>
    <xf numFmtId="49" fontId="2" fillId="0" borderId="3" xfId="171" applyNumberFormat="1" applyBorder="1" applyAlignment="1">
      <alignment horizontal="left"/>
    </xf>
    <xf numFmtId="197" fontId="2" fillId="0" borderId="3" xfId="171" applyNumberFormat="1" applyBorder="1"/>
    <xf numFmtId="199" fontId="2" fillId="0" borderId="0" xfId="171" applyNumberFormat="1" applyAlignment="1">
      <alignment horizontal="right"/>
    </xf>
    <xf numFmtId="0" fontId="2" fillId="0" borderId="19" xfId="171" applyBorder="1" applyAlignment="1">
      <alignment horizontal="center"/>
    </xf>
    <xf numFmtId="0" fontId="2" fillId="0" borderId="19" xfId="171" applyBorder="1" applyAlignment="1">
      <alignment horizontal="right"/>
    </xf>
    <xf numFmtId="197" fontId="2" fillId="0" borderId="0" xfId="113" applyNumberFormat="1" applyFont="1" applyAlignment="1">
      <alignment horizontal="right"/>
    </xf>
    <xf numFmtId="204" fontId="2" fillId="0" borderId="0" xfId="112" applyNumberFormat="1" applyFont="1" applyAlignment="1"/>
    <xf numFmtId="0" fontId="2" fillId="0" borderId="3" xfId="167" applyBorder="1" applyAlignment="1">
      <alignment horizontal="left"/>
    </xf>
    <xf numFmtId="197" fontId="2" fillId="0" borderId="3" xfId="113" applyNumberFormat="1" applyFont="1" applyBorder="1"/>
    <xf numFmtId="204" fontId="2" fillId="0" borderId="0" xfId="112" applyNumberFormat="1" applyFont="1">
      <alignment vertical="center"/>
    </xf>
    <xf numFmtId="43" fontId="2" fillId="0" borderId="0" xfId="171" applyNumberFormat="1"/>
    <xf numFmtId="49" fontId="2" fillId="0" borderId="0" xfId="171" applyNumberFormat="1"/>
    <xf numFmtId="9" fontId="2" fillId="0" borderId="21" xfId="98" applyFont="1" applyBorder="1" applyAlignment="1">
      <alignment horizontal="center"/>
    </xf>
    <xf numFmtId="43" fontId="2" fillId="0" borderId="0" xfId="171" applyNumberFormat="1" applyAlignment="1">
      <alignment horizontal="center"/>
    </xf>
    <xf numFmtId="197" fontId="2" fillId="0" borderId="0" xfId="171" applyNumberFormat="1" applyAlignment="1">
      <alignment horizontal="center"/>
    </xf>
    <xf numFmtId="197" fontId="2" fillId="0" borderId="0" xfId="113" applyNumberFormat="1" applyFont="1" applyAlignment="1">
      <alignment horizontal="center"/>
    </xf>
    <xf numFmtId="49" fontId="2" fillId="0" borderId="0" xfId="171" applyNumberFormat="1" applyAlignment="1">
      <alignment horizontal="center"/>
    </xf>
    <xf numFmtId="0" fontId="2" fillId="0" borderId="27" xfId="0" applyFont="1" applyBorder="1" applyAlignment="1">
      <alignment horizontal="center" vertical="center"/>
    </xf>
    <xf numFmtId="0" fontId="2" fillId="0" borderId="20" xfId="0" applyFont="1" applyBorder="1" applyAlignment="1">
      <alignment horizontal="center" vertical="center"/>
    </xf>
    <xf numFmtId="0" fontId="2" fillId="0" borderId="8" xfId="171" applyBorder="1" applyAlignment="1">
      <alignment horizontal="center"/>
    </xf>
    <xf numFmtId="0" fontId="2" fillId="0" borderId="19" xfId="171" applyBorder="1"/>
    <xf numFmtId="43" fontId="2" fillId="0" borderId="19" xfId="171" applyNumberFormat="1" applyBorder="1"/>
    <xf numFmtId="197" fontId="2" fillId="0" borderId="19" xfId="171" applyNumberFormat="1" applyBorder="1"/>
    <xf numFmtId="197" fontId="2" fillId="0" borderId="19" xfId="113" applyNumberFormat="1" applyFont="1" applyBorder="1"/>
    <xf numFmtId="49" fontId="2" fillId="0" borderId="19" xfId="171" applyNumberFormat="1" applyBorder="1"/>
    <xf numFmtId="0" fontId="2" fillId="0" borderId="24" xfId="171" applyBorder="1"/>
    <xf numFmtId="0" fontId="2" fillId="0" borderId="21" xfId="171" applyBorder="1" applyAlignment="1">
      <alignment horizontal="center"/>
    </xf>
    <xf numFmtId="0" fontId="2" fillId="0" borderId="25" xfId="171" applyBorder="1"/>
    <xf numFmtId="9" fontId="2" fillId="0" borderId="0" xfId="98" applyFont="1"/>
    <xf numFmtId="0" fontId="2" fillId="0" borderId="0" xfId="171" applyAlignment="1">
      <alignment horizontal="center" vertical="center"/>
    </xf>
    <xf numFmtId="0" fontId="2" fillId="0" borderId="0" xfId="171" applyAlignment="1">
      <alignment horizontal="distributed" vertical="center"/>
    </xf>
    <xf numFmtId="0" fontId="2" fillId="0" borderId="23" xfId="171" applyBorder="1" applyAlignment="1">
      <alignment horizontal="center"/>
    </xf>
    <xf numFmtId="0" fontId="2" fillId="0" borderId="22" xfId="171" applyBorder="1"/>
    <xf numFmtId="43" fontId="2" fillId="0" borderId="22" xfId="171" applyNumberFormat="1" applyBorder="1"/>
    <xf numFmtId="0" fontId="2" fillId="0" borderId="22" xfId="171" applyBorder="1" applyAlignment="1">
      <alignment horizontal="center"/>
    </xf>
    <xf numFmtId="197" fontId="2" fillId="0" borderId="22" xfId="171" applyNumberFormat="1" applyBorder="1"/>
    <xf numFmtId="197" fontId="2" fillId="0" borderId="22" xfId="113" applyNumberFormat="1" applyFont="1" applyBorder="1"/>
    <xf numFmtId="49" fontId="2" fillId="0" borderId="22" xfId="171" applyNumberFormat="1" applyBorder="1"/>
    <xf numFmtId="0" fontId="2" fillId="0" borderId="26" xfId="171" applyBorder="1"/>
    <xf numFmtId="37" fontId="2" fillId="0" borderId="0" xfId="171" applyNumberFormat="1"/>
    <xf numFmtId="0" fontId="2" fillId="0" borderId="0" xfId="173" applyAlignment="1">
      <alignment horizontal="center"/>
    </xf>
    <xf numFmtId="0" fontId="2" fillId="0" borderId="0" xfId="173"/>
    <xf numFmtId="198" fontId="2" fillId="0" borderId="0" xfId="173" applyNumberFormat="1"/>
    <xf numFmtId="197" fontId="2" fillId="0" borderId="0" xfId="173" applyNumberFormat="1"/>
    <xf numFmtId="197" fontId="2" fillId="0" borderId="0" xfId="185" applyNumberFormat="1" applyFont="1" applyAlignment="1">
      <alignment horizontal="right"/>
    </xf>
    <xf numFmtId="0" fontId="2" fillId="0" borderId="0" xfId="168"/>
    <xf numFmtId="0" fontId="2" fillId="0" borderId="18" xfId="173" applyBorder="1" applyAlignment="1">
      <alignment horizontal="center"/>
    </xf>
    <xf numFmtId="0" fontId="2" fillId="0" borderId="3" xfId="173" applyBorder="1"/>
    <xf numFmtId="9" fontId="2" fillId="0" borderId="3" xfId="101" applyFont="1" applyBorder="1" applyAlignment="1">
      <alignment horizontal="center"/>
    </xf>
    <xf numFmtId="198" fontId="2" fillId="0" borderId="3" xfId="173" applyNumberFormat="1" applyBorder="1" applyAlignment="1">
      <alignment horizontal="center"/>
    </xf>
    <xf numFmtId="0" fontId="2" fillId="0" borderId="3" xfId="173" applyBorder="1" applyAlignment="1">
      <alignment horizontal="center"/>
    </xf>
    <xf numFmtId="197" fontId="2" fillId="0" borderId="3" xfId="173" applyNumberFormat="1" applyBorder="1" applyAlignment="1">
      <alignment horizontal="center"/>
    </xf>
    <xf numFmtId="197" fontId="2" fillId="0" borderId="3" xfId="185" applyNumberFormat="1" applyFont="1" applyBorder="1" applyAlignment="1">
      <alignment horizontal="center"/>
    </xf>
    <xf numFmtId="0" fontId="2" fillId="0" borderId="3" xfId="172" applyBorder="1" applyAlignment="1">
      <alignment horizontal="center"/>
    </xf>
    <xf numFmtId="0" fontId="2" fillId="0" borderId="3" xfId="172" applyBorder="1" applyAlignment="1">
      <alignment horizontal="left"/>
    </xf>
    <xf numFmtId="0" fontId="2" fillId="0" borderId="23" xfId="173" applyBorder="1" applyAlignment="1">
      <alignment horizontal="center"/>
    </xf>
    <xf numFmtId="198" fontId="2" fillId="0" borderId="3" xfId="170" applyNumberFormat="1" applyBorder="1"/>
    <xf numFmtId="197" fontId="2" fillId="0" borderId="3" xfId="173" applyNumberFormat="1" applyBorder="1"/>
    <xf numFmtId="190" fontId="2" fillId="0" borderId="33" xfId="186" applyNumberFormat="1" applyFont="1" applyBorder="1"/>
    <xf numFmtId="0" fontId="2" fillId="0" borderId="23" xfId="172" applyBorder="1" applyAlignment="1">
      <alignment horizontal="center"/>
    </xf>
    <xf numFmtId="9" fontId="2" fillId="0" borderId="3" xfId="101" applyFont="1" applyBorder="1" applyAlignment="1"/>
    <xf numFmtId="37" fontId="2" fillId="0" borderId="0" xfId="168" applyNumberFormat="1"/>
    <xf numFmtId="0" fontId="2" fillId="0" borderId="19" xfId="173" applyBorder="1" applyAlignment="1">
      <alignment horizontal="center"/>
    </xf>
    <xf numFmtId="197" fontId="2" fillId="0" borderId="19" xfId="173" applyNumberFormat="1" applyBorder="1" applyAlignment="1">
      <alignment horizontal="right"/>
    </xf>
    <xf numFmtId="197" fontId="2" fillId="0" borderId="3" xfId="185" applyNumberFormat="1" applyFont="1" applyBorder="1" applyAlignment="1"/>
    <xf numFmtId="0" fontId="2" fillId="0" borderId="3" xfId="173" applyBorder="1" applyAlignment="1">
      <alignment horizontal="left" indent="1"/>
    </xf>
    <xf numFmtId="9" fontId="2" fillId="0" borderId="3" xfId="101" applyFont="1" applyBorder="1" applyAlignment="1">
      <alignment horizontal="left" indent="1"/>
    </xf>
    <xf numFmtId="198" fontId="2" fillId="0" borderId="3" xfId="173" applyNumberFormat="1" applyBorder="1"/>
    <xf numFmtId="0" fontId="2" fillId="0" borderId="3" xfId="167" applyBorder="1" applyAlignment="1">
      <alignment horizontal="center" shrinkToFit="1"/>
    </xf>
    <xf numFmtId="0" fontId="2" fillId="0" borderId="3" xfId="167" applyBorder="1" applyAlignment="1">
      <alignment shrinkToFit="1"/>
    </xf>
    <xf numFmtId="197" fontId="2" fillId="0" borderId="3" xfId="184" applyNumberFormat="1" applyFont="1" applyBorder="1"/>
    <xf numFmtId="0" fontId="2" fillId="0" borderId="3" xfId="172" applyBorder="1"/>
    <xf numFmtId="198" fontId="2" fillId="0" borderId="0" xfId="161" applyNumberFormat="1">
      <alignment vertical="center"/>
    </xf>
    <xf numFmtId="0" fontId="2" fillId="0" borderId="0" xfId="161" applyAlignment="1">
      <alignment horizontal="center" vertical="center"/>
    </xf>
    <xf numFmtId="0" fontId="2" fillId="0" borderId="3" xfId="174" applyBorder="1"/>
    <xf numFmtId="0" fontId="2" fillId="0" borderId="3" xfId="174" applyBorder="1" applyAlignment="1">
      <alignment horizontal="center"/>
    </xf>
    <xf numFmtId="0" fontId="2" fillId="0" borderId="20" xfId="174" applyBorder="1" applyAlignment="1">
      <alignment horizontal="center"/>
    </xf>
    <xf numFmtId="0" fontId="2" fillId="0" borderId="3" xfId="174" applyBorder="1" applyAlignment="1">
      <alignment horizontal="left"/>
    </xf>
    <xf numFmtId="200" fontId="2" fillId="0" borderId="3" xfId="174" applyNumberFormat="1" applyBorder="1"/>
    <xf numFmtId="0" fontId="2" fillId="0" borderId="20" xfId="172" applyBorder="1" applyAlignment="1">
      <alignment horizontal="center"/>
    </xf>
    <xf numFmtId="201" fontId="2" fillId="0" borderId="3" xfId="172" applyNumberFormat="1" applyBorder="1"/>
    <xf numFmtId="0" fontId="2" fillId="0" borderId="3" xfId="169" applyBorder="1" applyAlignment="1">
      <alignment horizontal="center"/>
    </xf>
    <xf numFmtId="0" fontId="2" fillId="0" borderId="3" xfId="169" applyBorder="1" applyAlignment="1">
      <alignment shrinkToFit="1"/>
    </xf>
    <xf numFmtId="0" fontId="2" fillId="0" borderId="3" xfId="169" applyBorder="1" applyAlignment="1">
      <alignment horizontal="left"/>
    </xf>
    <xf numFmtId="200" fontId="2" fillId="0" borderId="3" xfId="169" applyNumberFormat="1" applyBorder="1"/>
    <xf numFmtId="0" fontId="2" fillId="0" borderId="3" xfId="169" applyBorder="1"/>
    <xf numFmtId="9" fontId="2" fillId="0" borderId="3" xfId="172" applyNumberFormat="1" applyBorder="1" applyAlignment="1">
      <alignment horizontal="center"/>
    </xf>
    <xf numFmtId="197" fontId="2" fillId="0" borderId="19" xfId="174" applyNumberFormat="1" applyBorder="1" applyAlignment="1">
      <alignment horizontal="right"/>
    </xf>
    <xf numFmtId="198" fontId="2" fillId="0" borderId="27" xfId="173" applyNumberFormat="1" applyBorder="1" applyAlignment="1">
      <alignment horizontal="center"/>
    </xf>
    <xf numFmtId="0" fontId="2" fillId="0" borderId="27" xfId="173" applyBorder="1" applyAlignment="1">
      <alignment horizontal="center"/>
    </xf>
    <xf numFmtId="197" fontId="2" fillId="0" borderId="27" xfId="173" applyNumberFormat="1" applyBorder="1" applyAlignment="1">
      <alignment horizontal="center"/>
    </xf>
    <xf numFmtId="49" fontId="53" fillId="0" borderId="28" xfId="0" applyNumberFormat="1" applyFont="1" applyBorder="1" applyAlignment="1"/>
    <xf numFmtId="0" fontId="2" fillId="0" borderId="20" xfId="173" applyBorder="1" applyAlignment="1">
      <alignment horizontal="center"/>
    </xf>
    <xf numFmtId="0" fontId="2" fillId="0" borderId="3" xfId="173" applyBorder="1" applyAlignment="1">
      <alignment horizontal="left" shrinkToFit="1"/>
    </xf>
    <xf numFmtId="0" fontId="2" fillId="0" borderId="3" xfId="173" applyBorder="1" applyAlignment="1">
      <alignment horizontal="left"/>
    </xf>
    <xf numFmtId="197" fontId="0" fillId="0" borderId="3" xfId="112" applyNumberFormat="1" applyFont="1" applyBorder="1" applyAlignment="1"/>
    <xf numFmtId="0" fontId="0" fillId="0" borderId="3" xfId="171" applyFont="1" applyBorder="1" applyAlignment="1">
      <alignment horizontal="left"/>
    </xf>
    <xf numFmtId="49" fontId="0" fillId="0" borderId="48" xfId="0" applyNumberFormat="1" applyBorder="1">
      <alignment vertical="center"/>
    </xf>
    <xf numFmtId="0" fontId="0" fillId="0" borderId="3" xfId="172" applyFont="1" applyBorder="1" applyAlignment="1">
      <alignment horizontal="left"/>
    </xf>
    <xf numFmtId="0" fontId="0" fillId="0" borderId="3" xfId="167" applyFont="1" applyBorder="1" applyAlignment="1">
      <alignment horizontal="center" shrinkToFit="1"/>
    </xf>
    <xf numFmtId="0" fontId="0" fillId="0" borderId="3" xfId="167" applyFont="1" applyBorder="1" applyAlignment="1">
      <alignment horizontal="left" shrinkToFit="1"/>
    </xf>
    <xf numFmtId="56" fontId="0" fillId="0" borderId="3" xfId="172" quotePrefix="1" applyNumberFormat="1" applyFont="1" applyBorder="1" applyAlignment="1">
      <alignment horizontal="center"/>
    </xf>
    <xf numFmtId="0" fontId="0" fillId="0" borderId="23" xfId="172" quotePrefix="1" applyFont="1" applyBorder="1" applyAlignment="1">
      <alignment horizontal="center"/>
    </xf>
    <xf numFmtId="0" fontId="0" fillId="0" borderId="3" xfId="167" quotePrefix="1" applyFont="1" applyBorder="1" applyAlignment="1">
      <alignment horizontal="center"/>
    </xf>
    <xf numFmtId="0" fontId="0" fillId="0" borderId="3" xfId="167" applyFont="1" applyBorder="1" applyAlignment="1">
      <alignment horizontal="center"/>
    </xf>
    <xf numFmtId="9" fontId="0" fillId="0" borderId="3" xfId="101" applyFont="1" applyBorder="1" applyAlignment="1"/>
    <xf numFmtId="0" fontId="0" fillId="0" borderId="3" xfId="173" applyFont="1" applyBorder="1" applyAlignment="1">
      <alignment horizontal="center"/>
    </xf>
    <xf numFmtId="0" fontId="0" fillId="0" borderId="3" xfId="167" applyFont="1" applyBorder="1" applyAlignment="1">
      <alignment shrinkToFit="1"/>
    </xf>
    <xf numFmtId="0" fontId="56" fillId="0" borderId="41" xfId="186" applyFont="1" applyBorder="1" applyAlignment="1">
      <alignment vertical="center" shrinkToFit="1"/>
    </xf>
    <xf numFmtId="0" fontId="23" fillId="0" borderId="3" xfId="187" applyFont="1" applyBorder="1" applyAlignment="1">
      <alignment vertical="center" wrapText="1" shrinkToFit="1"/>
    </xf>
    <xf numFmtId="0" fontId="23" fillId="0" borderId="3" xfId="186" applyFont="1" applyBorder="1" applyAlignment="1">
      <alignment vertical="center" shrinkToFit="1"/>
    </xf>
    <xf numFmtId="0" fontId="2" fillId="0" borderId="41" xfId="186" applyFont="1" applyBorder="1" applyAlignment="1">
      <alignment vertical="center" shrinkToFit="1"/>
    </xf>
    <xf numFmtId="0" fontId="2" fillId="0" borderId="3" xfId="187" applyFont="1" applyBorder="1" applyAlignment="1">
      <alignment vertical="center" wrapText="1" shrinkToFit="1"/>
    </xf>
    <xf numFmtId="197" fontId="0" fillId="0" borderId="3" xfId="173" applyNumberFormat="1" applyFont="1" applyBorder="1"/>
    <xf numFmtId="0" fontId="0" fillId="0" borderId="3" xfId="187" applyFont="1" applyBorder="1" applyAlignment="1">
      <alignment vertical="center" wrapText="1" shrinkToFit="1"/>
    </xf>
    <xf numFmtId="0" fontId="0" fillId="0" borderId="23" xfId="173" applyFont="1" applyBorder="1" applyAlignment="1">
      <alignment horizontal="center"/>
    </xf>
    <xf numFmtId="0" fontId="0" fillId="0" borderId="20" xfId="167" applyFont="1" applyBorder="1" applyAlignment="1">
      <alignment horizontal="center"/>
    </xf>
    <xf numFmtId="0" fontId="0" fillId="0" borderId="3" xfId="169" applyFont="1" applyBorder="1" applyAlignment="1">
      <alignment shrinkToFit="1"/>
    </xf>
    <xf numFmtId="0" fontId="0" fillId="0" borderId="3" xfId="173" applyFont="1" applyBorder="1" applyAlignment="1">
      <alignment horizontal="left"/>
    </xf>
    <xf numFmtId="0" fontId="23" fillId="0" borderId="3" xfId="187" applyFont="1" applyBorder="1" applyAlignment="1">
      <alignment vertical="center" shrinkToFit="1"/>
    </xf>
    <xf numFmtId="0" fontId="57" fillId="0" borderId="31" xfId="192" applyFont="1" applyBorder="1" applyAlignment="1">
      <alignment shrinkToFit="1"/>
    </xf>
    <xf numFmtId="0" fontId="2" fillId="0" borderId="0" xfId="174" applyAlignment="1">
      <alignment horizontal="center"/>
    </xf>
    <xf numFmtId="0" fontId="2" fillId="0" borderId="0" xfId="174"/>
    <xf numFmtId="200" fontId="2" fillId="0" borderId="0" xfId="174" applyNumberFormat="1"/>
    <xf numFmtId="197" fontId="2" fillId="0" borderId="0" xfId="174" applyNumberFormat="1"/>
    <xf numFmtId="0" fontId="2" fillId="31" borderId="0" xfId="174" applyFill="1" applyAlignment="1">
      <alignment horizontal="center"/>
    </xf>
    <xf numFmtId="0" fontId="2" fillId="0" borderId="18" xfId="174" applyBorder="1" applyAlignment="1">
      <alignment horizontal="center"/>
    </xf>
    <xf numFmtId="200" fontId="2" fillId="0" borderId="3" xfId="174" applyNumberFormat="1" applyBorder="1" applyAlignment="1">
      <alignment horizontal="center"/>
    </xf>
    <xf numFmtId="197" fontId="2" fillId="0" borderId="3" xfId="174" applyNumberFormat="1" applyBorder="1" applyAlignment="1">
      <alignment horizontal="center"/>
    </xf>
    <xf numFmtId="49" fontId="53" fillId="0" borderId="30" xfId="0" applyNumberFormat="1" applyFont="1" applyBorder="1" applyAlignment="1">
      <alignment horizontal="center"/>
    </xf>
    <xf numFmtId="49" fontId="64" fillId="0" borderId="65" xfId="0" applyNumberFormat="1" applyFont="1" applyBorder="1" applyAlignment="1"/>
    <xf numFmtId="43" fontId="2" fillId="0" borderId="19" xfId="174" applyNumberFormat="1" applyBorder="1" applyAlignment="1">
      <alignment horizontal="center"/>
    </xf>
    <xf numFmtId="0" fontId="2" fillId="0" borderId="19" xfId="174" applyBorder="1" applyAlignment="1">
      <alignment horizontal="center"/>
    </xf>
    <xf numFmtId="200" fontId="49" fillId="0" borderId="19" xfId="174" applyNumberFormat="1" applyFont="1" applyBorder="1" applyAlignment="1">
      <alignment horizontal="center"/>
    </xf>
    <xf numFmtId="49" fontId="53" fillId="0" borderId="66" xfId="0" applyNumberFormat="1" applyFont="1" applyBorder="1" applyAlignment="1">
      <alignment horizontal="left"/>
    </xf>
    <xf numFmtId="49" fontId="53" fillId="0" borderId="28" xfId="0" applyNumberFormat="1" applyFont="1" applyBorder="1" applyAlignment="1">
      <alignment horizontal="left"/>
    </xf>
    <xf numFmtId="49" fontId="65" fillId="0" borderId="3" xfId="0" applyNumberFormat="1" applyFont="1" applyBorder="1" applyAlignment="1"/>
    <xf numFmtId="198" fontId="53" fillId="0" borderId="28" xfId="0" applyNumberFormat="1" applyFont="1" applyBorder="1" applyAlignment="1"/>
    <xf numFmtId="49" fontId="53" fillId="0" borderId="26" xfId="0" applyNumberFormat="1" applyFont="1" applyBorder="1" applyAlignment="1">
      <alignment horizontal="left"/>
    </xf>
    <xf numFmtId="49" fontId="65" fillId="0" borderId="20" xfId="0" applyNumberFormat="1" applyFont="1" applyBorder="1" applyAlignment="1"/>
    <xf numFmtId="0" fontId="53" fillId="0" borderId="20" xfId="0" applyFont="1" applyBorder="1" applyAlignment="1">
      <alignment horizontal="center"/>
    </xf>
    <xf numFmtId="197" fontId="53" fillId="0" borderId="20" xfId="113" applyNumberFormat="1" applyFont="1" applyBorder="1" applyAlignment="1"/>
    <xf numFmtId="49" fontId="53" fillId="0" borderId="20" xfId="0" applyNumberFormat="1" applyFont="1" applyBorder="1" applyAlignment="1">
      <alignment horizontal="left"/>
    </xf>
    <xf numFmtId="9" fontId="52" fillId="0" borderId="3" xfId="97" applyFont="1" applyBorder="1" applyAlignment="1">
      <alignment horizontal="left"/>
    </xf>
    <xf numFmtId="0" fontId="0" fillId="0" borderId="3" xfId="0" applyBorder="1" applyAlignment="1">
      <alignment horizontal="left"/>
    </xf>
    <xf numFmtId="0" fontId="52" fillId="0" borderId="3" xfId="0" applyFont="1" applyBorder="1" applyAlignment="1"/>
    <xf numFmtId="197" fontId="53" fillId="0" borderId="3" xfId="113" applyNumberFormat="1" applyFont="1" applyFill="1" applyBorder="1" applyAlignment="1"/>
    <xf numFmtId="49" fontId="53" fillId="0" borderId="31" xfId="0" applyNumberFormat="1" applyFont="1" applyBorder="1" applyAlignment="1"/>
    <xf numFmtId="190" fontId="2" fillId="0" borderId="3" xfId="0" applyNumberFormat="1" applyFont="1" applyBorder="1" applyAlignment="1"/>
    <xf numFmtId="0" fontId="2" fillId="0" borderId="3" xfId="0" applyFont="1" applyBorder="1" applyAlignment="1">
      <alignment horizontal="center"/>
    </xf>
    <xf numFmtId="197" fontId="2" fillId="0" borderId="3" xfId="173" applyNumberFormat="1" applyBorder="1" applyAlignment="1">
      <alignment horizontal="left"/>
    </xf>
    <xf numFmtId="9" fontId="2" fillId="0" borderId="3" xfId="97" applyFont="1" applyBorder="1" applyAlignment="1"/>
    <xf numFmtId="0" fontId="2" fillId="0" borderId="3" xfId="0" applyFont="1" applyBorder="1" applyAlignment="1">
      <alignment wrapText="1"/>
    </xf>
    <xf numFmtId="0" fontId="32" fillId="0" borderId="23" xfId="173" applyFont="1" applyBorder="1" applyAlignment="1">
      <alignment horizontal="center"/>
    </xf>
    <xf numFmtId="0" fontId="32" fillId="0" borderId="0" xfId="168" applyFont="1"/>
    <xf numFmtId="37" fontId="32" fillId="0" borderId="0" xfId="168" applyNumberFormat="1" applyFont="1"/>
    <xf numFmtId="0" fontId="32" fillId="0" borderId="0" xfId="0" applyFont="1" applyAlignment="1"/>
    <xf numFmtId="0" fontId="2" fillId="0" borderId="3" xfId="173" applyBorder="1" applyAlignment="1">
      <alignment shrinkToFit="1"/>
    </xf>
    <xf numFmtId="43" fontId="49" fillId="0" borderId="22" xfId="193" applyNumberFormat="1" applyFont="1" applyBorder="1" applyAlignment="1">
      <alignment horizontal="center"/>
    </xf>
    <xf numFmtId="0" fontId="2" fillId="0" borderId="22" xfId="193" applyBorder="1" applyAlignment="1">
      <alignment horizontal="center"/>
    </xf>
    <xf numFmtId="198" fontId="49" fillId="0" borderId="22" xfId="193" applyNumberFormat="1" applyFont="1" applyBorder="1" applyAlignment="1">
      <alignment horizontal="center"/>
    </xf>
    <xf numFmtId="197" fontId="2" fillId="0" borderId="22" xfId="193" applyNumberFormat="1" applyBorder="1" applyAlignment="1">
      <alignment horizontal="right"/>
    </xf>
    <xf numFmtId="0" fontId="2" fillId="0" borderId="18" xfId="193" applyBorder="1" applyAlignment="1">
      <alignment horizontal="center"/>
    </xf>
    <xf numFmtId="0" fontId="2" fillId="0" borderId="3" xfId="193" applyBorder="1"/>
    <xf numFmtId="198" fontId="2" fillId="0" borderId="3" xfId="193" applyNumberFormat="1" applyBorder="1" applyAlignment="1">
      <alignment horizontal="center"/>
    </xf>
    <xf numFmtId="0" fontId="2" fillId="0" borderId="3" xfId="193" applyBorder="1" applyAlignment="1">
      <alignment horizontal="center"/>
    </xf>
    <xf numFmtId="197" fontId="2" fillId="0" borderId="3" xfId="193" applyNumberFormat="1" applyBorder="1" applyAlignment="1">
      <alignment horizontal="center"/>
    </xf>
    <xf numFmtId="198" fontId="2" fillId="0" borderId="3" xfId="173" applyNumberFormat="1" applyBorder="1" applyAlignment="1">
      <alignment horizontal="right"/>
    </xf>
    <xf numFmtId="0" fontId="2" fillId="0" borderId="3" xfId="0" applyFont="1" applyBorder="1" applyAlignment="1">
      <alignment shrinkToFit="1"/>
    </xf>
    <xf numFmtId="43" fontId="49" fillId="0" borderId="19" xfId="193" applyNumberFormat="1" applyFont="1" applyBorder="1" applyAlignment="1">
      <alignment horizontal="center"/>
    </xf>
    <xf numFmtId="0" fontId="2" fillId="0" borderId="19" xfId="193" applyBorder="1" applyAlignment="1">
      <alignment horizontal="center"/>
    </xf>
    <xf numFmtId="198" fontId="49" fillId="0" borderId="19" xfId="193" applyNumberFormat="1" applyFont="1" applyBorder="1" applyAlignment="1">
      <alignment horizontal="center"/>
    </xf>
    <xf numFmtId="197" fontId="2" fillId="0" borderId="19" xfId="193" applyNumberFormat="1" applyBorder="1" applyAlignment="1">
      <alignment horizontal="right"/>
    </xf>
    <xf numFmtId="0" fontId="56" fillId="0" borderId="0" xfId="194" applyFont="1" applyAlignment="1">
      <alignment horizontal="left" vertical="center"/>
    </xf>
    <xf numFmtId="0" fontId="56" fillId="0" borderId="0" xfId="194" applyFont="1" applyAlignment="1">
      <alignment horizontal="center" vertical="center"/>
    </xf>
    <xf numFmtId="0" fontId="23" fillId="0" borderId="0" xfId="194" applyFont="1" applyAlignment="1">
      <alignment horizontal="center" vertical="center"/>
    </xf>
    <xf numFmtId="0" fontId="2" fillId="0" borderId="0" xfId="136"/>
    <xf numFmtId="0" fontId="2" fillId="0" borderId="0" xfId="194" applyAlignment="1">
      <alignment horizontal="center" vertical="center"/>
    </xf>
    <xf numFmtId="0" fontId="56" fillId="0" borderId="43" xfId="194" applyFont="1" applyBorder="1" applyAlignment="1">
      <alignment horizontal="center" vertical="center"/>
    </xf>
    <xf numFmtId="0" fontId="56" fillId="0" borderId="46" xfId="194" applyFont="1" applyBorder="1" applyAlignment="1">
      <alignment horizontal="center" vertical="center"/>
    </xf>
    <xf numFmtId="38" fontId="56" fillId="0" borderId="46" xfId="113" applyFont="1" applyBorder="1" applyAlignment="1">
      <alignment horizontal="center" vertical="center"/>
    </xf>
    <xf numFmtId="38" fontId="56" fillId="0" borderId="47" xfId="113" applyFont="1" applyBorder="1" applyAlignment="1">
      <alignment horizontal="center" vertical="center"/>
    </xf>
    <xf numFmtId="205" fontId="56" fillId="0" borderId="63" xfId="194" applyNumberFormat="1" applyFont="1" applyBorder="1" applyAlignment="1">
      <alignment horizontal="center" vertical="center"/>
    </xf>
    <xf numFmtId="205" fontId="56" fillId="0" borderId="50" xfId="194" applyNumberFormat="1" applyFont="1" applyBorder="1" applyAlignment="1">
      <alignment horizontal="center" vertical="center"/>
    </xf>
    <xf numFmtId="0" fontId="56" fillId="0" borderId="50" xfId="194" applyFont="1" applyBorder="1" applyAlignment="1">
      <alignment horizontal="center" vertical="center"/>
    </xf>
    <xf numFmtId="38" fontId="56" fillId="0" borderId="50" xfId="113" applyFont="1" applyBorder="1" applyAlignment="1">
      <alignment horizontal="center" vertical="center"/>
    </xf>
    <xf numFmtId="38" fontId="56" fillId="0" borderId="51" xfId="113" applyFont="1" applyBorder="1" applyAlignment="1">
      <alignment horizontal="center" vertical="center"/>
    </xf>
    <xf numFmtId="0" fontId="56" fillId="0" borderId="50" xfId="136" applyFont="1" applyBorder="1" applyAlignment="1">
      <alignment horizontal="center" vertical="center"/>
    </xf>
    <xf numFmtId="205" fontId="56" fillId="0" borderId="33" xfId="194" applyNumberFormat="1" applyFont="1" applyBorder="1" applyAlignment="1">
      <alignment horizontal="center" vertical="center"/>
    </xf>
    <xf numFmtId="205" fontId="56" fillId="0" borderId="55" xfId="194" applyNumberFormat="1" applyFont="1" applyBorder="1" applyAlignment="1">
      <alignment horizontal="center" vertical="center"/>
    </xf>
    <xf numFmtId="0" fontId="56" fillId="0" borderId="55" xfId="194" applyFont="1" applyBorder="1" applyAlignment="1">
      <alignment horizontal="center" vertical="center"/>
    </xf>
    <xf numFmtId="38" fontId="56" fillId="0" borderId="55" xfId="113" applyFont="1" applyBorder="1" applyAlignment="1">
      <alignment horizontal="center" vertical="center"/>
    </xf>
    <xf numFmtId="38" fontId="56" fillId="0" borderId="56" xfId="113" applyFont="1" applyBorder="1" applyAlignment="1">
      <alignment horizontal="center" vertical="center"/>
    </xf>
    <xf numFmtId="0" fontId="56" fillId="0" borderId="22" xfId="194" applyFont="1" applyBorder="1" applyAlignment="1">
      <alignment horizontal="center" vertical="center"/>
    </xf>
    <xf numFmtId="213" fontId="56" fillId="0" borderId="45" xfId="194" applyNumberFormat="1" applyFont="1" applyBorder="1" applyAlignment="1">
      <alignment horizontal="center" vertical="center"/>
    </xf>
    <xf numFmtId="213" fontId="56" fillId="0" borderId="69" xfId="194" applyNumberFormat="1" applyFont="1" applyBorder="1" applyAlignment="1">
      <alignment horizontal="center" vertical="center"/>
    </xf>
    <xf numFmtId="38" fontId="56" fillId="0" borderId="70" xfId="194" applyNumberFormat="1" applyFont="1" applyBorder="1" applyAlignment="1">
      <alignment horizontal="left" vertical="center"/>
    </xf>
    <xf numFmtId="38" fontId="56" fillId="0" borderId="43" xfId="194" applyNumberFormat="1" applyFont="1" applyBorder="1" applyAlignment="1">
      <alignment horizontal="left" vertical="center"/>
    </xf>
    <xf numFmtId="38" fontId="56" fillId="0" borderId="46" xfId="194" applyNumberFormat="1" applyFont="1" applyBorder="1" applyAlignment="1">
      <alignment horizontal="center" vertical="center"/>
    </xf>
    <xf numFmtId="1" fontId="56" fillId="0" borderId="46" xfId="194" applyNumberFormat="1" applyFont="1" applyBorder="1" applyAlignment="1">
      <alignment horizontal="center" vertical="center"/>
    </xf>
    <xf numFmtId="2" fontId="56" fillId="0" borderId="46" xfId="194" applyNumberFormat="1" applyFont="1" applyBorder="1" applyAlignment="1">
      <alignment horizontal="center" vertical="center"/>
    </xf>
    <xf numFmtId="9" fontId="56" fillId="0" borderId="46" xfId="98" applyFont="1" applyBorder="1" applyAlignment="1">
      <alignment horizontal="center" vertical="center"/>
    </xf>
    <xf numFmtId="208" fontId="56" fillId="0" borderId="46" xfId="194" applyNumberFormat="1" applyFont="1" applyBorder="1" applyAlignment="1">
      <alignment horizontal="center" vertical="center"/>
    </xf>
    <xf numFmtId="38" fontId="56" fillId="0" borderId="64" xfId="136" applyNumberFormat="1" applyFont="1" applyBorder="1" applyAlignment="1">
      <alignment horizontal="center"/>
    </xf>
    <xf numFmtId="38" fontId="56" fillId="0" borderId="32" xfId="136" applyNumberFormat="1" applyFont="1" applyBorder="1" applyAlignment="1">
      <alignment horizontal="center"/>
    </xf>
    <xf numFmtId="0" fontId="2" fillId="0" borderId="46" xfId="136" applyBorder="1"/>
    <xf numFmtId="0" fontId="2" fillId="0" borderId="30" xfId="136" applyBorder="1"/>
    <xf numFmtId="0" fontId="56" fillId="0" borderId="31" xfId="136" applyFont="1" applyBorder="1"/>
    <xf numFmtId="0" fontId="56" fillId="0" borderId="8" xfId="194" applyFont="1" applyBorder="1" applyAlignment="1">
      <alignment horizontal="center" vertical="center"/>
    </xf>
    <xf numFmtId="0" fontId="56" fillId="0" borderId="24" xfId="194" applyFont="1" applyBorder="1" applyAlignment="1">
      <alignment horizontal="center" vertical="center"/>
    </xf>
    <xf numFmtId="214" fontId="56" fillId="0" borderId="49" xfId="194" applyNumberFormat="1" applyFont="1" applyBorder="1" applyAlignment="1">
      <alignment horizontal="center" vertical="center"/>
    </xf>
    <xf numFmtId="214" fontId="56" fillId="0" borderId="0" xfId="194" applyNumberFormat="1" applyFont="1" applyAlignment="1">
      <alignment horizontal="center" vertical="center"/>
    </xf>
    <xf numFmtId="0" fontId="56" fillId="0" borderId="76" xfId="194" applyFont="1" applyBorder="1" applyAlignment="1">
      <alignment horizontal="center" vertical="center"/>
    </xf>
    <xf numFmtId="0" fontId="56" fillId="0" borderId="77" xfId="194" applyFont="1" applyBorder="1" applyAlignment="1">
      <alignment horizontal="left" vertical="center"/>
    </xf>
    <xf numFmtId="0" fontId="56" fillId="0" borderId="50" xfId="194" applyFont="1" applyBorder="1" applyAlignment="1">
      <alignment horizontal="left" vertical="center"/>
    </xf>
    <xf numFmtId="1" fontId="56" fillId="0" borderId="50" xfId="194" applyNumberFormat="1" applyFont="1" applyBorder="1" applyAlignment="1">
      <alignment horizontal="center" vertical="center"/>
    </xf>
    <xf numFmtId="0" fontId="56" fillId="0" borderId="49" xfId="136" applyFont="1" applyBorder="1" applyAlignment="1">
      <alignment horizontal="center"/>
    </xf>
    <xf numFmtId="0" fontId="56" fillId="0" borderId="50" xfId="136" applyFont="1" applyBorder="1"/>
    <xf numFmtId="0" fontId="56" fillId="0" borderId="51" xfId="136" applyFont="1" applyBorder="1"/>
    <xf numFmtId="0" fontId="56" fillId="0" borderId="21" xfId="194" applyFont="1" applyBorder="1" applyAlignment="1">
      <alignment horizontal="center" vertical="center"/>
    </xf>
    <xf numFmtId="0" fontId="56" fillId="0" borderId="25" xfId="194" applyFont="1" applyBorder="1" applyAlignment="1">
      <alignment horizontal="center" vertical="center"/>
    </xf>
    <xf numFmtId="214" fontId="56" fillId="0" borderId="37" xfId="194" applyNumberFormat="1" applyFont="1" applyBorder="1" applyAlignment="1">
      <alignment horizontal="center" vertical="center"/>
    </xf>
    <xf numFmtId="0" fontId="56" fillId="0" borderId="37" xfId="194" applyFont="1" applyBorder="1" applyAlignment="1">
      <alignment horizontal="left" vertical="center"/>
    </xf>
    <xf numFmtId="38" fontId="66" fillId="0" borderId="58" xfId="113" applyFont="1" applyBorder="1" applyAlignment="1">
      <alignment horizontal="center" vertical="center"/>
    </xf>
    <xf numFmtId="214" fontId="56" fillId="0" borderId="54" xfId="194" applyNumberFormat="1" applyFont="1" applyBorder="1" applyAlignment="1">
      <alignment horizontal="center" vertical="center"/>
    </xf>
    <xf numFmtId="214" fontId="56" fillId="0" borderId="39" xfId="194" applyNumberFormat="1" applyFont="1" applyBorder="1" applyAlignment="1">
      <alignment horizontal="center" vertical="center"/>
    </xf>
    <xf numFmtId="0" fontId="56" fillId="0" borderId="78" xfId="194" applyFont="1" applyBorder="1" applyAlignment="1">
      <alignment horizontal="left" vertical="center"/>
    </xf>
    <xf numFmtId="0" fontId="56" fillId="0" borderId="39" xfId="194" applyFont="1" applyBorder="1" applyAlignment="1">
      <alignment horizontal="left" vertical="center"/>
    </xf>
    <xf numFmtId="0" fontId="56" fillId="0" borderId="55" xfId="194" applyFont="1" applyBorder="1" applyAlignment="1">
      <alignment horizontal="left" vertical="center"/>
    </xf>
    <xf numFmtId="0" fontId="67" fillId="0" borderId="55" xfId="194" applyFont="1" applyBorder="1" applyAlignment="1">
      <alignment horizontal="center" vertical="center"/>
    </xf>
    <xf numFmtId="1" fontId="56" fillId="0" borderId="55" xfId="194" applyNumberFormat="1" applyFont="1" applyBorder="1" applyAlignment="1">
      <alignment horizontal="center" vertical="center"/>
    </xf>
    <xf numFmtId="215" fontId="56" fillId="0" borderId="55" xfId="194" applyNumberFormat="1" applyFont="1" applyBorder="1" applyAlignment="1">
      <alignment horizontal="center" vertical="center"/>
    </xf>
    <xf numFmtId="38" fontId="67" fillId="0" borderId="55" xfId="113" applyFont="1" applyBorder="1" applyAlignment="1">
      <alignment horizontal="center" vertical="center"/>
    </xf>
    <xf numFmtId="38" fontId="66" fillId="0" borderId="79" xfId="113" applyFont="1" applyBorder="1" applyAlignment="1">
      <alignment horizontal="center" vertical="center"/>
    </xf>
    <xf numFmtId="0" fontId="56" fillId="0" borderId="54" xfId="136" applyFont="1" applyBorder="1" applyAlignment="1">
      <alignment horizontal="center"/>
    </xf>
    <xf numFmtId="0" fontId="56" fillId="0" borderId="55" xfId="136" applyFont="1" applyBorder="1"/>
    <xf numFmtId="0" fontId="56" fillId="0" borderId="56" xfId="136" applyFont="1" applyBorder="1"/>
    <xf numFmtId="38" fontId="56" fillId="0" borderId="69" xfId="194" applyNumberFormat="1" applyFont="1" applyBorder="1" applyAlignment="1">
      <alignment horizontal="left" vertical="center"/>
    </xf>
    <xf numFmtId="0" fontId="56" fillId="0" borderId="32" xfId="136" applyFont="1" applyBorder="1"/>
    <xf numFmtId="0" fontId="56" fillId="0" borderId="29" xfId="194" applyFont="1" applyBorder="1" applyAlignment="1">
      <alignment horizontal="center" vertical="center"/>
    </xf>
    <xf numFmtId="0" fontId="56" fillId="0" borderId="55" xfId="136" applyFont="1" applyBorder="1" applyAlignment="1">
      <alignment horizontal="center"/>
    </xf>
    <xf numFmtId="216" fontId="56" fillId="0" borderId="46" xfId="194" applyNumberFormat="1" applyFont="1" applyBorder="1" applyAlignment="1">
      <alignment horizontal="center" vertical="center"/>
    </xf>
    <xf numFmtId="3" fontId="56" fillId="0" borderId="32" xfId="136" applyNumberFormat="1" applyFont="1" applyBorder="1"/>
    <xf numFmtId="0" fontId="56" fillId="0" borderId="50" xfId="136" applyFont="1" applyBorder="1" applyAlignment="1">
      <alignment horizontal="center"/>
    </xf>
    <xf numFmtId="0" fontId="56" fillId="0" borderId="40" xfId="136" applyFont="1" applyBorder="1"/>
    <xf numFmtId="0" fontId="2" fillId="0" borderId="56" xfId="136" applyBorder="1"/>
    <xf numFmtId="49" fontId="68" fillId="0" borderId="30" xfId="136" applyNumberFormat="1" applyFont="1" applyBorder="1" applyAlignment="1">
      <alignment horizontal="center"/>
    </xf>
    <xf numFmtId="0" fontId="23" fillId="0" borderId="50" xfId="194" applyFont="1" applyBorder="1" applyAlignment="1">
      <alignment horizontal="center" vertical="center" shrinkToFit="1"/>
    </xf>
    <xf numFmtId="38" fontId="56" fillId="0" borderId="50" xfId="113" applyFont="1" applyBorder="1"/>
    <xf numFmtId="0" fontId="56" fillId="0" borderId="23" xfId="194" applyFont="1" applyBorder="1" applyAlignment="1">
      <alignment horizontal="center" vertical="center"/>
    </xf>
    <xf numFmtId="0" fontId="56" fillId="0" borderId="26" xfId="194" applyFont="1" applyBorder="1" applyAlignment="1">
      <alignment horizontal="center" vertical="center"/>
    </xf>
    <xf numFmtId="38" fontId="56" fillId="0" borderId="55" xfId="113" applyFont="1" applyBorder="1"/>
    <xf numFmtId="0" fontId="56" fillId="0" borderId="19" xfId="194" applyFont="1" applyBorder="1" applyAlignment="1">
      <alignment horizontal="center" vertical="center"/>
    </xf>
    <xf numFmtId="38" fontId="56" fillId="0" borderId="24" xfId="113" applyFont="1" applyBorder="1" applyAlignment="1">
      <alignment horizontal="center" vertical="center"/>
    </xf>
    <xf numFmtId="38" fontId="56" fillId="0" borderId="70" xfId="136" applyNumberFormat="1" applyFont="1" applyBorder="1" applyAlignment="1">
      <alignment horizontal="left" vertical="center"/>
    </xf>
    <xf numFmtId="49" fontId="68" fillId="0" borderId="30" xfId="136" applyNumberFormat="1" applyFont="1" applyBorder="1" applyAlignment="1">
      <alignment horizontal="left" vertical="center"/>
    </xf>
    <xf numFmtId="38" fontId="56" fillId="0" borderId="25" xfId="113" applyFont="1" applyBorder="1" applyAlignment="1">
      <alignment horizontal="center" vertical="center"/>
    </xf>
    <xf numFmtId="38" fontId="56" fillId="0" borderId="32" xfId="113" applyFont="1" applyBorder="1"/>
    <xf numFmtId="0" fontId="56" fillId="0" borderId="30" xfId="136" applyFont="1" applyBorder="1"/>
    <xf numFmtId="3" fontId="56" fillId="0" borderId="50" xfId="136" applyNumberFormat="1" applyFont="1" applyBorder="1"/>
    <xf numFmtId="3" fontId="56" fillId="0" borderId="55" xfId="136" applyNumberFormat="1" applyFont="1" applyBorder="1"/>
    <xf numFmtId="4" fontId="56" fillId="0" borderId="32" xfId="136" applyNumberFormat="1" applyFont="1" applyBorder="1"/>
    <xf numFmtId="38" fontId="56" fillId="0" borderId="26" xfId="113" applyFont="1" applyBorder="1" applyAlignment="1">
      <alignment horizontal="center" vertical="center"/>
    </xf>
    <xf numFmtId="4" fontId="56" fillId="0" borderId="50" xfId="136" applyNumberFormat="1" applyFont="1" applyBorder="1"/>
    <xf numFmtId="4" fontId="56" fillId="0" borderId="55" xfId="136" applyNumberFormat="1" applyFont="1" applyBorder="1"/>
    <xf numFmtId="0" fontId="2" fillId="0" borderId="8" xfId="136" applyBorder="1"/>
    <xf numFmtId="217" fontId="56" fillId="0" borderId="19" xfId="194" applyNumberFormat="1" applyFont="1" applyBorder="1" applyAlignment="1">
      <alignment horizontal="center" vertical="center"/>
    </xf>
    <xf numFmtId="0" fontId="56" fillId="0" borderId="0" xfId="194" applyFont="1" applyAlignment="1">
      <alignment vertical="center"/>
    </xf>
    <xf numFmtId="0" fontId="2" fillId="0" borderId="23" xfId="136" applyBorder="1"/>
    <xf numFmtId="0" fontId="56" fillId="0" borderId="26" xfId="136" applyFont="1" applyBorder="1" applyAlignment="1">
      <alignment horizontal="center" vertical="center"/>
    </xf>
    <xf numFmtId="217" fontId="56" fillId="0" borderId="22" xfId="194" applyNumberFormat="1" applyFont="1" applyBorder="1" applyAlignment="1">
      <alignment horizontal="center" vertical="center"/>
    </xf>
    <xf numFmtId="0" fontId="56" fillId="0" borderId="22" xfId="194" applyFont="1" applyBorder="1" applyAlignment="1">
      <alignment vertical="center"/>
    </xf>
    <xf numFmtId="38" fontId="56" fillId="0" borderId="22" xfId="194" applyNumberFormat="1" applyFont="1" applyBorder="1" applyAlignment="1">
      <alignment horizontal="center" vertical="center"/>
    </xf>
    <xf numFmtId="0" fontId="2" fillId="0" borderId="21" xfId="136" applyBorder="1"/>
    <xf numFmtId="0" fontId="56" fillId="0" borderId="36" xfId="194" applyFont="1" applyBorder="1" applyAlignment="1">
      <alignment horizontal="center" vertical="center"/>
    </xf>
    <xf numFmtId="0" fontId="56" fillId="0" borderId="35" xfId="194" applyFont="1" applyBorder="1" applyAlignment="1">
      <alignment horizontal="center" vertical="center"/>
    </xf>
    <xf numFmtId="0" fontId="56" fillId="0" borderId="30" xfId="194" applyFont="1" applyBorder="1" applyAlignment="1">
      <alignment horizontal="center" vertical="center"/>
    </xf>
    <xf numFmtId="9" fontId="56" fillId="0" borderId="40" xfId="98" applyFont="1" applyBorder="1" applyAlignment="1">
      <alignment horizontal="center" vertical="center"/>
    </xf>
    <xf numFmtId="210" fontId="56" fillId="0" borderId="40" xfId="113" applyNumberFormat="1" applyFont="1" applyBorder="1" applyAlignment="1">
      <alignment horizontal="center" vertical="center"/>
    </xf>
    <xf numFmtId="218" fontId="56" fillId="0" borderId="78" xfId="194" applyNumberFormat="1" applyFont="1" applyBorder="1" applyAlignment="1">
      <alignment horizontal="center" vertical="center"/>
    </xf>
    <xf numFmtId="0" fontId="56" fillId="0" borderId="78" xfId="194" applyFont="1" applyBorder="1" applyAlignment="1">
      <alignment horizontal="center" vertical="center"/>
    </xf>
    <xf numFmtId="0" fontId="56" fillId="0" borderId="56" xfId="194" applyFont="1" applyBorder="1" applyAlignment="1">
      <alignment horizontal="center" vertical="center"/>
    </xf>
    <xf numFmtId="0" fontId="2" fillId="0" borderId="80" xfId="136" applyBorder="1"/>
    <xf numFmtId="49" fontId="56" fillId="0" borderId="30" xfId="194" applyNumberFormat="1" applyFont="1" applyBorder="1" applyAlignment="1">
      <alignment horizontal="left" vertical="center"/>
    </xf>
    <xf numFmtId="49" fontId="56" fillId="0" borderId="35" xfId="194" applyNumberFormat="1" applyFont="1" applyBorder="1" applyAlignment="1">
      <alignment horizontal="left" vertical="center"/>
    </xf>
    <xf numFmtId="49" fontId="56" fillId="0" borderId="32" xfId="194" applyNumberFormat="1" applyFont="1" applyBorder="1" applyAlignment="1">
      <alignment horizontal="center" vertical="center"/>
    </xf>
    <xf numFmtId="210" fontId="56" fillId="0" borderId="68" xfId="194" applyNumberFormat="1" applyFont="1" applyBorder="1" applyAlignment="1">
      <alignment horizontal="center" vertical="center"/>
    </xf>
    <xf numFmtId="197" fontId="56" fillId="0" borderId="68" xfId="113" applyNumberFormat="1" applyFont="1" applyBorder="1" applyAlignment="1">
      <alignment vertical="center"/>
    </xf>
    <xf numFmtId="9" fontId="56" fillId="0" borderId="68" xfId="98" applyFont="1" applyBorder="1" applyAlignment="1">
      <alignment vertical="center"/>
    </xf>
    <xf numFmtId="210" fontId="56" fillId="0" borderId="73" xfId="113" applyNumberFormat="1" applyFont="1" applyBorder="1" applyAlignment="1">
      <alignment horizontal="center" vertical="center"/>
    </xf>
    <xf numFmtId="219" fontId="56" fillId="0" borderId="73" xfId="113" applyNumberFormat="1" applyFont="1" applyBorder="1" applyAlignment="1">
      <alignment vertical="center"/>
    </xf>
    <xf numFmtId="219" fontId="56" fillId="0" borderId="68" xfId="113" applyNumberFormat="1" applyFont="1" applyBorder="1" applyAlignment="1">
      <alignment vertical="center"/>
    </xf>
    <xf numFmtId="219" fontId="56" fillId="0" borderId="73" xfId="113" applyNumberFormat="1" applyFont="1" applyFill="1" applyBorder="1" applyAlignment="1">
      <alignment vertical="center"/>
    </xf>
    <xf numFmtId="219" fontId="56" fillId="0" borderId="71" xfId="113" applyNumberFormat="1" applyFont="1" applyBorder="1" applyAlignment="1">
      <alignment vertical="center"/>
    </xf>
    <xf numFmtId="0" fontId="2" fillId="0" borderId="48" xfId="136" applyBorder="1"/>
    <xf numFmtId="210" fontId="56" fillId="0" borderId="50" xfId="194" applyNumberFormat="1" applyFont="1" applyBorder="1" applyAlignment="1">
      <alignment horizontal="center" vertical="center"/>
    </xf>
    <xf numFmtId="197" fontId="56" fillId="0" borderId="50" xfId="113" applyNumberFormat="1" applyFont="1" applyBorder="1" applyAlignment="1">
      <alignment vertical="center"/>
    </xf>
    <xf numFmtId="9" fontId="56" fillId="0" borderId="50" xfId="98" applyFont="1" applyBorder="1" applyAlignment="1">
      <alignment vertical="center"/>
    </xf>
    <xf numFmtId="210" fontId="56" fillId="0" borderId="50" xfId="113" applyNumberFormat="1" applyFont="1" applyBorder="1" applyAlignment="1">
      <alignment horizontal="center" vertical="center"/>
    </xf>
    <xf numFmtId="219" fontId="56" fillId="0" borderId="50" xfId="113" applyNumberFormat="1" applyFont="1" applyBorder="1" applyAlignment="1">
      <alignment vertical="center"/>
    </xf>
    <xf numFmtId="219" fontId="56" fillId="0" borderId="50" xfId="113" applyNumberFormat="1" applyFont="1" applyFill="1" applyBorder="1" applyAlignment="1">
      <alignment vertical="center"/>
    </xf>
    <xf numFmtId="219" fontId="56" fillId="0" borderId="51" xfId="113" applyNumberFormat="1" applyFont="1" applyBorder="1" applyAlignment="1">
      <alignment vertical="center"/>
    </xf>
    <xf numFmtId="210" fontId="56" fillId="0" borderId="32" xfId="194" applyNumberFormat="1" applyFont="1" applyBorder="1" applyAlignment="1">
      <alignment horizontal="center" vertical="center"/>
    </xf>
    <xf numFmtId="210" fontId="56" fillId="0" borderId="50" xfId="113" applyNumberFormat="1" applyFont="1" applyBorder="1" applyAlignment="1">
      <alignment vertical="center"/>
    </xf>
    <xf numFmtId="49" fontId="56" fillId="0" borderId="30" xfId="194" applyNumberFormat="1" applyFont="1" applyBorder="1" applyAlignment="1">
      <alignment horizontal="center" vertical="center"/>
    </xf>
    <xf numFmtId="0" fontId="2" fillId="0" borderId="81" xfId="136" applyBorder="1"/>
    <xf numFmtId="49" fontId="56" fillId="0" borderId="77" xfId="194" applyNumberFormat="1" applyFont="1" applyBorder="1" applyAlignment="1">
      <alignment horizontal="center" vertical="center"/>
    </xf>
    <xf numFmtId="49" fontId="56" fillId="0" borderId="37" xfId="194" applyNumberFormat="1" applyFont="1" applyBorder="1" applyAlignment="1">
      <alignment horizontal="center" vertical="center"/>
    </xf>
    <xf numFmtId="49" fontId="56" fillId="0" borderId="78" xfId="194" applyNumberFormat="1" applyFont="1" applyBorder="1" applyAlignment="1">
      <alignment horizontal="center" vertical="center"/>
    </xf>
    <xf numFmtId="49" fontId="56" fillId="0" borderId="50" xfId="194" applyNumberFormat="1" applyFont="1" applyBorder="1" applyAlignment="1">
      <alignment horizontal="center" vertical="center"/>
    </xf>
    <xf numFmtId="210" fontId="56" fillId="0" borderId="32" xfId="113" applyNumberFormat="1" applyFont="1" applyBorder="1" applyAlignment="1">
      <alignment vertical="center"/>
    </xf>
    <xf numFmtId="219" fontId="56" fillId="0" borderId="32" xfId="113" applyNumberFormat="1" applyFont="1" applyBorder="1" applyAlignment="1">
      <alignment vertical="center"/>
    </xf>
    <xf numFmtId="219" fontId="56" fillId="0" borderId="45" xfId="113" applyNumberFormat="1" applyFont="1" applyBorder="1" applyAlignment="1">
      <alignment vertical="center"/>
    </xf>
    <xf numFmtId="219" fontId="56" fillId="0" borderId="46" xfId="113" applyNumberFormat="1" applyFont="1" applyBorder="1" applyAlignment="1">
      <alignment vertical="center"/>
    </xf>
    <xf numFmtId="219" fontId="56" fillId="0" borderId="47" xfId="113" applyNumberFormat="1" applyFont="1" applyBorder="1" applyAlignment="1">
      <alignment vertical="center"/>
    </xf>
    <xf numFmtId="38" fontId="56" fillId="0" borderId="54" xfId="113" applyFont="1" applyBorder="1" applyAlignment="1">
      <alignment horizontal="center" vertical="center"/>
    </xf>
    <xf numFmtId="0" fontId="49" fillId="0" borderId="0" xfId="194" applyFont="1" applyAlignment="1">
      <alignment vertical="center"/>
    </xf>
    <xf numFmtId="0" fontId="49" fillId="0" borderId="0" xfId="194" applyFont="1" applyAlignment="1">
      <alignment horizontal="center" vertical="center"/>
    </xf>
    <xf numFmtId="0" fontId="23" fillId="0" borderId="0" xfId="136" applyFont="1"/>
    <xf numFmtId="0" fontId="23" fillId="0" borderId="8" xfId="136" applyFont="1" applyBorder="1" applyAlignment="1">
      <alignment horizontal="center" vertical="center"/>
    </xf>
    <xf numFmtId="0" fontId="56" fillId="0" borderId="42" xfId="136" applyFont="1" applyBorder="1" applyAlignment="1">
      <alignment horizontal="center" vertical="center"/>
    </xf>
    <xf numFmtId="49" fontId="56" fillId="0" borderId="67" xfId="136" applyNumberFormat="1" applyFont="1" applyBorder="1" applyAlignment="1">
      <alignment horizontal="center" vertical="center"/>
    </xf>
    <xf numFmtId="0" fontId="56" fillId="0" borderId="19" xfId="136" applyFont="1" applyBorder="1" applyAlignment="1">
      <alignment horizontal="center" vertical="center"/>
    </xf>
    <xf numFmtId="49" fontId="56" fillId="0" borderId="18" xfId="136" applyNumberFormat="1" applyFont="1" applyBorder="1" applyAlignment="1">
      <alignment horizontal="center" vertical="center"/>
    </xf>
    <xf numFmtId="49" fontId="56" fillId="0" borderId="66" xfId="136" applyNumberFormat="1" applyFont="1" applyBorder="1" applyAlignment="1">
      <alignment horizontal="center" vertical="center"/>
    </xf>
    <xf numFmtId="0" fontId="23" fillId="0" borderId="21" xfId="136" applyFont="1" applyBorder="1" applyAlignment="1">
      <alignment horizontal="center" vertical="center"/>
    </xf>
    <xf numFmtId="0" fontId="56" fillId="0" borderId="29" xfId="136" applyFont="1" applyBorder="1" applyAlignment="1">
      <alignment horizontal="center" vertical="center"/>
    </xf>
    <xf numFmtId="0" fontId="56" fillId="0" borderId="0" xfId="136" applyFont="1" applyAlignment="1">
      <alignment horizontal="center" vertical="center"/>
    </xf>
    <xf numFmtId="49" fontId="56" fillId="0" borderId="71" xfId="136" applyNumberFormat="1" applyFont="1" applyBorder="1" applyAlignment="1">
      <alignment horizontal="center" vertical="center"/>
    </xf>
    <xf numFmtId="49" fontId="56" fillId="0" borderId="41" xfId="136" applyNumberFormat="1" applyFont="1" applyBorder="1" applyAlignment="1">
      <alignment horizontal="center" vertical="center"/>
    </xf>
    <xf numFmtId="0" fontId="23" fillId="0" borderId="23" xfId="136" applyFont="1" applyBorder="1" applyAlignment="1">
      <alignment horizontal="center" vertical="center"/>
    </xf>
    <xf numFmtId="0" fontId="56" fillId="0" borderId="52" xfId="136" applyFont="1" applyBorder="1" applyAlignment="1">
      <alignment horizontal="center" vertical="center"/>
    </xf>
    <xf numFmtId="49" fontId="56" fillId="0" borderId="33" xfId="136" applyNumberFormat="1" applyFont="1" applyBorder="1" applyAlignment="1">
      <alignment horizontal="center" vertical="center"/>
    </xf>
    <xf numFmtId="49" fontId="56" fillId="0" borderId="74" xfId="136" applyNumberFormat="1" applyFont="1" applyBorder="1" applyAlignment="1">
      <alignment horizontal="center" vertical="center"/>
    </xf>
    <xf numFmtId="49" fontId="56" fillId="0" borderId="23" xfId="136" applyNumberFormat="1" applyFont="1" applyBorder="1" applyAlignment="1">
      <alignment horizontal="center" vertical="center"/>
    </xf>
    <xf numFmtId="49" fontId="56" fillId="0" borderId="55" xfId="136" applyNumberFormat="1" applyFont="1" applyBorder="1" applyAlignment="1">
      <alignment horizontal="center" vertical="center"/>
    </xf>
    <xf numFmtId="49" fontId="56" fillId="0" borderId="26" xfId="136" applyNumberFormat="1" applyFont="1" applyBorder="1" applyAlignment="1">
      <alignment horizontal="center" vertical="center"/>
    </xf>
    <xf numFmtId="49" fontId="56" fillId="0" borderId="79" xfId="136" applyNumberFormat="1" applyFont="1" applyBorder="1" applyAlignment="1">
      <alignment horizontal="center" vertical="center"/>
    </xf>
    <xf numFmtId="49" fontId="56" fillId="0" borderId="83" xfId="136" applyNumberFormat="1" applyFont="1" applyBorder="1" applyAlignment="1">
      <alignment horizontal="center" vertical="center"/>
    </xf>
    <xf numFmtId="0" fontId="23" fillId="0" borderId="80" xfId="136" applyFont="1" applyBorder="1"/>
    <xf numFmtId="49" fontId="56" fillId="0" borderId="77" xfId="136" applyNumberFormat="1" applyFont="1" applyBorder="1"/>
    <xf numFmtId="49" fontId="56" fillId="0" borderId="37" xfId="136" applyNumberFormat="1" applyFont="1" applyBorder="1"/>
    <xf numFmtId="49" fontId="56" fillId="0" borderId="37" xfId="136" applyNumberFormat="1" applyFont="1" applyBorder="1" applyAlignment="1">
      <alignment horizontal="center"/>
    </xf>
    <xf numFmtId="212" fontId="56" fillId="0" borderId="38" xfId="136" applyNumberFormat="1" applyFont="1" applyBorder="1"/>
    <xf numFmtId="210" fontId="56" fillId="0" borderId="80" xfId="136" applyNumberFormat="1" applyFont="1" applyBorder="1" applyAlignment="1">
      <alignment horizontal="center" vertical="center"/>
    </xf>
    <xf numFmtId="210" fontId="56" fillId="0" borderId="32" xfId="136" applyNumberFormat="1" applyFont="1" applyBorder="1" applyAlignment="1">
      <alignment horizontal="center" vertical="center"/>
    </xf>
    <xf numFmtId="212" fontId="56" fillId="0" borderId="84" xfId="136" applyNumberFormat="1" applyFont="1" applyBorder="1"/>
    <xf numFmtId="210" fontId="56" fillId="0" borderId="30" xfId="136" applyNumberFormat="1" applyFont="1" applyBorder="1" applyAlignment="1">
      <alignment horizontal="center" vertical="center"/>
    </xf>
    <xf numFmtId="210" fontId="56" fillId="0" borderId="64" xfId="136" applyNumberFormat="1" applyFont="1" applyBorder="1" applyAlignment="1">
      <alignment horizontal="center" vertical="center"/>
    </xf>
    <xf numFmtId="0" fontId="56" fillId="0" borderId="51" xfId="136" applyFont="1" applyBorder="1" applyAlignment="1">
      <alignment horizontal="center"/>
    </xf>
    <xf numFmtId="0" fontId="23" fillId="0" borderId="48" xfId="136" applyFont="1" applyBorder="1"/>
    <xf numFmtId="210" fontId="56" fillId="0" borderId="48" xfId="136" applyNumberFormat="1" applyFont="1" applyBorder="1"/>
    <xf numFmtId="210" fontId="56" fillId="0" borderId="50" xfId="136" applyNumberFormat="1" applyFont="1" applyBorder="1"/>
    <xf numFmtId="210" fontId="56" fillId="0" borderId="77" xfId="136" applyNumberFormat="1" applyFont="1" applyBorder="1"/>
    <xf numFmtId="210" fontId="56" fillId="0" borderId="49" xfId="136" applyNumberFormat="1" applyFont="1" applyBorder="1"/>
    <xf numFmtId="0" fontId="56" fillId="0" borderId="49" xfId="136" applyFont="1" applyBorder="1"/>
    <xf numFmtId="0" fontId="56" fillId="0" borderId="49" xfId="136" applyFont="1" applyBorder="1" applyAlignment="1">
      <alignment horizontal="right"/>
    </xf>
    <xf numFmtId="49" fontId="56" fillId="0" borderId="76" xfId="136" applyNumberFormat="1" applyFont="1" applyBorder="1"/>
    <xf numFmtId="49" fontId="56" fillId="0" borderId="85" xfId="136" applyNumberFormat="1" applyFont="1" applyBorder="1"/>
    <xf numFmtId="212" fontId="56" fillId="0" borderId="63" xfId="136" applyNumberFormat="1" applyFont="1" applyBorder="1"/>
    <xf numFmtId="212" fontId="56" fillId="0" borderId="86" xfId="136" applyNumberFormat="1" applyFont="1" applyBorder="1"/>
    <xf numFmtId="210" fontId="56" fillId="0" borderId="81" xfId="136" applyNumberFormat="1" applyFont="1" applyBorder="1"/>
    <xf numFmtId="210" fontId="56" fillId="0" borderId="63" xfId="136" applyNumberFormat="1" applyFont="1" applyBorder="1"/>
    <xf numFmtId="212" fontId="56" fillId="0" borderId="87" xfId="136" applyNumberFormat="1" applyFont="1" applyBorder="1"/>
    <xf numFmtId="210" fontId="56" fillId="0" borderId="76" xfId="136" applyNumberFormat="1" applyFont="1" applyBorder="1"/>
    <xf numFmtId="210" fontId="56" fillId="0" borderId="62" xfId="136" applyNumberFormat="1" applyFont="1" applyBorder="1"/>
    <xf numFmtId="212" fontId="56" fillId="0" borderId="58" xfId="136" applyNumberFormat="1" applyFont="1" applyBorder="1"/>
    <xf numFmtId="0" fontId="23" fillId="0" borderId="81" xfId="136" applyFont="1" applyBorder="1"/>
    <xf numFmtId="0" fontId="56" fillId="0" borderId="62" xfId="136" applyFont="1" applyBorder="1" applyAlignment="1">
      <alignment horizontal="right"/>
    </xf>
    <xf numFmtId="0" fontId="56" fillId="0" borderId="58" xfId="136" applyFont="1" applyBorder="1"/>
    <xf numFmtId="49" fontId="56" fillId="0" borderId="77" xfId="136" applyNumberFormat="1" applyFont="1" applyBorder="1" applyAlignment="1">
      <alignment vertical="center"/>
    </xf>
    <xf numFmtId="49" fontId="56" fillId="0" borderId="37" xfId="136" applyNumberFormat="1" applyFont="1" applyBorder="1" applyAlignment="1">
      <alignment vertical="center"/>
    </xf>
    <xf numFmtId="212" fontId="56" fillId="0" borderId="50" xfId="136" applyNumberFormat="1" applyFont="1" applyBorder="1"/>
    <xf numFmtId="212" fontId="56" fillId="0" borderId="51" xfId="136" applyNumberFormat="1" applyFont="1" applyBorder="1"/>
    <xf numFmtId="0" fontId="23" fillId="0" borderId="23" xfId="136" applyFont="1" applyBorder="1"/>
    <xf numFmtId="49" fontId="56" fillId="0" borderId="52" xfId="136" applyNumberFormat="1" applyFont="1" applyBorder="1" applyAlignment="1">
      <alignment vertical="center"/>
    </xf>
    <xf numFmtId="49" fontId="56" fillId="0" borderId="22" xfId="136" applyNumberFormat="1" applyFont="1" applyBorder="1" applyAlignment="1">
      <alignment vertical="center"/>
    </xf>
    <xf numFmtId="0" fontId="56" fillId="0" borderId="33" xfId="136" applyFont="1" applyBorder="1" applyAlignment="1">
      <alignment vertical="center"/>
    </xf>
    <xf numFmtId="0" fontId="56" fillId="0" borderId="74" xfId="136" applyFont="1" applyBorder="1" applyAlignment="1">
      <alignment vertical="center"/>
    </xf>
    <xf numFmtId="0" fontId="56" fillId="0" borderId="23" xfId="136" applyFont="1" applyBorder="1" applyAlignment="1">
      <alignment vertical="center"/>
    </xf>
    <xf numFmtId="0" fontId="56" fillId="0" borderId="52" xfId="136" applyFont="1" applyBorder="1" applyAlignment="1">
      <alignment vertical="center"/>
    </xf>
    <xf numFmtId="0" fontId="56" fillId="0" borderId="83" xfId="136" applyFont="1" applyBorder="1" applyAlignment="1">
      <alignment vertical="center"/>
    </xf>
    <xf numFmtId="0" fontId="56" fillId="0" borderId="83" xfId="136" applyFont="1" applyBorder="1" applyAlignment="1">
      <alignment horizontal="right" vertical="center"/>
    </xf>
    <xf numFmtId="0" fontId="56" fillId="0" borderId="79" xfId="136" applyFont="1" applyBorder="1" applyAlignment="1">
      <alignment vertical="center"/>
    </xf>
    <xf numFmtId="0" fontId="56" fillId="0" borderId="50" xfId="194" applyFont="1" applyBorder="1" applyAlignment="1">
      <alignment horizontal="center" vertical="center" shrinkToFit="1"/>
    </xf>
    <xf numFmtId="215" fontId="56" fillId="0" borderId="55" xfId="194" applyNumberFormat="1" applyFont="1" applyBorder="1" applyAlignment="1">
      <alignment horizontal="center" vertical="center" shrinkToFit="1"/>
    </xf>
    <xf numFmtId="0" fontId="56" fillId="0" borderId="65" xfId="194" applyFont="1" applyBorder="1" applyAlignment="1">
      <alignment horizontal="center" vertical="center" shrinkToFit="1"/>
    </xf>
    <xf numFmtId="49" fontId="56" fillId="0" borderId="30" xfId="194" applyNumberFormat="1" applyFont="1" applyBorder="1" applyAlignment="1">
      <alignment horizontal="left" vertical="center" shrinkToFit="1"/>
    </xf>
    <xf numFmtId="0" fontId="57" fillId="0" borderId="32" xfId="192" applyFont="1" applyBorder="1" applyAlignment="1">
      <alignment shrinkToFit="1"/>
    </xf>
    <xf numFmtId="0" fontId="0" fillId="0" borderId="3" xfId="173" applyFont="1" applyBorder="1" applyAlignment="1">
      <alignment horizontal="left" shrinkToFit="1"/>
    </xf>
    <xf numFmtId="9" fontId="0" fillId="0" borderId="3" xfId="101" applyFont="1" applyBorder="1" applyAlignment="1">
      <alignment horizontal="left" indent="1"/>
    </xf>
    <xf numFmtId="0" fontId="2" fillId="0" borderId="3" xfId="187" applyFont="1" applyBorder="1" applyAlignment="1">
      <alignment horizontal="center" vertical="center"/>
    </xf>
    <xf numFmtId="205" fontId="2" fillId="0" borderId="3" xfId="187" applyNumberFormat="1" applyFont="1" applyBorder="1" applyAlignment="1">
      <alignment vertical="center"/>
    </xf>
    <xf numFmtId="205" fontId="2" fillId="0" borderId="3" xfId="173" applyNumberFormat="1" applyBorder="1"/>
    <xf numFmtId="0" fontId="0" fillId="0" borderId="3" xfId="173" applyFont="1" applyBorder="1"/>
    <xf numFmtId="0" fontId="0" fillId="0" borderId="18" xfId="173" applyFont="1" applyBorder="1" applyAlignment="1">
      <alignment horizontal="center"/>
    </xf>
    <xf numFmtId="197" fontId="2" fillId="0" borderId="3" xfId="173" applyNumberFormat="1" applyBorder="1" applyAlignment="1">
      <alignment horizontal="right"/>
    </xf>
    <xf numFmtId="197" fontId="2" fillId="0" borderId="3" xfId="112" applyNumberFormat="1" applyFont="1" applyBorder="1" applyAlignment="1">
      <alignment horizontal="right"/>
    </xf>
    <xf numFmtId="49" fontId="53" fillId="0" borderId="3" xfId="0" applyNumberFormat="1" applyFont="1" applyBorder="1" applyAlignment="1">
      <alignment horizontal="center"/>
    </xf>
    <xf numFmtId="0" fontId="57" fillId="0" borderId="32" xfId="192" applyFont="1" applyBorder="1" applyAlignment="1">
      <alignment horizontal="left"/>
    </xf>
    <xf numFmtId="212" fontId="57" fillId="0" borderId="32" xfId="192" applyNumberFormat="1" applyFont="1" applyBorder="1"/>
    <xf numFmtId="212" fontId="57" fillId="0" borderId="50" xfId="192" applyNumberFormat="1" applyFont="1" applyBorder="1"/>
    <xf numFmtId="0" fontId="0" fillId="0" borderId="3" xfId="0" applyBorder="1" applyAlignment="1">
      <alignment horizontal="center" vertical="center"/>
    </xf>
    <xf numFmtId="0" fontId="0" fillId="0" borderId="3" xfId="0" applyBorder="1" applyAlignment="1">
      <alignment horizontal="center" vertical="center" shrinkToFit="1"/>
    </xf>
    <xf numFmtId="0" fontId="71" fillId="0" borderId="3" xfId="0" applyFont="1" applyBorder="1" applyAlignment="1">
      <alignment horizontal="center" vertical="center" shrinkToFit="1"/>
    </xf>
    <xf numFmtId="0" fontId="72" fillId="0" borderId="3" xfId="0" applyFont="1" applyBorder="1" applyAlignment="1">
      <alignment horizontal="center" vertical="center" shrinkToFit="1"/>
    </xf>
    <xf numFmtId="0" fontId="0" fillId="0" borderId="3" xfId="0" applyBorder="1" applyAlignment="1">
      <alignment vertical="center" shrinkToFit="1"/>
    </xf>
    <xf numFmtId="0" fontId="0" fillId="0" borderId="3" xfId="0" applyBorder="1">
      <alignment vertical="center"/>
    </xf>
    <xf numFmtId="0" fontId="0" fillId="0" borderId="3" xfId="0" applyBorder="1" applyAlignment="1">
      <alignment horizontal="right" vertical="center"/>
    </xf>
    <xf numFmtId="190" fontId="0" fillId="0" borderId="3" xfId="0" applyNumberFormat="1" applyBorder="1">
      <alignment vertical="center"/>
    </xf>
    <xf numFmtId="5" fontId="0" fillId="0" borderId="3" xfId="0" applyNumberFormat="1" applyBorder="1">
      <alignment vertical="center"/>
    </xf>
    <xf numFmtId="1" fontId="0" fillId="0" borderId="0" xfId="0" applyNumberFormat="1">
      <alignment vertical="center"/>
    </xf>
    <xf numFmtId="190" fontId="0" fillId="0" borderId="3" xfId="0" applyNumberFormat="1" applyBorder="1" applyAlignment="1">
      <alignment horizontal="right" vertical="center"/>
    </xf>
    <xf numFmtId="0" fontId="71" fillId="0" borderId="3" xfId="0" applyFont="1" applyBorder="1">
      <alignment vertical="center"/>
    </xf>
    <xf numFmtId="0" fontId="0" fillId="0" borderId="0" xfId="0" applyAlignment="1">
      <alignment vertical="center" shrinkToFit="1"/>
    </xf>
    <xf numFmtId="49" fontId="53" fillId="0" borderId="3" xfId="0" applyNumberFormat="1" applyFont="1" applyBorder="1" applyAlignment="1">
      <alignment horizontal="left" shrinkToFit="1"/>
    </xf>
    <xf numFmtId="49" fontId="65" fillId="0" borderId="3" xfId="0" applyNumberFormat="1" applyFont="1" applyBorder="1" applyAlignment="1">
      <alignment shrinkToFit="1"/>
    </xf>
    <xf numFmtId="0" fontId="53" fillId="0" borderId="3" xfId="0" applyFont="1" applyBorder="1" applyAlignment="1">
      <alignment horizontal="center" shrinkToFit="1"/>
    </xf>
    <xf numFmtId="49" fontId="53" fillId="0" borderId="3" xfId="0" applyNumberFormat="1" applyFont="1" applyBorder="1" applyAlignment="1">
      <alignment shrinkToFit="1"/>
    </xf>
    <xf numFmtId="197" fontId="0" fillId="0" borderId="3" xfId="173" applyNumberFormat="1" applyFont="1" applyBorder="1" applyAlignment="1">
      <alignment shrinkToFit="1"/>
    </xf>
    <xf numFmtId="0" fontId="2" fillId="0" borderId="3" xfId="187" applyFont="1" applyBorder="1" applyAlignment="1">
      <alignment horizontal="center" vertical="center" shrinkToFit="1"/>
    </xf>
    <xf numFmtId="0" fontId="2" fillId="0" borderId="3" xfId="187" applyFont="1" applyBorder="1" applyAlignment="1">
      <alignment vertical="center" shrinkToFit="1"/>
    </xf>
    <xf numFmtId="9" fontId="2" fillId="0" borderId="3" xfId="101" applyFont="1" applyBorder="1" applyAlignment="1">
      <alignment shrinkToFit="1"/>
    </xf>
    <xf numFmtId="0" fontId="0" fillId="0" borderId="3" xfId="173" applyFont="1" applyBorder="1" applyAlignment="1">
      <alignment horizontal="center" shrinkToFit="1"/>
    </xf>
    <xf numFmtId="0" fontId="2" fillId="0" borderId="3" xfId="171" applyBorder="1" applyAlignment="1">
      <alignment horizontal="center" vertical="center"/>
    </xf>
    <xf numFmtId="43" fontId="2" fillId="0" borderId="3" xfId="171" applyNumberFormat="1" applyBorder="1" applyAlignment="1">
      <alignment horizontal="center" vertical="center"/>
    </xf>
    <xf numFmtId="0" fontId="2" fillId="0" borderId="3" xfId="0" applyFont="1" applyBorder="1" applyAlignment="1">
      <alignment horizontal="center" vertical="center"/>
    </xf>
    <xf numFmtId="0" fontId="51" fillId="0" borderId="21" xfId="171" applyFont="1" applyBorder="1" applyAlignment="1">
      <alignment horizontal="center" vertical="center"/>
    </xf>
    <xf numFmtId="0" fontId="51" fillId="0" borderId="0" xfId="0" applyFont="1" applyAlignment="1">
      <alignment horizontal="center" vertical="center"/>
    </xf>
    <xf numFmtId="0" fontId="51" fillId="0" borderId="25" xfId="0" applyFont="1" applyBorder="1" applyAlignment="1">
      <alignment horizontal="center" vertical="center"/>
    </xf>
    <xf numFmtId="0" fontId="2" fillId="0" borderId="27" xfId="0" applyFont="1" applyBorder="1" applyAlignment="1">
      <alignment horizontal="center" vertical="center"/>
    </xf>
    <xf numFmtId="0" fontId="2" fillId="0" borderId="20" xfId="0" applyFont="1" applyBorder="1" applyAlignment="1">
      <alignment horizontal="center" vertical="center"/>
    </xf>
    <xf numFmtId="0" fontId="2" fillId="0" borderId="18" xfId="171" applyBorder="1" applyAlignment="1">
      <alignment horizontal="center" vertical="center"/>
    </xf>
    <xf numFmtId="0" fontId="2" fillId="0" borderId="28" xfId="0" applyFont="1" applyBorder="1" applyAlignment="1">
      <alignment horizontal="center" vertical="center"/>
    </xf>
    <xf numFmtId="0" fontId="2" fillId="0" borderId="8" xfId="171" applyBorder="1" applyAlignment="1">
      <alignment horizontal="center" vertical="center"/>
    </xf>
    <xf numFmtId="0" fontId="2" fillId="0" borderId="19" xfId="0" applyFont="1" applyBorder="1" applyAlignment="1">
      <alignment horizontal="center" vertical="center"/>
    </xf>
    <xf numFmtId="0" fontId="2" fillId="0" borderId="24" xfId="0" applyFont="1" applyBorder="1" applyAlignment="1">
      <alignment horizontal="center" vertical="center"/>
    </xf>
    <xf numFmtId="0" fontId="2" fillId="0" borderId="23" xfId="0" applyFont="1" applyBorder="1" applyAlignment="1">
      <alignment horizontal="center" vertical="center"/>
    </xf>
    <xf numFmtId="0" fontId="2" fillId="0" borderId="22" xfId="0" applyFont="1" applyBorder="1" applyAlignment="1">
      <alignment horizontal="center" vertical="center"/>
    </xf>
    <xf numFmtId="0" fontId="2" fillId="0" borderId="26" xfId="0" applyFont="1" applyBorder="1" applyAlignment="1">
      <alignment horizontal="center" vertical="center"/>
    </xf>
    <xf numFmtId="0" fontId="57" fillId="29" borderId="23" xfId="186" applyFont="1" applyFill="1" applyBorder="1" applyAlignment="1">
      <alignment horizontal="center" vertical="center"/>
    </xf>
    <xf numFmtId="0" fontId="57" fillId="29" borderId="26" xfId="186" applyFont="1" applyFill="1" applyBorder="1" applyAlignment="1">
      <alignment horizontal="center" vertical="center"/>
    </xf>
    <xf numFmtId="0" fontId="57" fillId="0" borderId="18" xfId="187" applyFont="1" applyBorder="1" applyAlignment="1">
      <alignment horizontal="center" shrinkToFit="1"/>
    </xf>
    <xf numFmtId="0" fontId="57" fillId="0" borderId="2" xfId="187" applyFont="1" applyBorder="1" applyAlignment="1">
      <alignment horizontal="center" shrinkToFit="1"/>
    </xf>
    <xf numFmtId="0" fontId="57" fillId="0" borderId="28" xfId="187" applyFont="1" applyBorder="1" applyAlignment="1">
      <alignment horizontal="center" shrinkToFit="1"/>
    </xf>
    <xf numFmtId="205" fontId="58" fillId="30" borderId="18" xfId="187" applyNumberFormat="1" applyFont="1" applyFill="1" applyBorder="1" applyAlignment="1">
      <alignment horizontal="center"/>
    </xf>
    <xf numFmtId="0" fontId="57" fillId="30" borderId="28" xfId="186" applyFont="1" applyFill="1" applyBorder="1"/>
    <xf numFmtId="0" fontId="57" fillId="0" borderId="18" xfId="187" quotePrefix="1" applyFont="1" applyBorder="1" applyAlignment="1">
      <alignment horizontal="center"/>
    </xf>
    <xf numFmtId="0" fontId="57" fillId="0" borderId="2" xfId="187" applyFont="1" applyBorder="1" applyAlignment="1">
      <alignment horizontal="center"/>
    </xf>
    <xf numFmtId="0" fontId="57" fillId="0" borderId="28" xfId="187" applyFont="1" applyBorder="1" applyAlignment="1">
      <alignment horizontal="center"/>
    </xf>
    <xf numFmtId="0" fontId="57" fillId="0" borderId="22" xfId="187" quotePrefix="1" applyFont="1" applyBorder="1" applyAlignment="1">
      <alignment horizontal="center"/>
    </xf>
    <xf numFmtId="0" fontId="57" fillId="0" borderId="22" xfId="187" applyFont="1" applyBorder="1" applyAlignment="1">
      <alignment horizontal="center"/>
    </xf>
    <xf numFmtId="0" fontId="57" fillId="0" borderId="26" xfId="187" applyFont="1" applyBorder="1" applyAlignment="1">
      <alignment horizontal="center"/>
    </xf>
    <xf numFmtId="0" fontId="57" fillId="0" borderId="18" xfId="187" applyFont="1" applyBorder="1" applyAlignment="1">
      <alignment horizontal="center"/>
    </xf>
    <xf numFmtId="0" fontId="57" fillId="0" borderId="27" xfId="187" applyFont="1" applyBorder="1" applyAlignment="1">
      <alignment horizontal="center" vertical="center" textRotation="255"/>
    </xf>
    <xf numFmtId="0" fontId="57" fillId="0" borderId="34" xfId="187" applyFont="1" applyBorder="1" applyAlignment="1">
      <alignment horizontal="center" vertical="center" textRotation="255"/>
    </xf>
    <xf numFmtId="0" fontId="57" fillId="0" borderId="27" xfId="187" quotePrefix="1" applyFont="1" applyBorder="1" applyAlignment="1">
      <alignment horizontal="center"/>
    </xf>
    <xf numFmtId="0" fontId="57" fillId="0" borderId="20" xfId="187" quotePrefix="1" applyFont="1" applyBorder="1" applyAlignment="1">
      <alignment horizontal="center"/>
    </xf>
    <xf numFmtId="0" fontId="57" fillId="0" borderId="8" xfId="187" applyFont="1" applyBorder="1" applyAlignment="1">
      <alignment horizontal="left" shrinkToFit="1"/>
    </xf>
    <xf numFmtId="0" fontId="57" fillId="0" borderId="19" xfId="187" applyFont="1" applyBorder="1" applyAlignment="1">
      <alignment horizontal="center" vertical="center"/>
    </xf>
    <xf numFmtId="0" fontId="57" fillId="0" borderId="19" xfId="187" applyFont="1" applyBorder="1"/>
    <xf numFmtId="0" fontId="57" fillId="0" borderId="24" xfId="187" applyFont="1" applyBorder="1"/>
    <xf numFmtId="38" fontId="43" fillId="0" borderId="22" xfId="189" applyFont="1" applyFill="1" applyBorder="1" applyAlignment="1">
      <alignment horizontal="center" vertical="center"/>
    </xf>
    <xf numFmtId="38" fontId="59" fillId="0" borderId="58" xfId="189" applyFont="1" applyBorder="1" applyAlignment="1">
      <alignment vertical="top" wrapText="1"/>
    </xf>
    <xf numFmtId="38" fontId="59" fillId="0" borderId="60" xfId="189" applyFont="1" applyBorder="1" applyAlignment="1">
      <alignment vertical="top" wrapText="1"/>
    </xf>
    <xf numFmtId="38" fontId="59" fillId="0" borderId="31" xfId="189" applyFont="1" applyBorder="1" applyAlignment="1">
      <alignment vertical="top" wrapText="1"/>
    </xf>
    <xf numFmtId="38" fontId="43" fillId="0" borderId="8" xfId="189" applyFont="1" applyFill="1" applyBorder="1" applyAlignment="1">
      <alignment horizontal="center" vertical="center"/>
    </xf>
    <xf numFmtId="38" fontId="43" fillId="0" borderId="42" xfId="189" applyFont="1" applyFill="1" applyBorder="1" applyAlignment="1">
      <alignment horizontal="center" vertical="center"/>
    </xf>
    <xf numFmtId="38" fontId="43" fillId="0" borderId="21" xfId="189" applyFont="1" applyFill="1" applyBorder="1" applyAlignment="1">
      <alignment horizontal="center" vertical="center"/>
    </xf>
    <xf numFmtId="38" fontId="43" fillId="0" borderId="29" xfId="189" applyFont="1" applyFill="1" applyBorder="1" applyAlignment="1">
      <alignment horizontal="center" vertical="center"/>
    </xf>
    <xf numFmtId="38" fontId="43" fillId="0" borderId="23" xfId="189" applyFont="1" applyFill="1" applyBorder="1" applyAlignment="1">
      <alignment horizontal="center" vertical="center"/>
    </xf>
    <xf numFmtId="38" fontId="43" fillId="0" borderId="52" xfId="189" applyFont="1" applyFill="1" applyBorder="1" applyAlignment="1">
      <alignment horizontal="center" vertical="center"/>
    </xf>
    <xf numFmtId="38" fontId="43" fillId="0" borderId="43" xfId="189" applyFont="1" applyFill="1" applyBorder="1" applyAlignment="1">
      <alignment horizontal="center" vertical="center"/>
    </xf>
    <xf numFmtId="38" fontId="43" fillId="0" borderId="38" xfId="189" applyFont="1" applyFill="1" applyBorder="1" applyAlignment="1">
      <alignment horizontal="center" vertical="center"/>
    </xf>
    <xf numFmtId="38" fontId="43" fillId="0" borderId="40" xfId="189" applyFont="1" applyFill="1" applyBorder="1" applyAlignment="1">
      <alignment horizontal="center" vertical="center"/>
    </xf>
    <xf numFmtId="38" fontId="43" fillId="0" borderId="44" xfId="189" applyFont="1" applyFill="1" applyBorder="1" applyAlignment="1">
      <alignment horizontal="center" vertical="center"/>
    </xf>
    <xf numFmtId="38" fontId="43" fillId="0" borderId="48" xfId="189" applyFont="1" applyFill="1" applyBorder="1" applyAlignment="1">
      <alignment horizontal="center" vertical="center"/>
    </xf>
    <xf numFmtId="38" fontId="43" fillId="0" borderId="53" xfId="189" applyFont="1" applyFill="1" applyBorder="1" applyAlignment="1">
      <alignment horizontal="center" vertical="center"/>
    </xf>
    <xf numFmtId="38" fontId="43" fillId="0" borderId="19" xfId="189" applyFont="1" applyFill="1" applyBorder="1" applyAlignment="1">
      <alignment horizontal="center" vertical="center"/>
    </xf>
    <xf numFmtId="0" fontId="56" fillId="0" borderId="0" xfId="194" applyFont="1" applyAlignment="1">
      <alignment horizontal="left" vertical="center" shrinkToFit="1"/>
    </xf>
    <xf numFmtId="0" fontId="56" fillId="0" borderId="0" xfId="194" applyFont="1" applyAlignment="1">
      <alignment horizontal="center" vertical="center"/>
    </xf>
    <xf numFmtId="205" fontId="56" fillId="0" borderId="0" xfId="194" applyNumberFormat="1" applyFont="1" applyAlignment="1">
      <alignment horizontal="center" vertical="center"/>
    </xf>
    <xf numFmtId="38" fontId="56" fillId="0" borderId="0" xfId="113" applyFont="1" applyAlignment="1">
      <alignment horizontal="center" vertical="center"/>
    </xf>
    <xf numFmtId="38" fontId="66" fillId="0" borderId="58" xfId="113" applyFont="1" applyBorder="1" applyAlignment="1">
      <alignment horizontal="center" vertical="center"/>
    </xf>
    <xf numFmtId="38" fontId="66" fillId="0" borderId="79" xfId="113" applyFont="1" applyBorder="1" applyAlignment="1">
      <alignment horizontal="center" vertical="center"/>
    </xf>
    <xf numFmtId="0" fontId="56" fillId="0" borderId="68" xfId="136" applyFont="1" applyBorder="1" applyAlignment="1">
      <alignment horizontal="center" vertical="center"/>
    </xf>
    <xf numFmtId="0" fontId="56" fillId="0" borderId="32" xfId="136" applyFont="1" applyBorder="1" applyAlignment="1">
      <alignment horizontal="center" vertical="center"/>
    </xf>
    <xf numFmtId="0" fontId="56" fillId="0" borderId="43" xfId="136" applyFont="1" applyBorder="1" applyAlignment="1">
      <alignment horizontal="center" vertical="center"/>
    </xf>
    <xf numFmtId="0" fontId="56" fillId="0" borderId="70" xfId="136" applyFont="1" applyBorder="1" applyAlignment="1">
      <alignment horizontal="center" vertical="center"/>
    </xf>
    <xf numFmtId="0" fontId="56" fillId="0" borderId="71" xfId="136" applyFont="1" applyBorder="1" applyAlignment="1">
      <alignment horizontal="center" vertical="center"/>
    </xf>
    <xf numFmtId="0" fontId="2" fillId="0" borderId="31" xfId="136" applyBorder="1" applyAlignment="1">
      <alignment horizontal="center" vertical="center"/>
    </xf>
    <xf numFmtId="0" fontId="56" fillId="0" borderId="63" xfId="194" applyFont="1" applyBorder="1" applyAlignment="1">
      <alignment horizontal="center" vertical="center"/>
    </xf>
    <xf numFmtId="0" fontId="56" fillId="0" borderId="33" xfId="136" applyFont="1" applyBorder="1" applyAlignment="1">
      <alignment horizontal="center" vertical="center"/>
    </xf>
    <xf numFmtId="205" fontId="56" fillId="0" borderId="63" xfId="194" applyNumberFormat="1" applyFont="1" applyBorder="1" applyAlignment="1">
      <alignment horizontal="center" vertical="center"/>
    </xf>
    <xf numFmtId="205" fontId="56" fillId="0" borderId="33" xfId="194" applyNumberFormat="1" applyFont="1" applyBorder="1" applyAlignment="1">
      <alignment horizontal="center" vertical="center"/>
    </xf>
    <xf numFmtId="0" fontId="56" fillId="0" borderId="50" xfId="194" applyFont="1" applyBorder="1" applyAlignment="1">
      <alignment horizontal="center" vertical="center"/>
    </xf>
    <xf numFmtId="0" fontId="56" fillId="0" borderId="55" xfId="194" applyFont="1" applyBorder="1" applyAlignment="1">
      <alignment horizontal="center" vertical="center"/>
    </xf>
    <xf numFmtId="0" fontId="56" fillId="0" borderId="53" xfId="136" applyFont="1" applyBorder="1" applyAlignment="1">
      <alignment vertical="center"/>
    </xf>
    <xf numFmtId="0" fontId="2" fillId="0" borderId="39" xfId="136" applyBorder="1" applyAlignment="1">
      <alignment vertical="center"/>
    </xf>
    <xf numFmtId="0" fontId="2" fillId="0" borderId="75" xfId="136" applyBorder="1" applyAlignment="1">
      <alignment vertical="center"/>
    </xf>
    <xf numFmtId="0" fontId="56" fillId="0" borderId="41" xfId="136" applyFont="1" applyBorder="1" applyAlignment="1">
      <alignment horizontal="center" vertical="center"/>
    </xf>
    <xf numFmtId="0" fontId="56" fillId="0" borderId="64" xfId="136" applyFont="1" applyBorder="1" applyAlignment="1">
      <alignment horizontal="center" vertical="center"/>
    </xf>
    <xf numFmtId="0" fontId="56" fillId="0" borderId="45" xfId="194" applyFont="1" applyBorder="1" applyAlignment="1">
      <alignment horizontal="center" vertical="center"/>
    </xf>
    <xf numFmtId="0" fontId="56" fillId="0" borderId="49" xfId="194" applyFont="1" applyBorder="1" applyAlignment="1">
      <alignment horizontal="center" vertical="center"/>
    </xf>
    <xf numFmtId="0" fontId="56" fillId="0" borderId="54" xfId="194" applyFont="1" applyBorder="1" applyAlignment="1">
      <alignment horizontal="center" vertical="center"/>
    </xf>
    <xf numFmtId="0" fontId="56" fillId="0" borderId="67" xfId="194" applyFont="1" applyBorder="1" applyAlignment="1">
      <alignment horizontal="center" vertical="center"/>
    </xf>
    <xf numFmtId="0" fontId="2" fillId="0" borderId="42" xfId="136" applyBorder="1" applyAlignment="1">
      <alignment horizontal="center" vertical="center"/>
    </xf>
    <xf numFmtId="0" fontId="2" fillId="0" borderId="72" xfId="136" applyBorder="1" applyAlignment="1">
      <alignment horizontal="center" vertical="center"/>
    </xf>
    <xf numFmtId="0" fontId="2" fillId="0" borderId="29" xfId="136" applyBorder="1" applyAlignment="1">
      <alignment horizontal="center" vertical="center"/>
    </xf>
    <xf numFmtId="0" fontId="2" fillId="0" borderId="74" xfId="136" applyBorder="1" applyAlignment="1">
      <alignment horizontal="center" vertical="center"/>
    </xf>
    <xf numFmtId="0" fontId="2" fillId="0" borderId="52" xfId="136" applyBorder="1" applyAlignment="1">
      <alignment horizontal="center" vertical="center"/>
    </xf>
    <xf numFmtId="0" fontId="56" fillId="0" borderId="68" xfId="194" applyFont="1" applyBorder="1" applyAlignment="1">
      <alignment horizontal="center" vertical="center"/>
    </xf>
    <xf numFmtId="0" fontId="56" fillId="0" borderId="73" xfId="136" applyFont="1" applyBorder="1" applyAlignment="1">
      <alignment horizontal="center" vertical="center"/>
    </xf>
    <xf numFmtId="0" fontId="56" fillId="0" borderId="43" xfId="194" applyFont="1" applyBorder="1" applyAlignment="1">
      <alignment horizontal="center" vertical="center"/>
    </xf>
    <xf numFmtId="0" fontId="56" fillId="0" borderId="69" xfId="194" applyFont="1" applyBorder="1" applyAlignment="1">
      <alignment horizontal="center" vertical="center"/>
    </xf>
    <xf numFmtId="0" fontId="56" fillId="0" borderId="70" xfId="194" applyFont="1" applyBorder="1" applyAlignment="1">
      <alignment horizontal="center" vertical="center"/>
    </xf>
    <xf numFmtId="0" fontId="56" fillId="0" borderId="33" xfId="194" applyFont="1" applyBorder="1" applyAlignment="1">
      <alignment horizontal="center" vertical="center"/>
    </xf>
    <xf numFmtId="0" fontId="56" fillId="0" borderId="42" xfId="194" applyFont="1" applyBorder="1" applyAlignment="1">
      <alignment horizontal="center" vertical="center"/>
    </xf>
    <xf numFmtId="0" fontId="56" fillId="0" borderId="19" xfId="194" applyFont="1" applyBorder="1" applyAlignment="1">
      <alignment horizontal="center" vertical="center"/>
    </xf>
    <xf numFmtId="0" fontId="56" fillId="0" borderId="24" xfId="194" applyFont="1" applyBorder="1" applyAlignment="1">
      <alignment horizontal="center" vertical="center"/>
    </xf>
    <xf numFmtId="0" fontId="56" fillId="0" borderId="22" xfId="194" applyFont="1" applyBorder="1" applyAlignment="1">
      <alignment horizontal="center" vertical="center"/>
    </xf>
    <xf numFmtId="0" fontId="56" fillId="0" borderId="26" xfId="194" applyFont="1" applyBorder="1" applyAlignment="1">
      <alignment horizontal="center" vertical="center"/>
    </xf>
    <xf numFmtId="0" fontId="56" fillId="0" borderId="26" xfId="136" applyFont="1" applyBorder="1" applyAlignment="1">
      <alignment horizontal="center" vertical="center"/>
    </xf>
    <xf numFmtId="0" fontId="56" fillId="0" borderId="52" xfId="194" applyFont="1" applyBorder="1" applyAlignment="1">
      <alignment horizontal="center" vertical="center"/>
    </xf>
    <xf numFmtId="0" fontId="56" fillId="0" borderId="0" xfId="194" applyFont="1" applyAlignment="1">
      <alignment vertical="center"/>
    </xf>
    <xf numFmtId="49" fontId="56" fillId="0" borderId="44" xfId="136" applyNumberFormat="1" applyFont="1" applyBorder="1" applyAlignment="1">
      <alignment horizontal="center" vertical="center"/>
    </xf>
    <xf numFmtId="49" fontId="56" fillId="0" borderId="70" xfId="136" applyNumberFormat="1" applyFont="1" applyBorder="1" applyAlignment="1">
      <alignment horizontal="center" vertical="center"/>
    </xf>
    <xf numFmtId="0" fontId="56" fillId="0" borderId="22" xfId="136" applyFont="1" applyBorder="1" applyAlignment="1">
      <alignment horizontal="left" vertical="center"/>
    </xf>
    <xf numFmtId="0" fontId="56" fillId="0" borderId="22" xfId="136" applyFont="1" applyBorder="1" applyAlignment="1">
      <alignment horizontal="center"/>
    </xf>
    <xf numFmtId="49" fontId="56" fillId="0" borderId="67" xfId="136" applyNumberFormat="1" applyFont="1" applyBorder="1" applyAlignment="1">
      <alignment horizontal="center" vertical="center"/>
    </xf>
    <xf numFmtId="0" fontId="56" fillId="0" borderId="42" xfId="136" applyFont="1" applyBorder="1" applyAlignment="1">
      <alignment horizontal="center" vertical="center"/>
    </xf>
    <xf numFmtId="0" fontId="56" fillId="0" borderId="72" xfId="136" applyFont="1" applyBorder="1" applyAlignment="1">
      <alignment horizontal="center" vertical="center"/>
    </xf>
    <xf numFmtId="0" fontId="56" fillId="0" borderId="29" xfId="136" applyFont="1" applyBorder="1" applyAlignment="1">
      <alignment horizontal="center" vertical="center"/>
    </xf>
    <xf numFmtId="0" fontId="56" fillId="0" borderId="74" xfId="136" applyFont="1" applyBorder="1" applyAlignment="1">
      <alignment horizontal="center" vertical="center"/>
    </xf>
    <xf numFmtId="0" fontId="56" fillId="0" borderId="52" xfId="136" applyFont="1" applyBorder="1" applyAlignment="1">
      <alignment horizontal="center" vertical="center"/>
    </xf>
    <xf numFmtId="49" fontId="56" fillId="0" borderId="19" xfId="136" applyNumberFormat="1" applyFont="1" applyBorder="1" applyAlignment="1">
      <alignment horizontal="center" vertical="center"/>
    </xf>
    <xf numFmtId="49" fontId="56" fillId="0" borderId="82" xfId="136" applyNumberFormat="1" applyFont="1" applyBorder="1" applyAlignment="1">
      <alignment horizontal="center" vertical="center"/>
    </xf>
    <xf numFmtId="49" fontId="56" fillId="0" borderId="3" xfId="136" applyNumberFormat="1" applyFont="1" applyBorder="1" applyAlignment="1">
      <alignment horizontal="center" vertical="center"/>
    </xf>
    <xf numFmtId="49" fontId="56" fillId="0" borderId="2" xfId="136" applyNumberFormat="1" applyFont="1" applyBorder="1" applyAlignment="1">
      <alignment horizontal="center" vertical="center"/>
    </xf>
    <xf numFmtId="49" fontId="56" fillId="0" borderId="28" xfId="136" applyNumberFormat="1" applyFont="1" applyBorder="1" applyAlignment="1">
      <alignment horizontal="center" vertical="center"/>
    </xf>
    <xf numFmtId="49" fontId="56" fillId="0" borderId="36" xfId="136" applyNumberFormat="1" applyFont="1" applyBorder="1" applyAlignment="1">
      <alignment horizontal="center" vertical="center"/>
    </xf>
    <xf numFmtId="49" fontId="56" fillId="0" borderId="65" xfId="136" applyNumberFormat="1" applyFont="1" applyBorder="1" applyAlignment="1">
      <alignment horizontal="center" vertical="center"/>
    </xf>
    <xf numFmtId="49" fontId="56" fillId="0" borderId="57" xfId="136" applyNumberFormat="1" applyFont="1" applyBorder="1" applyAlignment="1">
      <alignment horizontal="center" vertical="center"/>
    </xf>
    <xf numFmtId="0" fontId="69" fillId="0" borderId="3" xfId="0" applyFont="1" applyBorder="1" applyAlignment="1">
      <alignment horizontal="center" vertical="center"/>
    </xf>
    <xf numFmtId="0" fontId="0" fillId="0" borderId="3" xfId="0" applyBorder="1" applyAlignment="1">
      <alignment horizontal="center" vertical="center"/>
    </xf>
    <xf numFmtId="0" fontId="0" fillId="0" borderId="27" xfId="0" applyBorder="1" applyAlignment="1">
      <alignment horizontal="center" vertical="center"/>
    </xf>
    <xf numFmtId="0" fontId="0" fillId="0" borderId="20" xfId="0" applyBorder="1" applyAlignment="1">
      <alignment horizontal="center" vertical="center"/>
    </xf>
    <xf numFmtId="0" fontId="0" fillId="0" borderId="3" xfId="0" applyBorder="1" applyAlignment="1">
      <alignment horizontal="center" vertical="center" shrinkToFit="1"/>
    </xf>
    <xf numFmtId="219" fontId="56" fillId="0" borderId="38" xfId="113" applyNumberFormat="1" applyFont="1" applyBorder="1" applyAlignment="1">
      <alignment horizontal="center" vertical="center"/>
    </xf>
    <xf numFmtId="219" fontId="56" fillId="0" borderId="77" xfId="113" applyNumberFormat="1" applyFont="1" applyBorder="1" applyAlignment="1">
      <alignment horizontal="center" vertical="center"/>
    </xf>
    <xf numFmtId="219" fontId="56" fillId="0" borderId="38" xfId="113" applyNumberFormat="1" applyFont="1" applyFill="1" applyBorder="1" applyAlignment="1">
      <alignment horizontal="center" vertical="center"/>
    </xf>
    <xf numFmtId="219" fontId="56" fillId="0" borderId="84" xfId="113" applyNumberFormat="1" applyFont="1" applyFill="1" applyBorder="1" applyAlignment="1">
      <alignment horizontal="center" vertical="center"/>
    </xf>
    <xf numFmtId="0" fontId="0" fillId="0" borderId="18" xfId="0" applyBorder="1" applyAlignment="1">
      <alignment horizontal="center" vertical="center"/>
    </xf>
    <xf numFmtId="0" fontId="0" fillId="0" borderId="28" xfId="0" applyBorder="1" applyAlignment="1">
      <alignment horizontal="center" vertical="center"/>
    </xf>
  </cellXfs>
  <cellStyles count="195">
    <cellStyle name="=C:\WINDOWS\SYSTEM32\COMMAND.COM" xfId="1" xr:uid="{00000000-0005-0000-0000-000000000000}"/>
    <cellStyle name="20% - アクセント 1" xfId="2" builtinId="30" customBuiltin="1"/>
    <cellStyle name="20% - アクセント 2" xfId="3" builtinId="34" customBuiltin="1"/>
    <cellStyle name="20% - アクセント 3" xfId="4" builtinId="38" customBuiltin="1"/>
    <cellStyle name="20% - アクセント 4" xfId="5" builtinId="42" customBuiltin="1"/>
    <cellStyle name="20% - アクセント 5" xfId="6" builtinId="46" customBuiltin="1"/>
    <cellStyle name="20% - アクセント 6" xfId="7" builtinId="50" customBuiltin="1"/>
    <cellStyle name="40% - アクセント 1" xfId="8" builtinId="31" customBuiltin="1"/>
    <cellStyle name="40% - アクセント 2" xfId="9" builtinId="35" customBuiltin="1"/>
    <cellStyle name="40% - アクセント 3" xfId="10" builtinId="39" customBuiltin="1"/>
    <cellStyle name="40% - アクセント 4" xfId="11" builtinId="43" customBuiltin="1"/>
    <cellStyle name="40% - アクセント 5" xfId="12" builtinId="47" customBuiltin="1"/>
    <cellStyle name="40% - アクセント 6" xfId="13" builtinId="51" customBuiltin="1"/>
    <cellStyle name="60% - アクセント 1" xfId="14" builtinId="32" customBuiltin="1"/>
    <cellStyle name="60% - アクセント 2" xfId="15" builtinId="36" customBuiltin="1"/>
    <cellStyle name="60% - アクセント 3" xfId="16" builtinId="40" customBuiltin="1"/>
    <cellStyle name="60% - アクセント 4" xfId="17" builtinId="44" customBuiltin="1"/>
    <cellStyle name="60% - アクセント 5" xfId="18" builtinId="48" customBuiltin="1"/>
    <cellStyle name="60% - アクセント 6" xfId="19" builtinId="52" customBuiltin="1"/>
    <cellStyle name="Body text" xfId="20" xr:uid="{00000000-0005-0000-0000-000013000000}"/>
    <cellStyle name="Calc Currency (0)" xfId="21" xr:uid="{00000000-0005-0000-0000-000014000000}"/>
    <cellStyle name="Calc Currency (2)" xfId="22" xr:uid="{00000000-0005-0000-0000-000015000000}"/>
    <cellStyle name="Calc Percent (0)" xfId="23" xr:uid="{00000000-0005-0000-0000-000016000000}"/>
    <cellStyle name="Calc Percent (1)" xfId="24" xr:uid="{00000000-0005-0000-0000-000017000000}"/>
    <cellStyle name="Calc Percent (2)" xfId="25" xr:uid="{00000000-0005-0000-0000-000018000000}"/>
    <cellStyle name="Calc Units (0)" xfId="26" xr:uid="{00000000-0005-0000-0000-000019000000}"/>
    <cellStyle name="Calc Units (1)" xfId="27" xr:uid="{00000000-0005-0000-0000-00001A000000}"/>
    <cellStyle name="Calc Units (2)" xfId="28" xr:uid="{00000000-0005-0000-0000-00001B000000}"/>
    <cellStyle name="Comma [0]_#6 Temps &amp; Contractors" xfId="29" xr:uid="{00000000-0005-0000-0000-00001C000000}"/>
    <cellStyle name="Comma [00]" xfId="30" xr:uid="{00000000-0005-0000-0000-00001D000000}"/>
    <cellStyle name="Comma_#6 Temps &amp; Contractors" xfId="31" xr:uid="{00000000-0005-0000-0000-00001E000000}"/>
    <cellStyle name="Currency [0]_#6 Temps &amp; Contractors" xfId="32" xr:uid="{00000000-0005-0000-0000-00001F000000}"/>
    <cellStyle name="Currency [00]" xfId="33" xr:uid="{00000000-0005-0000-0000-000020000000}"/>
    <cellStyle name="Currency_#6 Temps &amp; Contractors" xfId="34" xr:uid="{00000000-0005-0000-0000-000021000000}"/>
    <cellStyle name="DAIKIN_SDS21" xfId="35" xr:uid="{00000000-0005-0000-0000-000022000000}"/>
    <cellStyle name="Date Short" xfId="36" xr:uid="{00000000-0005-0000-0000-000023000000}"/>
    <cellStyle name="Enter Currency (0)" xfId="37" xr:uid="{00000000-0005-0000-0000-000024000000}"/>
    <cellStyle name="Enter Currency (2)" xfId="38" xr:uid="{00000000-0005-0000-0000-000025000000}"/>
    <cellStyle name="Enter Units (0)" xfId="39" xr:uid="{00000000-0005-0000-0000-000026000000}"/>
    <cellStyle name="Enter Units (1)" xfId="40" xr:uid="{00000000-0005-0000-0000-000027000000}"/>
    <cellStyle name="Enter Units (2)" xfId="41" xr:uid="{00000000-0005-0000-0000-000028000000}"/>
    <cellStyle name="entry" xfId="42" xr:uid="{00000000-0005-0000-0000-000029000000}"/>
    <cellStyle name="Followed Hyperlink" xfId="43" xr:uid="{00000000-0005-0000-0000-00002A000000}"/>
    <cellStyle name="Grey" xfId="44" xr:uid="{00000000-0005-0000-0000-00002B000000}"/>
    <cellStyle name="Header1" xfId="45" xr:uid="{00000000-0005-0000-0000-00002C000000}"/>
    <cellStyle name="Header2" xfId="46" xr:uid="{00000000-0005-0000-0000-00002D000000}"/>
    <cellStyle name="Hyperlink" xfId="47" xr:uid="{00000000-0005-0000-0000-00002E000000}"/>
    <cellStyle name="Input [yellow]" xfId="48" xr:uid="{00000000-0005-0000-0000-00002F000000}"/>
    <cellStyle name="ISO" xfId="49" xr:uid="{00000000-0005-0000-0000-000030000000}"/>
    <cellStyle name="Link Currency (0)" xfId="50" xr:uid="{00000000-0005-0000-0000-000031000000}"/>
    <cellStyle name="Link Currency (2)" xfId="51" xr:uid="{00000000-0005-0000-0000-000032000000}"/>
    <cellStyle name="Link Units (0)" xfId="52" xr:uid="{00000000-0005-0000-0000-000033000000}"/>
    <cellStyle name="Link Units (1)" xfId="53" xr:uid="{00000000-0005-0000-0000-000034000000}"/>
    <cellStyle name="Link Units (2)" xfId="54" xr:uid="{00000000-0005-0000-0000-000035000000}"/>
    <cellStyle name="Milliers [0]_AR1194" xfId="55" xr:uid="{00000000-0005-0000-0000-000036000000}"/>
    <cellStyle name="Milliers_AR1194" xfId="56" xr:uid="{00000000-0005-0000-0000-000037000000}"/>
    <cellStyle name="Mon騁aire [0]_AR1194" xfId="57" xr:uid="{00000000-0005-0000-0000-000038000000}"/>
    <cellStyle name="Mon騁aire_AR1194" xfId="58" xr:uid="{00000000-0005-0000-0000-000039000000}"/>
    <cellStyle name="NonPrint_Heading" xfId="59" xr:uid="{00000000-0005-0000-0000-00003A000000}"/>
    <cellStyle name="Normal - Style1" xfId="60" xr:uid="{00000000-0005-0000-0000-00003B000000}"/>
    <cellStyle name="Normal_# 41-Market &amp;Trends" xfId="61" xr:uid="{00000000-0005-0000-0000-00003C000000}"/>
    <cellStyle name="ParaBirimi [0]_RESULTS" xfId="62" xr:uid="{00000000-0005-0000-0000-00003D000000}"/>
    <cellStyle name="ParaBirimi_RESULTS" xfId="63" xr:uid="{00000000-0005-0000-0000-00003E000000}"/>
    <cellStyle name="Percent [0]" xfId="64" xr:uid="{00000000-0005-0000-0000-00003F000000}"/>
    <cellStyle name="Percent [00]" xfId="65" xr:uid="{00000000-0005-0000-0000-000040000000}"/>
    <cellStyle name="Percent [2]" xfId="66" xr:uid="{00000000-0005-0000-0000-000041000000}"/>
    <cellStyle name="Percent_#6 Temps &amp; Contractors" xfId="67" xr:uid="{00000000-0005-0000-0000-000042000000}"/>
    <cellStyle name="PrePop Currency (0)" xfId="68" xr:uid="{00000000-0005-0000-0000-000043000000}"/>
    <cellStyle name="PrePop Currency (2)" xfId="69" xr:uid="{00000000-0005-0000-0000-000044000000}"/>
    <cellStyle name="PrePop Units (0)" xfId="70" xr:uid="{00000000-0005-0000-0000-000045000000}"/>
    <cellStyle name="PrePop Units (1)" xfId="71" xr:uid="{00000000-0005-0000-0000-000046000000}"/>
    <cellStyle name="PrePop Units (2)" xfId="72" xr:uid="{00000000-0005-0000-0000-000047000000}"/>
    <cellStyle name="price" xfId="73" xr:uid="{00000000-0005-0000-0000-000048000000}"/>
    <cellStyle name="Product Title" xfId="74" xr:uid="{00000000-0005-0000-0000-000049000000}"/>
    <cellStyle name="revised" xfId="75" xr:uid="{00000000-0005-0000-0000-00004A000000}"/>
    <cellStyle name="section" xfId="76" xr:uid="{00000000-0005-0000-0000-00004B000000}"/>
    <cellStyle name="Standard_COST INPUT SHEET" xfId="77" xr:uid="{00000000-0005-0000-0000-00004C000000}"/>
    <cellStyle name="subhead" xfId="78" xr:uid="{00000000-0005-0000-0000-00004D000000}"/>
    <cellStyle name="Text Indent A" xfId="79" xr:uid="{00000000-0005-0000-0000-00004E000000}"/>
    <cellStyle name="Text Indent B" xfId="80" xr:uid="{00000000-0005-0000-0000-00004F000000}"/>
    <cellStyle name="Text Indent C" xfId="81" xr:uid="{00000000-0005-0000-0000-000050000000}"/>
    <cellStyle name="title" xfId="82" xr:uid="{00000000-0005-0000-0000-000051000000}"/>
    <cellStyle name="u" xfId="83" xr:uid="{00000000-0005-0000-0000-000052000000}"/>
    <cellStyle name="Virg・ [0]_RESULTS" xfId="84" xr:uid="{00000000-0005-0000-0000-000053000000}"/>
    <cellStyle name="Virg・_RESULTS" xfId="85" xr:uid="{00000000-0005-0000-0000-000054000000}"/>
    <cellStyle name="アクセント 1" xfId="86" builtinId="29" customBuiltin="1"/>
    <cellStyle name="アクセント 2" xfId="87" builtinId="33" customBuiltin="1"/>
    <cellStyle name="アクセント 3" xfId="88" builtinId="37" customBuiltin="1"/>
    <cellStyle name="アクセント 4" xfId="89" builtinId="41" customBuiltin="1"/>
    <cellStyle name="アクセント 5" xfId="90" builtinId="45" customBuiltin="1"/>
    <cellStyle name="アクセント 6" xfId="91" builtinId="49" customBuiltin="1"/>
    <cellStyle name="タイトル" xfId="92" builtinId="15" customBuiltin="1"/>
    <cellStyle name="チェック セル" xfId="93" builtinId="23" customBuiltin="1"/>
    <cellStyle name="どちらでもない" xfId="94" builtinId="28" customBuiltin="1"/>
    <cellStyle name="ﾄ褊褂燾・[0]_PERSONAL" xfId="95" xr:uid="{00000000-0005-0000-0000-00005E000000}"/>
    <cellStyle name="ﾄ褊褂燾饑PERSONAL" xfId="96" xr:uid="{00000000-0005-0000-0000-00005F000000}"/>
    <cellStyle name="パーセント" xfId="97" builtinId="5"/>
    <cellStyle name="パーセント 2" xfId="98" xr:uid="{00000000-0005-0000-0000-000061000000}"/>
    <cellStyle name="パーセント 2 2" xfId="99" xr:uid="{00000000-0005-0000-0000-000062000000}"/>
    <cellStyle name="パーセント 2 3" xfId="100" xr:uid="{00000000-0005-0000-0000-000063000000}"/>
    <cellStyle name="パーセント 3" xfId="101" xr:uid="{00000000-0005-0000-0000-000064000000}"/>
    <cellStyle name="ページ" xfId="102" xr:uid="{00000000-0005-0000-0000-000065000000}"/>
    <cellStyle name="ﾎ磊隆_PERSONAL" xfId="103" xr:uid="{00000000-0005-0000-0000-000066000000}"/>
    <cellStyle name="メモ" xfId="104" builtinId="10" customBuiltin="1"/>
    <cellStyle name="ﾔ竟瑙糺・[0]_PERSONAL" xfId="105" xr:uid="{00000000-0005-0000-0000-000068000000}"/>
    <cellStyle name="ﾔ竟瑙糺饑PERSONAL" xfId="106" xr:uid="{00000000-0005-0000-0000-000069000000}"/>
    <cellStyle name="リンク セル" xfId="107" builtinId="24" customBuiltin="1"/>
    <cellStyle name="悪い" xfId="108" builtinId="27" customBuiltin="1"/>
    <cellStyle name="金額" xfId="109" xr:uid="{00000000-0005-0000-0000-00006C000000}"/>
    <cellStyle name="計算" xfId="110" builtinId="22" customBuiltin="1"/>
    <cellStyle name="警告文" xfId="111" builtinId="11" customBuiltin="1"/>
    <cellStyle name="桁区切り" xfId="112" builtinId="6"/>
    <cellStyle name="桁区切り 2" xfId="113" xr:uid="{00000000-0005-0000-0000-000070000000}"/>
    <cellStyle name="桁区切り 2 2" xfId="114" xr:uid="{00000000-0005-0000-0000-000071000000}"/>
    <cellStyle name="桁区切り 2 2 2" xfId="188" xr:uid="{1C0237AA-27B3-4E78-A28A-ECAFD29ABD19}"/>
    <cellStyle name="桁区切り 2 3" xfId="190" xr:uid="{49EBD5AC-306C-4E82-886B-FE2808E35C31}"/>
    <cellStyle name="桁区切り 2 4" xfId="184" xr:uid="{02F55A15-5CA8-4CA6-B162-DECEFAA06AE0}"/>
    <cellStyle name="桁区切り 3" xfId="115" xr:uid="{00000000-0005-0000-0000-000072000000}"/>
    <cellStyle name="桁区切り 3 2" xfId="116" xr:uid="{00000000-0005-0000-0000-000073000000}"/>
    <cellStyle name="桁区切り 3 3" xfId="189" xr:uid="{2ACB15CB-1B6D-4314-8EEB-1A4B315342C4}"/>
    <cellStyle name="桁区切り 7" xfId="185" xr:uid="{E1E7BCEE-BB1F-46E6-9A9B-5682E5AA92F0}"/>
    <cellStyle name="桁区切り2" xfId="117" xr:uid="{00000000-0005-0000-0000-000074000000}"/>
    <cellStyle name="見出し 1" xfId="118" builtinId="16" customBuiltin="1"/>
    <cellStyle name="見出し 2" xfId="119" builtinId="17" customBuiltin="1"/>
    <cellStyle name="見出し 3" xfId="120" builtinId="18" customBuiltin="1"/>
    <cellStyle name="見出し 4" xfId="121" builtinId="19" customBuiltin="1"/>
    <cellStyle name="仕様" xfId="122" xr:uid="{00000000-0005-0000-0000-000079000000}"/>
    <cellStyle name="集計" xfId="123" builtinId="25" customBuiltin="1"/>
    <cellStyle name="出力" xfId="124" builtinId="21" customBuiltin="1"/>
    <cellStyle name="数量" xfId="125" xr:uid="{00000000-0005-0000-0000-00007C000000}"/>
    <cellStyle name="説明文" xfId="126" builtinId="53" customBuiltin="1"/>
    <cellStyle name="単位" xfId="127" xr:uid="{00000000-0005-0000-0000-00007E000000}"/>
    <cellStyle name="単価" xfId="128" xr:uid="{00000000-0005-0000-0000-00007F000000}"/>
    <cellStyle name="値引" xfId="129" xr:uid="{00000000-0005-0000-0000-000080000000}"/>
    <cellStyle name="通浦 [0.00]_laroux" xfId="130" xr:uid="{00000000-0005-0000-0000-000081000000}"/>
    <cellStyle name="通浦_laroux" xfId="131" xr:uid="{00000000-0005-0000-0000-000082000000}"/>
    <cellStyle name="入力" xfId="132" builtinId="20" customBuiltin="1"/>
    <cellStyle name="標準" xfId="0" builtinId="0"/>
    <cellStyle name="標準 10" xfId="133" xr:uid="{00000000-0005-0000-0000-000085000000}"/>
    <cellStyle name="標準 11" xfId="134" xr:uid="{00000000-0005-0000-0000-000086000000}"/>
    <cellStyle name="標準 12" xfId="135" xr:uid="{00000000-0005-0000-0000-000087000000}"/>
    <cellStyle name="標準 13" xfId="136" xr:uid="{00000000-0005-0000-0000-000088000000}"/>
    <cellStyle name="標準 14" xfId="137" xr:uid="{00000000-0005-0000-0000-000089000000}"/>
    <cellStyle name="標準 15" xfId="138" xr:uid="{00000000-0005-0000-0000-00008A000000}"/>
    <cellStyle name="標準 16" xfId="186" xr:uid="{359FBFAA-E7B7-4123-BB41-8FA9AF6397AA}"/>
    <cellStyle name="標準 18" xfId="139" xr:uid="{00000000-0005-0000-0000-00008B000000}"/>
    <cellStyle name="標準 19" xfId="140" xr:uid="{00000000-0005-0000-0000-00008C000000}"/>
    <cellStyle name="標準 2" xfId="141" xr:uid="{00000000-0005-0000-0000-00008D000000}"/>
    <cellStyle name="標準 2 2" xfId="142" xr:uid="{00000000-0005-0000-0000-00008E000000}"/>
    <cellStyle name="標準 2 3" xfId="143" xr:uid="{00000000-0005-0000-0000-00008F000000}"/>
    <cellStyle name="標準 2 4" xfId="191" xr:uid="{D82A07F1-DBB9-4A58-ADB3-F81EB4C8674A}"/>
    <cellStyle name="標準 2_　　　　　" xfId="144" xr:uid="{00000000-0005-0000-0000-000090000000}"/>
    <cellStyle name="標準 20" xfId="145" xr:uid="{00000000-0005-0000-0000-000091000000}"/>
    <cellStyle name="標準 21" xfId="146" xr:uid="{00000000-0005-0000-0000-000092000000}"/>
    <cellStyle name="標準 22" xfId="147" xr:uid="{00000000-0005-0000-0000-000093000000}"/>
    <cellStyle name="標準 23" xfId="148" xr:uid="{00000000-0005-0000-0000-000094000000}"/>
    <cellStyle name="標準 25" xfId="149" xr:uid="{00000000-0005-0000-0000-000095000000}"/>
    <cellStyle name="標準 26" xfId="150" xr:uid="{00000000-0005-0000-0000-000096000000}"/>
    <cellStyle name="標準 27" xfId="151" xr:uid="{00000000-0005-0000-0000-000097000000}"/>
    <cellStyle name="標準 28" xfId="152" xr:uid="{00000000-0005-0000-0000-000098000000}"/>
    <cellStyle name="標準 29" xfId="153" xr:uid="{00000000-0005-0000-0000-000099000000}"/>
    <cellStyle name="標準 3" xfId="154" xr:uid="{00000000-0005-0000-0000-00009A000000}"/>
    <cellStyle name="標準 3 2" xfId="155" xr:uid="{00000000-0005-0000-0000-00009B000000}"/>
    <cellStyle name="標準 3_　　　　　" xfId="156" xr:uid="{00000000-0005-0000-0000-00009C000000}"/>
    <cellStyle name="標準 30" xfId="157" xr:uid="{00000000-0005-0000-0000-00009D000000}"/>
    <cellStyle name="標準 31" xfId="158" xr:uid="{00000000-0005-0000-0000-00009E000000}"/>
    <cellStyle name="標準 32" xfId="159" xr:uid="{00000000-0005-0000-0000-00009F000000}"/>
    <cellStyle name="標準 33" xfId="160" xr:uid="{00000000-0005-0000-0000-0000A0000000}"/>
    <cellStyle name="標準 4" xfId="161" xr:uid="{00000000-0005-0000-0000-0000A1000000}"/>
    <cellStyle name="標準 5" xfId="162" xr:uid="{00000000-0005-0000-0000-0000A2000000}"/>
    <cellStyle name="標準 6" xfId="163" xr:uid="{00000000-0005-0000-0000-0000A3000000}"/>
    <cellStyle name="標準 7" xfId="164" xr:uid="{00000000-0005-0000-0000-0000A4000000}"/>
    <cellStyle name="標準 8" xfId="165" xr:uid="{00000000-0005-0000-0000-0000A5000000}"/>
    <cellStyle name="標準 9" xfId="166" xr:uid="{00000000-0005-0000-0000-0000A6000000}"/>
    <cellStyle name="標準_A校舎増築内訳書" xfId="167" xr:uid="{00000000-0005-0000-0000-0000A7000000}"/>
    <cellStyle name="標準_A増築機械内訳" xfId="193" xr:uid="{21EE14CC-D127-4E37-9A91-D891C67770B3}"/>
    <cellStyle name="標準_D外構内訳" xfId="168" xr:uid="{00000000-0005-0000-0000-0000AA000000}"/>
    <cellStyle name="標準_Ｅ電気集計" xfId="169" xr:uid="{00000000-0005-0000-0000-0000AB000000}"/>
    <cellStyle name="標準_Ｆ－A増築機械内訳" xfId="170" xr:uid="{00000000-0005-0000-0000-0000AC000000}"/>
    <cellStyle name="標準_Sheet1" xfId="171" xr:uid="{00000000-0005-0000-0000-0000AE000000}"/>
    <cellStyle name="標準_機械集計" xfId="172" xr:uid="{00000000-0005-0000-0000-0000AF000000}"/>
    <cellStyle name="標準_機械内訳" xfId="173" xr:uid="{00000000-0005-0000-0000-0000B0000000}"/>
    <cellStyle name="標準_菰野図書館　比較表 061022" xfId="187" xr:uid="{0FDDA686-403A-4843-9E30-BD4D6FC13C05}"/>
    <cellStyle name="標準_設計書" xfId="192" xr:uid="{B25CB704-3264-46AF-9BA3-11B5C706259B}"/>
    <cellStyle name="標準_電気内訳" xfId="174" xr:uid="{00000000-0005-0000-0000-0000B1000000}"/>
    <cellStyle name="標準_表紙・総括" xfId="175" xr:uid="{00000000-0005-0000-0000-0000B2000000}"/>
    <cellStyle name="標準_竜海中学校Z" xfId="194" xr:uid="{0FC5086D-F6BF-490C-91CF-F88051765640}"/>
    <cellStyle name="標準2" xfId="176" xr:uid="{00000000-0005-0000-0000-0000B3000000}"/>
    <cellStyle name="標準3" xfId="177" xr:uid="{00000000-0005-0000-0000-0000B4000000}"/>
    <cellStyle name="標準4" xfId="178" xr:uid="{00000000-0005-0000-0000-0000B5000000}"/>
    <cellStyle name="標準５" xfId="179" xr:uid="{00000000-0005-0000-0000-0000B6000000}"/>
    <cellStyle name="標準6" xfId="180" xr:uid="{00000000-0005-0000-0000-0000B7000000}"/>
    <cellStyle name="表紙" xfId="181" xr:uid="{00000000-0005-0000-0000-0000B8000000}"/>
    <cellStyle name="未定義" xfId="182" xr:uid="{00000000-0005-0000-0000-0000B9000000}"/>
    <cellStyle name="良い" xfId="183" builtinId="26"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9" Type="http://schemas.openxmlformats.org/officeDocument/2006/relationships/externalLink" Target="externalLinks/externalLink14.xml"/><Relationship Id="rId21" Type="http://schemas.openxmlformats.org/officeDocument/2006/relationships/worksheet" Target="worksheets/sheet21.xml"/><Relationship Id="rId34" Type="http://schemas.openxmlformats.org/officeDocument/2006/relationships/externalLink" Target="externalLinks/externalLink9.xml"/><Relationship Id="rId42" Type="http://schemas.openxmlformats.org/officeDocument/2006/relationships/externalLink" Target="externalLinks/externalLink17.xml"/><Relationship Id="rId47" Type="http://schemas.openxmlformats.org/officeDocument/2006/relationships/externalLink" Target="externalLinks/externalLink22.xml"/><Relationship Id="rId50" Type="http://schemas.openxmlformats.org/officeDocument/2006/relationships/externalLink" Target="externalLinks/externalLink25.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4.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7.xml"/><Relationship Id="rId37" Type="http://schemas.openxmlformats.org/officeDocument/2006/relationships/externalLink" Target="externalLinks/externalLink12.xml"/><Relationship Id="rId40" Type="http://schemas.openxmlformats.org/officeDocument/2006/relationships/externalLink" Target="externalLinks/externalLink15.xml"/><Relationship Id="rId45" Type="http://schemas.openxmlformats.org/officeDocument/2006/relationships/externalLink" Target="externalLinks/externalLink20.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6.xml"/><Relationship Id="rId44" Type="http://schemas.openxmlformats.org/officeDocument/2006/relationships/externalLink" Target="externalLinks/externalLink19.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 Id="rId35" Type="http://schemas.openxmlformats.org/officeDocument/2006/relationships/externalLink" Target="externalLinks/externalLink10.xml"/><Relationship Id="rId43" Type="http://schemas.openxmlformats.org/officeDocument/2006/relationships/externalLink" Target="externalLinks/externalLink18.xml"/><Relationship Id="rId48" Type="http://schemas.openxmlformats.org/officeDocument/2006/relationships/externalLink" Target="externalLinks/externalLink23.xml"/><Relationship Id="rId8" Type="http://schemas.openxmlformats.org/officeDocument/2006/relationships/worksheet" Target="worksheets/sheet8.xml"/><Relationship Id="rId51" Type="http://schemas.openxmlformats.org/officeDocument/2006/relationships/externalLink" Target="externalLinks/externalLink2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8.xml"/><Relationship Id="rId38" Type="http://schemas.openxmlformats.org/officeDocument/2006/relationships/externalLink" Target="externalLinks/externalLink13.xml"/><Relationship Id="rId46" Type="http://schemas.openxmlformats.org/officeDocument/2006/relationships/externalLink" Target="externalLinks/externalLink21.xml"/><Relationship Id="rId20" Type="http://schemas.openxmlformats.org/officeDocument/2006/relationships/worksheet" Target="worksheets/sheet20.xml"/><Relationship Id="rId41" Type="http://schemas.openxmlformats.org/officeDocument/2006/relationships/externalLink" Target="externalLinks/externalLink16.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externalLink" Target="externalLinks/externalLink11.xml"/><Relationship Id="rId49" Type="http://schemas.openxmlformats.org/officeDocument/2006/relationships/externalLink" Target="externalLinks/externalLink24.xml"/></Relationships>
</file>

<file path=xl/drawings/drawing1.xml><?xml version="1.0" encoding="utf-8"?>
<xdr:wsDr xmlns:xdr="http://schemas.openxmlformats.org/drawingml/2006/spreadsheetDrawing" xmlns:a="http://schemas.openxmlformats.org/drawingml/2006/main">
  <xdr:twoCellAnchor>
    <xdr:from>
      <xdr:col>8</xdr:col>
      <xdr:colOff>0</xdr:colOff>
      <xdr:row>1</xdr:row>
      <xdr:rowOff>0</xdr:rowOff>
    </xdr:from>
    <xdr:to>
      <xdr:col>8</xdr:col>
      <xdr:colOff>0</xdr:colOff>
      <xdr:row>1</xdr:row>
      <xdr:rowOff>0</xdr:rowOff>
    </xdr:to>
    <xdr:sp macro="" textlink="">
      <xdr:nvSpPr>
        <xdr:cNvPr id="2" name="Line 1">
          <a:extLst>
            <a:ext uri="{FF2B5EF4-FFF2-40B4-BE49-F238E27FC236}">
              <a16:creationId xmlns:a16="http://schemas.microsoft.com/office/drawing/2014/main" id="{3FF22072-1DF2-404A-AE4E-4FB1A766D763}"/>
            </a:ext>
          </a:extLst>
        </xdr:cNvPr>
        <xdr:cNvSpPr>
          <a:spLocks noChangeShapeType="1"/>
        </xdr:cNvSpPr>
      </xdr:nvSpPr>
      <xdr:spPr bwMode="auto">
        <a:xfrm>
          <a:off x="9801225"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3" name="Text Box 2">
          <a:extLst>
            <a:ext uri="{FF2B5EF4-FFF2-40B4-BE49-F238E27FC236}">
              <a16:creationId xmlns:a16="http://schemas.microsoft.com/office/drawing/2014/main" id="{30363934-EE1A-47A0-9487-C37EE25254C2}"/>
            </a:ext>
          </a:extLst>
        </xdr:cNvPr>
        <xdr:cNvSpPr txBox="1">
          <a:spLocks noChangeArrowheads="1"/>
        </xdr:cNvSpPr>
      </xdr:nvSpPr>
      <xdr:spPr bwMode="auto">
        <a:xfrm>
          <a:off x="9801225"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4" name="Line 3">
          <a:extLst>
            <a:ext uri="{FF2B5EF4-FFF2-40B4-BE49-F238E27FC236}">
              <a16:creationId xmlns:a16="http://schemas.microsoft.com/office/drawing/2014/main" id="{245BA3ED-36DC-47C0-A4C9-16D2B150C2A9}"/>
            </a:ext>
          </a:extLst>
        </xdr:cNvPr>
        <xdr:cNvSpPr>
          <a:spLocks noChangeShapeType="1"/>
        </xdr:cNvSpPr>
      </xdr:nvSpPr>
      <xdr:spPr bwMode="auto">
        <a:xfrm>
          <a:off x="9801225"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5" name="Text Box 4">
          <a:extLst>
            <a:ext uri="{FF2B5EF4-FFF2-40B4-BE49-F238E27FC236}">
              <a16:creationId xmlns:a16="http://schemas.microsoft.com/office/drawing/2014/main" id="{114CE183-CCEB-4CDB-A5F1-08303526AD61}"/>
            </a:ext>
          </a:extLst>
        </xdr:cNvPr>
        <xdr:cNvSpPr txBox="1">
          <a:spLocks noChangeArrowheads="1"/>
        </xdr:cNvSpPr>
      </xdr:nvSpPr>
      <xdr:spPr bwMode="auto">
        <a:xfrm>
          <a:off x="9801225"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6" name="Line 5">
          <a:extLst>
            <a:ext uri="{FF2B5EF4-FFF2-40B4-BE49-F238E27FC236}">
              <a16:creationId xmlns:a16="http://schemas.microsoft.com/office/drawing/2014/main" id="{7144BB34-11D9-4FC5-B030-CC29396776CB}"/>
            </a:ext>
          </a:extLst>
        </xdr:cNvPr>
        <xdr:cNvSpPr>
          <a:spLocks noChangeShapeType="1"/>
        </xdr:cNvSpPr>
      </xdr:nvSpPr>
      <xdr:spPr bwMode="auto">
        <a:xfrm>
          <a:off x="9801225"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7" name="Text Box 6">
          <a:extLst>
            <a:ext uri="{FF2B5EF4-FFF2-40B4-BE49-F238E27FC236}">
              <a16:creationId xmlns:a16="http://schemas.microsoft.com/office/drawing/2014/main" id="{F931C8D2-1D32-45FC-94F0-B80186CEE200}"/>
            </a:ext>
          </a:extLst>
        </xdr:cNvPr>
        <xdr:cNvSpPr txBox="1">
          <a:spLocks noChangeArrowheads="1"/>
        </xdr:cNvSpPr>
      </xdr:nvSpPr>
      <xdr:spPr bwMode="auto">
        <a:xfrm>
          <a:off x="9801225"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8" name="Line 7">
          <a:extLst>
            <a:ext uri="{FF2B5EF4-FFF2-40B4-BE49-F238E27FC236}">
              <a16:creationId xmlns:a16="http://schemas.microsoft.com/office/drawing/2014/main" id="{A4D07DE4-28E7-4EFB-9DFF-6A858679E43A}"/>
            </a:ext>
          </a:extLst>
        </xdr:cNvPr>
        <xdr:cNvSpPr>
          <a:spLocks noChangeShapeType="1"/>
        </xdr:cNvSpPr>
      </xdr:nvSpPr>
      <xdr:spPr bwMode="auto">
        <a:xfrm>
          <a:off x="9801225"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9" name="Text Box 8">
          <a:extLst>
            <a:ext uri="{FF2B5EF4-FFF2-40B4-BE49-F238E27FC236}">
              <a16:creationId xmlns:a16="http://schemas.microsoft.com/office/drawing/2014/main" id="{214454FA-0E20-4F28-9594-9620CD7B4C21}"/>
            </a:ext>
          </a:extLst>
        </xdr:cNvPr>
        <xdr:cNvSpPr txBox="1">
          <a:spLocks noChangeArrowheads="1"/>
        </xdr:cNvSpPr>
      </xdr:nvSpPr>
      <xdr:spPr bwMode="auto">
        <a:xfrm>
          <a:off x="9801225"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10" name="Line 9">
          <a:extLst>
            <a:ext uri="{FF2B5EF4-FFF2-40B4-BE49-F238E27FC236}">
              <a16:creationId xmlns:a16="http://schemas.microsoft.com/office/drawing/2014/main" id="{8FD40720-1D31-4151-A18E-FE9D498BC9CE}"/>
            </a:ext>
          </a:extLst>
        </xdr:cNvPr>
        <xdr:cNvSpPr>
          <a:spLocks noChangeShapeType="1"/>
        </xdr:cNvSpPr>
      </xdr:nvSpPr>
      <xdr:spPr bwMode="auto">
        <a:xfrm>
          <a:off x="9801225"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11" name="Text Box 10">
          <a:extLst>
            <a:ext uri="{FF2B5EF4-FFF2-40B4-BE49-F238E27FC236}">
              <a16:creationId xmlns:a16="http://schemas.microsoft.com/office/drawing/2014/main" id="{C81B2FBB-F9C8-4AF3-A95F-896606695B05}"/>
            </a:ext>
          </a:extLst>
        </xdr:cNvPr>
        <xdr:cNvSpPr txBox="1">
          <a:spLocks noChangeArrowheads="1"/>
        </xdr:cNvSpPr>
      </xdr:nvSpPr>
      <xdr:spPr bwMode="auto">
        <a:xfrm>
          <a:off x="9801225"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12" name="Line 11">
          <a:extLst>
            <a:ext uri="{FF2B5EF4-FFF2-40B4-BE49-F238E27FC236}">
              <a16:creationId xmlns:a16="http://schemas.microsoft.com/office/drawing/2014/main" id="{011F3DDB-49DE-42DC-9818-3609D4C94D65}"/>
            </a:ext>
          </a:extLst>
        </xdr:cNvPr>
        <xdr:cNvSpPr>
          <a:spLocks noChangeShapeType="1"/>
        </xdr:cNvSpPr>
      </xdr:nvSpPr>
      <xdr:spPr bwMode="auto">
        <a:xfrm>
          <a:off x="9801225"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13" name="Text Box 12">
          <a:extLst>
            <a:ext uri="{FF2B5EF4-FFF2-40B4-BE49-F238E27FC236}">
              <a16:creationId xmlns:a16="http://schemas.microsoft.com/office/drawing/2014/main" id="{5F071630-9FFC-44A7-AFA7-9B1A0A9E36E9}"/>
            </a:ext>
          </a:extLst>
        </xdr:cNvPr>
        <xdr:cNvSpPr txBox="1">
          <a:spLocks noChangeArrowheads="1"/>
        </xdr:cNvSpPr>
      </xdr:nvSpPr>
      <xdr:spPr bwMode="auto">
        <a:xfrm>
          <a:off x="9801225"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14" name="Line 13">
          <a:extLst>
            <a:ext uri="{FF2B5EF4-FFF2-40B4-BE49-F238E27FC236}">
              <a16:creationId xmlns:a16="http://schemas.microsoft.com/office/drawing/2014/main" id="{AA0E4C1D-0890-4CF7-AE79-ABBD62A57342}"/>
            </a:ext>
          </a:extLst>
        </xdr:cNvPr>
        <xdr:cNvSpPr>
          <a:spLocks noChangeShapeType="1"/>
        </xdr:cNvSpPr>
      </xdr:nvSpPr>
      <xdr:spPr bwMode="auto">
        <a:xfrm>
          <a:off x="9801225"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15" name="Text Box 14">
          <a:extLst>
            <a:ext uri="{FF2B5EF4-FFF2-40B4-BE49-F238E27FC236}">
              <a16:creationId xmlns:a16="http://schemas.microsoft.com/office/drawing/2014/main" id="{F3DDAC70-9703-47C0-BA22-99085102007F}"/>
            </a:ext>
          </a:extLst>
        </xdr:cNvPr>
        <xdr:cNvSpPr txBox="1">
          <a:spLocks noChangeArrowheads="1"/>
        </xdr:cNvSpPr>
      </xdr:nvSpPr>
      <xdr:spPr bwMode="auto">
        <a:xfrm>
          <a:off x="9801225"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16" name="Line 15">
          <a:extLst>
            <a:ext uri="{FF2B5EF4-FFF2-40B4-BE49-F238E27FC236}">
              <a16:creationId xmlns:a16="http://schemas.microsoft.com/office/drawing/2014/main" id="{132EC354-0F5E-4640-9667-047F2D843B53}"/>
            </a:ext>
          </a:extLst>
        </xdr:cNvPr>
        <xdr:cNvSpPr>
          <a:spLocks noChangeShapeType="1"/>
        </xdr:cNvSpPr>
      </xdr:nvSpPr>
      <xdr:spPr bwMode="auto">
        <a:xfrm>
          <a:off x="9801225"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17" name="Text Box 16">
          <a:extLst>
            <a:ext uri="{FF2B5EF4-FFF2-40B4-BE49-F238E27FC236}">
              <a16:creationId xmlns:a16="http://schemas.microsoft.com/office/drawing/2014/main" id="{FB70E79C-3C39-4D9A-AB4D-11ACBD8CA383}"/>
            </a:ext>
          </a:extLst>
        </xdr:cNvPr>
        <xdr:cNvSpPr txBox="1">
          <a:spLocks noChangeArrowheads="1"/>
        </xdr:cNvSpPr>
      </xdr:nvSpPr>
      <xdr:spPr bwMode="auto">
        <a:xfrm>
          <a:off x="9801225"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18" name="Line 17">
          <a:extLst>
            <a:ext uri="{FF2B5EF4-FFF2-40B4-BE49-F238E27FC236}">
              <a16:creationId xmlns:a16="http://schemas.microsoft.com/office/drawing/2014/main" id="{C7E58B76-419A-4F0B-9837-50E3570CBD29}"/>
            </a:ext>
          </a:extLst>
        </xdr:cNvPr>
        <xdr:cNvSpPr>
          <a:spLocks noChangeShapeType="1"/>
        </xdr:cNvSpPr>
      </xdr:nvSpPr>
      <xdr:spPr bwMode="auto">
        <a:xfrm>
          <a:off x="9801225"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19" name="Text Box 18">
          <a:extLst>
            <a:ext uri="{FF2B5EF4-FFF2-40B4-BE49-F238E27FC236}">
              <a16:creationId xmlns:a16="http://schemas.microsoft.com/office/drawing/2014/main" id="{92A6733D-AB51-4B96-8C0E-BA1987D5254A}"/>
            </a:ext>
          </a:extLst>
        </xdr:cNvPr>
        <xdr:cNvSpPr txBox="1">
          <a:spLocks noChangeArrowheads="1"/>
        </xdr:cNvSpPr>
      </xdr:nvSpPr>
      <xdr:spPr bwMode="auto">
        <a:xfrm>
          <a:off x="9801225"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20" name="Line 19">
          <a:extLst>
            <a:ext uri="{FF2B5EF4-FFF2-40B4-BE49-F238E27FC236}">
              <a16:creationId xmlns:a16="http://schemas.microsoft.com/office/drawing/2014/main" id="{D1419F93-175C-4D93-B769-6A87BAE70C95}"/>
            </a:ext>
          </a:extLst>
        </xdr:cNvPr>
        <xdr:cNvSpPr>
          <a:spLocks noChangeShapeType="1"/>
        </xdr:cNvSpPr>
      </xdr:nvSpPr>
      <xdr:spPr bwMode="auto">
        <a:xfrm>
          <a:off x="9801225"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21" name="Text Box 20">
          <a:extLst>
            <a:ext uri="{FF2B5EF4-FFF2-40B4-BE49-F238E27FC236}">
              <a16:creationId xmlns:a16="http://schemas.microsoft.com/office/drawing/2014/main" id="{52C73269-B125-4165-A79E-D1B18A05C0BF}"/>
            </a:ext>
          </a:extLst>
        </xdr:cNvPr>
        <xdr:cNvSpPr txBox="1">
          <a:spLocks noChangeArrowheads="1"/>
        </xdr:cNvSpPr>
      </xdr:nvSpPr>
      <xdr:spPr bwMode="auto">
        <a:xfrm>
          <a:off x="9801225"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22" name="Line 21">
          <a:extLst>
            <a:ext uri="{FF2B5EF4-FFF2-40B4-BE49-F238E27FC236}">
              <a16:creationId xmlns:a16="http://schemas.microsoft.com/office/drawing/2014/main" id="{D9B7A35C-1038-4966-B177-E8B98D2AE50B}"/>
            </a:ext>
          </a:extLst>
        </xdr:cNvPr>
        <xdr:cNvSpPr>
          <a:spLocks noChangeShapeType="1"/>
        </xdr:cNvSpPr>
      </xdr:nvSpPr>
      <xdr:spPr bwMode="auto">
        <a:xfrm>
          <a:off x="9801225"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23" name="Text Box 22">
          <a:extLst>
            <a:ext uri="{FF2B5EF4-FFF2-40B4-BE49-F238E27FC236}">
              <a16:creationId xmlns:a16="http://schemas.microsoft.com/office/drawing/2014/main" id="{28C4385C-C06E-40C1-9600-30B36B96326E}"/>
            </a:ext>
          </a:extLst>
        </xdr:cNvPr>
        <xdr:cNvSpPr txBox="1">
          <a:spLocks noChangeArrowheads="1"/>
        </xdr:cNvSpPr>
      </xdr:nvSpPr>
      <xdr:spPr bwMode="auto">
        <a:xfrm>
          <a:off x="9801225"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24" name="Line 23">
          <a:extLst>
            <a:ext uri="{FF2B5EF4-FFF2-40B4-BE49-F238E27FC236}">
              <a16:creationId xmlns:a16="http://schemas.microsoft.com/office/drawing/2014/main" id="{E1303A26-2440-4D44-ACC9-05056C1F5399}"/>
            </a:ext>
          </a:extLst>
        </xdr:cNvPr>
        <xdr:cNvSpPr>
          <a:spLocks noChangeShapeType="1"/>
        </xdr:cNvSpPr>
      </xdr:nvSpPr>
      <xdr:spPr bwMode="auto">
        <a:xfrm>
          <a:off x="9801225"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25" name="Text Box 24">
          <a:extLst>
            <a:ext uri="{FF2B5EF4-FFF2-40B4-BE49-F238E27FC236}">
              <a16:creationId xmlns:a16="http://schemas.microsoft.com/office/drawing/2014/main" id="{82849BC6-D413-4D01-9ADF-A1DE6A99ECD9}"/>
            </a:ext>
          </a:extLst>
        </xdr:cNvPr>
        <xdr:cNvSpPr txBox="1">
          <a:spLocks noChangeArrowheads="1"/>
        </xdr:cNvSpPr>
      </xdr:nvSpPr>
      <xdr:spPr bwMode="auto">
        <a:xfrm>
          <a:off x="9801225"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26" name="Line 25">
          <a:extLst>
            <a:ext uri="{FF2B5EF4-FFF2-40B4-BE49-F238E27FC236}">
              <a16:creationId xmlns:a16="http://schemas.microsoft.com/office/drawing/2014/main" id="{8FD1D6A8-5046-45E5-937D-A86E7B39859E}"/>
            </a:ext>
          </a:extLst>
        </xdr:cNvPr>
        <xdr:cNvSpPr>
          <a:spLocks noChangeShapeType="1"/>
        </xdr:cNvSpPr>
      </xdr:nvSpPr>
      <xdr:spPr bwMode="auto">
        <a:xfrm>
          <a:off x="9801225"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27" name="Text Box 26">
          <a:extLst>
            <a:ext uri="{FF2B5EF4-FFF2-40B4-BE49-F238E27FC236}">
              <a16:creationId xmlns:a16="http://schemas.microsoft.com/office/drawing/2014/main" id="{61808F86-3580-4786-9E3F-C352435673EE}"/>
            </a:ext>
          </a:extLst>
        </xdr:cNvPr>
        <xdr:cNvSpPr txBox="1">
          <a:spLocks noChangeArrowheads="1"/>
        </xdr:cNvSpPr>
      </xdr:nvSpPr>
      <xdr:spPr bwMode="auto">
        <a:xfrm>
          <a:off x="9801225"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28" name="Line 27">
          <a:extLst>
            <a:ext uri="{FF2B5EF4-FFF2-40B4-BE49-F238E27FC236}">
              <a16:creationId xmlns:a16="http://schemas.microsoft.com/office/drawing/2014/main" id="{4CA63E70-8E1C-47C1-83DF-F5DB546C7F92}"/>
            </a:ext>
          </a:extLst>
        </xdr:cNvPr>
        <xdr:cNvSpPr>
          <a:spLocks noChangeShapeType="1"/>
        </xdr:cNvSpPr>
      </xdr:nvSpPr>
      <xdr:spPr bwMode="auto">
        <a:xfrm>
          <a:off x="9801225"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29" name="Text Box 28">
          <a:extLst>
            <a:ext uri="{FF2B5EF4-FFF2-40B4-BE49-F238E27FC236}">
              <a16:creationId xmlns:a16="http://schemas.microsoft.com/office/drawing/2014/main" id="{DC2961AD-E02C-4792-8005-48E7F24990AB}"/>
            </a:ext>
          </a:extLst>
        </xdr:cNvPr>
        <xdr:cNvSpPr txBox="1">
          <a:spLocks noChangeArrowheads="1"/>
        </xdr:cNvSpPr>
      </xdr:nvSpPr>
      <xdr:spPr bwMode="auto">
        <a:xfrm>
          <a:off x="9801225"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30" name="Line 1">
          <a:extLst>
            <a:ext uri="{FF2B5EF4-FFF2-40B4-BE49-F238E27FC236}">
              <a16:creationId xmlns:a16="http://schemas.microsoft.com/office/drawing/2014/main" id="{9DEE08F1-7427-4D12-82E8-71D1100BC77B}"/>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31" name="Text Box 2">
          <a:extLst>
            <a:ext uri="{FF2B5EF4-FFF2-40B4-BE49-F238E27FC236}">
              <a16:creationId xmlns:a16="http://schemas.microsoft.com/office/drawing/2014/main" id="{E01414C6-9751-406B-AA6F-627B5A724ACC}"/>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32" name="Line 3">
          <a:extLst>
            <a:ext uri="{FF2B5EF4-FFF2-40B4-BE49-F238E27FC236}">
              <a16:creationId xmlns:a16="http://schemas.microsoft.com/office/drawing/2014/main" id="{884388C4-AFD2-4A94-A524-4EDBC3A096D1}"/>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33" name="Text Box 4">
          <a:extLst>
            <a:ext uri="{FF2B5EF4-FFF2-40B4-BE49-F238E27FC236}">
              <a16:creationId xmlns:a16="http://schemas.microsoft.com/office/drawing/2014/main" id="{A7108A6B-B50E-4654-A2E5-4A0FF65829C5}"/>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34" name="Line 5">
          <a:extLst>
            <a:ext uri="{FF2B5EF4-FFF2-40B4-BE49-F238E27FC236}">
              <a16:creationId xmlns:a16="http://schemas.microsoft.com/office/drawing/2014/main" id="{EB450DE1-FDE6-4B27-811A-BCA3656902FC}"/>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35" name="Text Box 6">
          <a:extLst>
            <a:ext uri="{FF2B5EF4-FFF2-40B4-BE49-F238E27FC236}">
              <a16:creationId xmlns:a16="http://schemas.microsoft.com/office/drawing/2014/main" id="{C1DACEFC-562A-4909-ACB7-EC0D86FD0151}"/>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36" name="Line 7">
          <a:extLst>
            <a:ext uri="{FF2B5EF4-FFF2-40B4-BE49-F238E27FC236}">
              <a16:creationId xmlns:a16="http://schemas.microsoft.com/office/drawing/2014/main" id="{1B02D13C-DA4B-4FB9-ADA2-083B4CE68F9B}"/>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37" name="Text Box 8">
          <a:extLst>
            <a:ext uri="{FF2B5EF4-FFF2-40B4-BE49-F238E27FC236}">
              <a16:creationId xmlns:a16="http://schemas.microsoft.com/office/drawing/2014/main" id="{A2BF29B1-0750-4246-AD0A-3F29B461DA82}"/>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38" name="Line 9">
          <a:extLst>
            <a:ext uri="{FF2B5EF4-FFF2-40B4-BE49-F238E27FC236}">
              <a16:creationId xmlns:a16="http://schemas.microsoft.com/office/drawing/2014/main" id="{9CC0404D-C221-431F-8828-F820CB62975F}"/>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39" name="Text Box 10">
          <a:extLst>
            <a:ext uri="{FF2B5EF4-FFF2-40B4-BE49-F238E27FC236}">
              <a16:creationId xmlns:a16="http://schemas.microsoft.com/office/drawing/2014/main" id="{9A84776C-246F-444C-8A8D-93DA62BBF178}"/>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40" name="Line 11">
          <a:extLst>
            <a:ext uri="{FF2B5EF4-FFF2-40B4-BE49-F238E27FC236}">
              <a16:creationId xmlns:a16="http://schemas.microsoft.com/office/drawing/2014/main" id="{EF0EA45E-3E58-490A-A1F0-A1A7CF20B3A1}"/>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41" name="Text Box 12">
          <a:extLst>
            <a:ext uri="{FF2B5EF4-FFF2-40B4-BE49-F238E27FC236}">
              <a16:creationId xmlns:a16="http://schemas.microsoft.com/office/drawing/2014/main" id="{683E30E9-0DD3-47FB-B7F4-2FDF9AA895CD}"/>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42" name="Line 13">
          <a:extLst>
            <a:ext uri="{FF2B5EF4-FFF2-40B4-BE49-F238E27FC236}">
              <a16:creationId xmlns:a16="http://schemas.microsoft.com/office/drawing/2014/main" id="{CB65EDB8-85BC-4149-9ECE-EE20D20546A4}"/>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43" name="Text Box 14">
          <a:extLst>
            <a:ext uri="{FF2B5EF4-FFF2-40B4-BE49-F238E27FC236}">
              <a16:creationId xmlns:a16="http://schemas.microsoft.com/office/drawing/2014/main" id="{E288E16C-5757-4727-82CB-FEDD85D833D6}"/>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44" name="Line 15">
          <a:extLst>
            <a:ext uri="{FF2B5EF4-FFF2-40B4-BE49-F238E27FC236}">
              <a16:creationId xmlns:a16="http://schemas.microsoft.com/office/drawing/2014/main" id="{ECF85ECF-C972-4A76-9025-38BC11C53CF5}"/>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45" name="Text Box 16">
          <a:extLst>
            <a:ext uri="{FF2B5EF4-FFF2-40B4-BE49-F238E27FC236}">
              <a16:creationId xmlns:a16="http://schemas.microsoft.com/office/drawing/2014/main" id="{96E22CA8-C1C6-45DB-8CFA-8C966E7BE477}"/>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46" name="Line 17">
          <a:extLst>
            <a:ext uri="{FF2B5EF4-FFF2-40B4-BE49-F238E27FC236}">
              <a16:creationId xmlns:a16="http://schemas.microsoft.com/office/drawing/2014/main" id="{531CB3FC-751A-4067-A6A1-687D42F575BD}"/>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47" name="Text Box 18">
          <a:extLst>
            <a:ext uri="{FF2B5EF4-FFF2-40B4-BE49-F238E27FC236}">
              <a16:creationId xmlns:a16="http://schemas.microsoft.com/office/drawing/2014/main" id="{BDD22785-E7D1-4BCE-9C8B-1061BF436652}"/>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48" name="Line 19">
          <a:extLst>
            <a:ext uri="{FF2B5EF4-FFF2-40B4-BE49-F238E27FC236}">
              <a16:creationId xmlns:a16="http://schemas.microsoft.com/office/drawing/2014/main" id="{84933E21-21D6-460A-AF3F-00390CF739C4}"/>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49" name="Text Box 20">
          <a:extLst>
            <a:ext uri="{FF2B5EF4-FFF2-40B4-BE49-F238E27FC236}">
              <a16:creationId xmlns:a16="http://schemas.microsoft.com/office/drawing/2014/main" id="{C2033B4A-5940-480D-923E-0875285C291A}"/>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50" name="Line 21">
          <a:extLst>
            <a:ext uri="{FF2B5EF4-FFF2-40B4-BE49-F238E27FC236}">
              <a16:creationId xmlns:a16="http://schemas.microsoft.com/office/drawing/2014/main" id="{F633D783-3BAA-41C9-A63E-C34EAAD8E06F}"/>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51" name="Text Box 22">
          <a:extLst>
            <a:ext uri="{FF2B5EF4-FFF2-40B4-BE49-F238E27FC236}">
              <a16:creationId xmlns:a16="http://schemas.microsoft.com/office/drawing/2014/main" id="{0FEE41C4-28DF-4CBF-8310-F4C9672B5C54}"/>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52" name="Line 23">
          <a:extLst>
            <a:ext uri="{FF2B5EF4-FFF2-40B4-BE49-F238E27FC236}">
              <a16:creationId xmlns:a16="http://schemas.microsoft.com/office/drawing/2014/main" id="{62701FFB-2C2C-4E2E-80E6-3947A7D1B4B6}"/>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53" name="Text Box 24">
          <a:extLst>
            <a:ext uri="{FF2B5EF4-FFF2-40B4-BE49-F238E27FC236}">
              <a16:creationId xmlns:a16="http://schemas.microsoft.com/office/drawing/2014/main" id="{350E635E-7E8B-455B-A196-0219DAF60A2C}"/>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54" name="Line 25">
          <a:extLst>
            <a:ext uri="{FF2B5EF4-FFF2-40B4-BE49-F238E27FC236}">
              <a16:creationId xmlns:a16="http://schemas.microsoft.com/office/drawing/2014/main" id="{DD601EC1-2AFD-4581-8149-E6F3BD6A82FD}"/>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55" name="Text Box 26">
          <a:extLst>
            <a:ext uri="{FF2B5EF4-FFF2-40B4-BE49-F238E27FC236}">
              <a16:creationId xmlns:a16="http://schemas.microsoft.com/office/drawing/2014/main" id="{E65F19CE-8E0D-48DB-9438-52C4DE1D72ED}"/>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56" name="Line 27">
          <a:extLst>
            <a:ext uri="{FF2B5EF4-FFF2-40B4-BE49-F238E27FC236}">
              <a16:creationId xmlns:a16="http://schemas.microsoft.com/office/drawing/2014/main" id="{7B22C899-CB2B-4073-8C26-CDC89A624B5D}"/>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57" name="Text Box 28">
          <a:extLst>
            <a:ext uri="{FF2B5EF4-FFF2-40B4-BE49-F238E27FC236}">
              <a16:creationId xmlns:a16="http://schemas.microsoft.com/office/drawing/2014/main" id="{3A511F44-37D5-4E5E-B8EA-465A8897DDF8}"/>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44</xdr:row>
      <xdr:rowOff>0</xdr:rowOff>
    </xdr:from>
    <xdr:to>
      <xdr:col>8</xdr:col>
      <xdr:colOff>0</xdr:colOff>
      <xdr:row>44</xdr:row>
      <xdr:rowOff>0</xdr:rowOff>
    </xdr:to>
    <xdr:sp macro="" textlink="">
      <xdr:nvSpPr>
        <xdr:cNvPr id="58" name="Line 1">
          <a:extLst>
            <a:ext uri="{FF2B5EF4-FFF2-40B4-BE49-F238E27FC236}">
              <a16:creationId xmlns:a16="http://schemas.microsoft.com/office/drawing/2014/main" id="{1F79AC19-2A00-468E-AED3-7DE5669DA7AA}"/>
            </a:ext>
          </a:extLst>
        </xdr:cNvPr>
        <xdr:cNvSpPr>
          <a:spLocks noChangeShapeType="1"/>
        </xdr:cNvSpPr>
      </xdr:nvSpPr>
      <xdr:spPr bwMode="auto">
        <a:xfrm>
          <a:off x="9801225" y="16764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44</xdr:row>
      <xdr:rowOff>0</xdr:rowOff>
    </xdr:from>
    <xdr:to>
      <xdr:col>8</xdr:col>
      <xdr:colOff>0</xdr:colOff>
      <xdr:row>44</xdr:row>
      <xdr:rowOff>0</xdr:rowOff>
    </xdr:to>
    <xdr:sp macro="" textlink="">
      <xdr:nvSpPr>
        <xdr:cNvPr id="59" name="Text Box 2">
          <a:extLst>
            <a:ext uri="{FF2B5EF4-FFF2-40B4-BE49-F238E27FC236}">
              <a16:creationId xmlns:a16="http://schemas.microsoft.com/office/drawing/2014/main" id="{8987460F-BB61-4576-96B7-1044A0B1A18E}"/>
            </a:ext>
          </a:extLst>
        </xdr:cNvPr>
        <xdr:cNvSpPr txBox="1">
          <a:spLocks noChangeArrowheads="1"/>
        </xdr:cNvSpPr>
      </xdr:nvSpPr>
      <xdr:spPr bwMode="auto">
        <a:xfrm>
          <a:off x="9801225" y="16764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44</xdr:row>
      <xdr:rowOff>0</xdr:rowOff>
    </xdr:from>
    <xdr:to>
      <xdr:col>8</xdr:col>
      <xdr:colOff>0</xdr:colOff>
      <xdr:row>44</xdr:row>
      <xdr:rowOff>0</xdr:rowOff>
    </xdr:to>
    <xdr:sp macro="" textlink="">
      <xdr:nvSpPr>
        <xdr:cNvPr id="60" name="Line 3">
          <a:extLst>
            <a:ext uri="{FF2B5EF4-FFF2-40B4-BE49-F238E27FC236}">
              <a16:creationId xmlns:a16="http://schemas.microsoft.com/office/drawing/2014/main" id="{20651CC4-222E-465E-B147-5531EFD717D5}"/>
            </a:ext>
          </a:extLst>
        </xdr:cNvPr>
        <xdr:cNvSpPr>
          <a:spLocks noChangeShapeType="1"/>
        </xdr:cNvSpPr>
      </xdr:nvSpPr>
      <xdr:spPr bwMode="auto">
        <a:xfrm>
          <a:off x="9801225" y="16764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44</xdr:row>
      <xdr:rowOff>0</xdr:rowOff>
    </xdr:from>
    <xdr:to>
      <xdr:col>8</xdr:col>
      <xdr:colOff>0</xdr:colOff>
      <xdr:row>44</xdr:row>
      <xdr:rowOff>0</xdr:rowOff>
    </xdr:to>
    <xdr:sp macro="" textlink="">
      <xdr:nvSpPr>
        <xdr:cNvPr id="61" name="Text Box 4">
          <a:extLst>
            <a:ext uri="{FF2B5EF4-FFF2-40B4-BE49-F238E27FC236}">
              <a16:creationId xmlns:a16="http://schemas.microsoft.com/office/drawing/2014/main" id="{1B9BCD5A-BC4B-4395-BC14-F8322358F122}"/>
            </a:ext>
          </a:extLst>
        </xdr:cNvPr>
        <xdr:cNvSpPr txBox="1">
          <a:spLocks noChangeArrowheads="1"/>
        </xdr:cNvSpPr>
      </xdr:nvSpPr>
      <xdr:spPr bwMode="auto">
        <a:xfrm>
          <a:off x="9801225" y="16764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44</xdr:row>
      <xdr:rowOff>0</xdr:rowOff>
    </xdr:from>
    <xdr:to>
      <xdr:col>8</xdr:col>
      <xdr:colOff>0</xdr:colOff>
      <xdr:row>44</xdr:row>
      <xdr:rowOff>0</xdr:rowOff>
    </xdr:to>
    <xdr:sp macro="" textlink="">
      <xdr:nvSpPr>
        <xdr:cNvPr id="62" name="Line 5">
          <a:extLst>
            <a:ext uri="{FF2B5EF4-FFF2-40B4-BE49-F238E27FC236}">
              <a16:creationId xmlns:a16="http://schemas.microsoft.com/office/drawing/2014/main" id="{DA1789AD-DAAF-48AB-974F-88E4E2F4DA16}"/>
            </a:ext>
          </a:extLst>
        </xdr:cNvPr>
        <xdr:cNvSpPr>
          <a:spLocks noChangeShapeType="1"/>
        </xdr:cNvSpPr>
      </xdr:nvSpPr>
      <xdr:spPr bwMode="auto">
        <a:xfrm>
          <a:off x="9801225" y="16764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44</xdr:row>
      <xdr:rowOff>0</xdr:rowOff>
    </xdr:from>
    <xdr:to>
      <xdr:col>8</xdr:col>
      <xdr:colOff>0</xdr:colOff>
      <xdr:row>44</xdr:row>
      <xdr:rowOff>0</xdr:rowOff>
    </xdr:to>
    <xdr:sp macro="" textlink="">
      <xdr:nvSpPr>
        <xdr:cNvPr id="63" name="Text Box 6">
          <a:extLst>
            <a:ext uri="{FF2B5EF4-FFF2-40B4-BE49-F238E27FC236}">
              <a16:creationId xmlns:a16="http://schemas.microsoft.com/office/drawing/2014/main" id="{053DE486-0933-48F1-AC83-2A2F115E0641}"/>
            </a:ext>
          </a:extLst>
        </xdr:cNvPr>
        <xdr:cNvSpPr txBox="1">
          <a:spLocks noChangeArrowheads="1"/>
        </xdr:cNvSpPr>
      </xdr:nvSpPr>
      <xdr:spPr bwMode="auto">
        <a:xfrm>
          <a:off x="9801225" y="16764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44</xdr:row>
      <xdr:rowOff>0</xdr:rowOff>
    </xdr:from>
    <xdr:to>
      <xdr:col>8</xdr:col>
      <xdr:colOff>0</xdr:colOff>
      <xdr:row>44</xdr:row>
      <xdr:rowOff>0</xdr:rowOff>
    </xdr:to>
    <xdr:sp macro="" textlink="">
      <xdr:nvSpPr>
        <xdr:cNvPr id="64" name="Line 7">
          <a:extLst>
            <a:ext uri="{FF2B5EF4-FFF2-40B4-BE49-F238E27FC236}">
              <a16:creationId xmlns:a16="http://schemas.microsoft.com/office/drawing/2014/main" id="{FD9AF820-5BAB-47FF-8684-A9E5019A7546}"/>
            </a:ext>
          </a:extLst>
        </xdr:cNvPr>
        <xdr:cNvSpPr>
          <a:spLocks noChangeShapeType="1"/>
        </xdr:cNvSpPr>
      </xdr:nvSpPr>
      <xdr:spPr bwMode="auto">
        <a:xfrm>
          <a:off x="9801225" y="16764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44</xdr:row>
      <xdr:rowOff>0</xdr:rowOff>
    </xdr:from>
    <xdr:to>
      <xdr:col>8</xdr:col>
      <xdr:colOff>0</xdr:colOff>
      <xdr:row>44</xdr:row>
      <xdr:rowOff>0</xdr:rowOff>
    </xdr:to>
    <xdr:sp macro="" textlink="">
      <xdr:nvSpPr>
        <xdr:cNvPr id="65" name="Text Box 8">
          <a:extLst>
            <a:ext uri="{FF2B5EF4-FFF2-40B4-BE49-F238E27FC236}">
              <a16:creationId xmlns:a16="http://schemas.microsoft.com/office/drawing/2014/main" id="{CB3A4022-7A2F-436C-8E65-68084F3D6A1C}"/>
            </a:ext>
          </a:extLst>
        </xdr:cNvPr>
        <xdr:cNvSpPr txBox="1">
          <a:spLocks noChangeArrowheads="1"/>
        </xdr:cNvSpPr>
      </xdr:nvSpPr>
      <xdr:spPr bwMode="auto">
        <a:xfrm>
          <a:off x="9801225" y="16764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44</xdr:row>
      <xdr:rowOff>0</xdr:rowOff>
    </xdr:from>
    <xdr:to>
      <xdr:col>8</xdr:col>
      <xdr:colOff>0</xdr:colOff>
      <xdr:row>44</xdr:row>
      <xdr:rowOff>0</xdr:rowOff>
    </xdr:to>
    <xdr:sp macro="" textlink="">
      <xdr:nvSpPr>
        <xdr:cNvPr id="66" name="Line 9">
          <a:extLst>
            <a:ext uri="{FF2B5EF4-FFF2-40B4-BE49-F238E27FC236}">
              <a16:creationId xmlns:a16="http://schemas.microsoft.com/office/drawing/2014/main" id="{FD7EBA18-5CC6-44C5-8FF6-5D6899C74C0C}"/>
            </a:ext>
          </a:extLst>
        </xdr:cNvPr>
        <xdr:cNvSpPr>
          <a:spLocks noChangeShapeType="1"/>
        </xdr:cNvSpPr>
      </xdr:nvSpPr>
      <xdr:spPr bwMode="auto">
        <a:xfrm>
          <a:off x="9801225" y="16764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44</xdr:row>
      <xdr:rowOff>0</xdr:rowOff>
    </xdr:from>
    <xdr:to>
      <xdr:col>8</xdr:col>
      <xdr:colOff>0</xdr:colOff>
      <xdr:row>44</xdr:row>
      <xdr:rowOff>0</xdr:rowOff>
    </xdr:to>
    <xdr:sp macro="" textlink="">
      <xdr:nvSpPr>
        <xdr:cNvPr id="67" name="Text Box 10">
          <a:extLst>
            <a:ext uri="{FF2B5EF4-FFF2-40B4-BE49-F238E27FC236}">
              <a16:creationId xmlns:a16="http://schemas.microsoft.com/office/drawing/2014/main" id="{AE48AA23-BA14-4CF2-BF24-6029CA7DD064}"/>
            </a:ext>
          </a:extLst>
        </xdr:cNvPr>
        <xdr:cNvSpPr txBox="1">
          <a:spLocks noChangeArrowheads="1"/>
        </xdr:cNvSpPr>
      </xdr:nvSpPr>
      <xdr:spPr bwMode="auto">
        <a:xfrm>
          <a:off x="9801225" y="16764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44</xdr:row>
      <xdr:rowOff>0</xdr:rowOff>
    </xdr:from>
    <xdr:to>
      <xdr:col>8</xdr:col>
      <xdr:colOff>0</xdr:colOff>
      <xdr:row>44</xdr:row>
      <xdr:rowOff>0</xdr:rowOff>
    </xdr:to>
    <xdr:sp macro="" textlink="">
      <xdr:nvSpPr>
        <xdr:cNvPr id="68" name="Line 11">
          <a:extLst>
            <a:ext uri="{FF2B5EF4-FFF2-40B4-BE49-F238E27FC236}">
              <a16:creationId xmlns:a16="http://schemas.microsoft.com/office/drawing/2014/main" id="{B542605B-532A-4220-A919-915339771815}"/>
            </a:ext>
          </a:extLst>
        </xdr:cNvPr>
        <xdr:cNvSpPr>
          <a:spLocks noChangeShapeType="1"/>
        </xdr:cNvSpPr>
      </xdr:nvSpPr>
      <xdr:spPr bwMode="auto">
        <a:xfrm>
          <a:off x="9801225" y="16764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44</xdr:row>
      <xdr:rowOff>0</xdr:rowOff>
    </xdr:from>
    <xdr:to>
      <xdr:col>8</xdr:col>
      <xdr:colOff>0</xdr:colOff>
      <xdr:row>44</xdr:row>
      <xdr:rowOff>0</xdr:rowOff>
    </xdr:to>
    <xdr:sp macro="" textlink="">
      <xdr:nvSpPr>
        <xdr:cNvPr id="69" name="Text Box 12">
          <a:extLst>
            <a:ext uri="{FF2B5EF4-FFF2-40B4-BE49-F238E27FC236}">
              <a16:creationId xmlns:a16="http://schemas.microsoft.com/office/drawing/2014/main" id="{5C36A7C5-2DC4-49AA-9FB4-52B9C1FE4A72}"/>
            </a:ext>
          </a:extLst>
        </xdr:cNvPr>
        <xdr:cNvSpPr txBox="1">
          <a:spLocks noChangeArrowheads="1"/>
        </xdr:cNvSpPr>
      </xdr:nvSpPr>
      <xdr:spPr bwMode="auto">
        <a:xfrm>
          <a:off x="9801225" y="16764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44</xdr:row>
      <xdr:rowOff>0</xdr:rowOff>
    </xdr:from>
    <xdr:to>
      <xdr:col>8</xdr:col>
      <xdr:colOff>0</xdr:colOff>
      <xdr:row>44</xdr:row>
      <xdr:rowOff>0</xdr:rowOff>
    </xdr:to>
    <xdr:sp macro="" textlink="">
      <xdr:nvSpPr>
        <xdr:cNvPr id="70" name="Line 13">
          <a:extLst>
            <a:ext uri="{FF2B5EF4-FFF2-40B4-BE49-F238E27FC236}">
              <a16:creationId xmlns:a16="http://schemas.microsoft.com/office/drawing/2014/main" id="{828ADB92-AF3B-4C10-BE53-A0E4C72DDFC9}"/>
            </a:ext>
          </a:extLst>
        </xdr:cNvPr>
        <xdr:cNvSpPr>
          <a:spLocks noChangeShapeType="1"/>
        </xdr:cNvSpPr>
      </xdr:nvSpPr>
      <xdr:spPr bwMode="auto">
        <a:xfrm>
          <a:off x="9801225" y="16764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44</xdr:row>
      <xdr:rowOff>0</xdr:rowOff>
    </xdr:from>
    <xdr:to>
      <xdr:col>8</xdr:col>
      <xdr:colOff>0</xdr:colOff>
      <xdr:row>44</xdr:row>
      <xdr:rowOff>0</xdr:rowOff>
    </xdr:to>
    <xdr:sp macro="" textlink="">
      <xdr:nvSpPr>
        <xdr:cNvPr id="71" name="Text Box 14">
          <a:extLst>
            <a:ext uri="{FF2B5EF4-FFF2-40B4-BE49-F238E27FC236}">
              <a16:creationId xmlns:a16="http://schemas.microsoft.com/office/drawing/2014/main" id="{080831CA-B836-4AFF-8C4B-66801318E065}"/>
            </a:ext>
          </a:extLst>
        </xdr:cNvPr>
        <xdr:cNvSpPr txBox="1">
          <a:spLocks noChangeArrowheads="1"/>
        </xdr:cNvSpPr>
      </xdr:nvSpPr>
      <xdr:spPr bwMode="auto">
        <a:xfrm>
          <a:off x="9801225" y="16764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44</xdr:row>
      <xdr:rowOff>0</xdr:rowOff>
    </xdr:from>
    <xdr:to>
      <xdr:col>8</xdr:col>
      <xdr:colOff>0</xdr:colOff>
      <xdr:row>44</xdr:row>
      <xdr:rowOff>0</xdr:rowOff>
    </xdr:to>
    <xdr:sp macro="" textlink="">
      <xdr:nvSpPr>
        <xdr:cNvPr id="72" name="Line 15">
          <a:extLst>
            <a:ext uri="{FF2B5EF4-FFF2-40B4-BE49-F238E27FC236}">
              <a16:creationId xmlns:a16="http://schemas.microsoft.com/office/drawing/2014/main" id="{2820706F-49B0-4744-9D5E-19373852A7BC}"/>
            </a:ext>
          </a:extLst>
        </xdr:cNvPr>
        <xdr:cNvSpPr>
          <a:spLocks noChangeShapeType="1"/>
        </xdr:cNvSpPr>
      </xdr:nvSpPr>
      <xdr:spPr bwMode="auto">
        <a:xfrm>
          <a:off x="9801225" y="16764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44</xdr:row>
      <xdr:rowOff>0</xdr:rowOff>
    </xdr:from>
    <xdr:to>
      <xdr:col>8</xdr:col>
      <xdr:colOff>0</xdr:colOff>
      <xdr:row>44</xdr:row>
      <xdr:rowOff>0</xdr:rowOff>
    </xdr:to>
    <xdr:sp macro="" textlink="">
      <xdr:nvSpPr>
        <xdr:cNvPr id="73" name="Text Box 16">
          <a:extLst>
            <a:ext uri="{FF2B5EF4-FFF2-40B4-BE49-F238E27FC236}">
              <a16:creationId xmlns:a16="http://schemas.microsoft.com/office/drawing/2014/main" id="{7799F7B2-A5BC-4AAE-ACF5-6AADF2C7E5BD}"/>
            </a:ext>
          </a:extLst>
        </xdr:cNvPr>
        <xdr:cNvSpPr txBox="1">
          <a:spLocks noChangeArrowheads="1"/>
        </xdr:cNvSpPr>
      </xdr:nvSpPr>
      <xdr:spPr bwMode="auto">
        <a:xfrm>
          <a:off x="9801225" y="16764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44</xdr:row>
      <xdr:rowOff>0</xdr:rowOff>
    </xdr:from>
    <xdr:to>
      <xdr:col>8</xdr:col>
      <xdr:colOff>0</xdr:colOff>
      <xdr:row>44</xdr:row>
      <xdr:rowOff>0</xdr:rowOff>
    </xdr:to>
    <xdr:sp macro="" textlink="">
      <xdr:nvSpPr>
        <xdr:cNvPr id="74" name="Line 17">
          <a:extLst>
            <a:ext uri="{FF2B5EF4-FFF2-40B4-BE49-F238E27FC236}">
              <a16:creationId xmlns:a16="http://schemas.microsoft.com/office/drawing/2014/main" id="{A612B34F-2165-49BE-A947-09987D95C0E6}"/>
            </a:ext>
          </a:extLst>
        </xdr:cNvPr>
        <xdr:cNvSpPr>
          <a:spLocks noChangeShapeType="1"/>
        </xdr:cNvSpPr>
      </xdr:nvSpPr>
      <xdr:spPr bwMode="auto">
        <a:xfrm>
          <a:off x="9801225" y="16764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44</xdr:row>
      <xdr:rowOff>0</xdr:rowOff>
    </xdr:from>
    <xdr:to>
      <xdr:col>8</xdr:col>
      <xdr:colOff>0</xdr:colOff>
      <xdr:row>44</xdr:row>
      <xdr:rowOff>0</xdr:rowOff>
    </xdr:to>
    <xdr:sp macro="" textlink="">
      <xdr:nvSpPr>
        <xdr:cNvPr id="75" name="Text Box 18">
          <a:extLst>
            <a:ext uri="{FF2B5EF4-FFF2-40B4-BE49-F238E27FC236}">
              <a16:creationId xmlns:a16="http://schemas.microsoft.com/office/drawing/2014/main" id="{8C7DE956-3155-4226-BA5B-AB632A62AF50}"/>
            </a:ext>
          </a:extLst>
        </xdr:cNvPr>
        <xdr:cNvSpPr txBox="1">
          <a:spLocks noChangeArrowheads="1"/>
        </xdr:cNvSpPr>
      </xdr:nvSpPr>
      <xdr:spPr bwMode="auto">
        <a:xfrm>
          <a:off x="9801225" y="16764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44</xdr:row>
      <xdr:rowOff>0</xdr:rowOff>
    </xdr:from>
    <xdr:to>
      <xdr:col>8</xdr:col>
      <xdr:colOff>0</xdr:colOff>
      <xdr:row>44</xdr:row>
      <xdr:rowOff>0</xdr:rowOff>
    </xdr:to>
    <xdr:sp macro="" textlink="">
      <xdr:nvSpPr>
        <xdr:cNvPr id="76" name="Line 19">
          <a:extLst>
            <a:ext uri="{FF2B5EF4-FFF2-40B4-BE49-F238E27FC236}">
              <a16:creationId xmlns:a16="http://schemas.microsoft.com/office/drawing/2014/main" id="{999EC4F3-03C4-496F-ACC6-A83E872900E6}"/>
            </a:ext>
          </a:extLst>
        </xdr:cNvPr>
        <xdr:cNvSpPr>
          <a:spLocks noChangeShapeType="1"/>
        </xdr:cNvSpPr>
      </xdr:nvSpPr>
      <xdr:spPr bwMode="auto">
        <a:xfrm>
          <a:off x="9801225" y="16764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44</xdr:row>
      <xdr:rowOff>0</xdr:rowOff>
    </xdr:from>
    <xdr:to>
      <xdr:col>8</xdr:col>
      <xdr:colOff>0</xdr:colOff>
      <xdr:row>44</xdr:row>
      <xdr:rowOff>0</xdr:rowOff>
    </xdr:to>
    <xdr:sp macro="" textlink="">
      <xdr:nvSpPr>
        <xdr:cNvPr id="77" name="Text Box 20">
          <a:extLst>
            <a:ext uri="{FF2B5EF4-FFF2-40B4-BE49-F238E27FC236}">
              <a16:creationId xmlns:a16="http://schemas.microsoft.com/office/drawing/2014/main" id="{27047523-06FC-4DB1-9FA8-C656B871F6EF}"/>
            </a:ext>
          </a:extLst>
        </xdr:cNvPr>
        <xdr:cNvSpPr txBox="1">
          <a:spLocks noChangeArrowheads="1"/>
        </xdr:cNvSpPr>
      </xdr:nvSpPr>
      <xdr:spPr bwMode="auto">
        <a:xfrm>
          <a:off x="9801225" y="16764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44</xdr:row>
      <xdr:rowOff>0</xdr:rowOff>
    </xdr:from>
    <xdr:to>
      <xdr:col>8</xdr:col>
      <xdr:colOff>0</xdr:colOff>
      <xdr:row>44</xdr:row>
      <xdr:rowOff>0</xdr:rowOff>
    </xdr:to>
    <xdr:sp macro="" textlink="">
      <xdr:nvSpPr>
        <xdr:cNvPr id="78" name="Line 21">
          <a:extLst>
            <a:ext uri="{FF2B5EF4-FFF2-40B4-BE49-F238E27FC236}">
              <a16:creationId xmlns:a16="http://schemas.microsoft.com/office/drawing/2014/main" id="{415C8994-530D-442F-80E0-F5A328AFBE78}"/>
            </a:ext>
          </a:extLst>
        </xdr:cNvPr>
        <xdr:cNvSpPr>
          <a:spLocks noChangeShapeType="1"/>
        </xdr:cNvSpPr>
      </xdr:nvSpPr>
      <xdr:spPr bwMode="auto">
        <a:xfrm>
          <a:off x="9801225" y="16764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44</xdr:row>
      <xdr:rowOff>0</xdr:rowOff>
    </xdr:from>
    <xdr:to>
      <xdr:col>8</xdr:col>
      <xdr:colOff>0</xdr:colOff>
      <xdr:row>44</xdr:row>
      <xdr:rowOff>0</xdr:rowOff>
    </xdr:to>
    <xdr:sp macro="" textlink="">
      <xdr:nvSpPr>
        <xdr:cNvPr id="79" name="Text Box 22">
          <a:extLst>
            <a:ext uri="{FF2B5EF4-FFF2-40B4-BE49-F238E27FC236}">
              <a16:creationId xmlns:a16="http://schemas.microsoft.com/office/drawing/2014/main" id="{6471E55D-F181-4C20-8EEC-213D23077F85}"/>
            </a:ext>
          </a:extLst>
        </xdr:cNvPr>
        <xdr:cNvSpPr txBox="1">
          <a:spLocks noChangeArrowheads="1"/>
        </xdr:cNvSpPr>
      </xdr:nvSpPr>
      <xdr:spPr bwMode="auto">
        <a:xfrm>
          <a:off x="9801225" y="16764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44</xdr:row>
      <xdr:rowOff>0</xdr:rowOff>
    </xdr:from>
    <xdr:to>
      <xdr:col>8</xdr:col>
      <xdr:colOff>0</xdr:colOff>
      <xdr:row>44</xdr:row>
      <xdr:rowOff>0</xdr:rowOff>
    </xdr:to>
    <xdr:sp macro="" textlink="">
      <xdr:nvSpPr>
        <xdr:cNvPr id="80" name="Line 23">
          <a:extLst>
            <a:ext uri="{FF2B5EF4-FFF2-40B4-BE49-F238E27FC236}">
              <a16:creationId xmlns:a16="http://schemas.microsoft.com/office/drawing/2014/main" id="{6C125B9B-8CDE-4659-85E6-91805442C711}"/>
            </a:ext>
          </a:extLst>
        </xdr:cNvPr>
        <xdr:cNvSpPr>
          <a:spLocks noChangeShapeType="1"/>
        </xdr:cNvSpPr>
      </xdr:nvSpPr>
      <xdr:spPr bwMode="auto">
        <a:xfrm>
          <a:off x="9801225" y="16764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44</xdr:row>
      <xdr:rowOff>0</xdr:rowOff>
    </xdr:from>
    <xdr:to>
      <xdr:col>8</xdr:col>
      <xdr:colOff>0</xdr:colOff>
      <xdr:row>44</xdr:row>
      <xdr:rowOff>0</xdr:rowOff>
    </xdr:to>
    <xdr:sp macro="" textlink="">
      <xdr:nvSpPr>
        <xdr:cNvPr id="81" name="Text Box 24">
          <a:extLst>
            <a:ext uri="{FF2B5EF4-FFF2-40B4-BE49-F238E27FC236}">
              <a16:creationId xmlns:a16="http://schemas.microsoft.com/office/drawing/2014/main" id="{8A61AE5E-1E21-4594-A704-46EF5A5805E7}"/>
            </a:ext>
          </a:extLst>
        </xdr:cNvPr>
        <xdr:cNvSpPr txBox="1">
          <a:spLocks noChangeArrowheads="1"/>
        </xdr:cNvSpPr>
      </xdr:nvSpPr>
      <xdr:spPr bwMode="auto">
        <a:xfrm>
          <a:off x="9801225" y="16764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44</xdr:row>
      <xdr:rowOff>0</xdr:rowOff>
    </xdr:from>
    <xdr:to>
      <xdr:col>8</xdr:col>
      <xdr:colOff>0</xdr:colOff>
      <xdr:row>44</xdr:row>
      <xdr:rowOff>0</xdr:rowOff>
    </xdr:to>
    <xdr:sp macro="" textlink="">
      <xdr:nvSpPr>
        <xdr:cNvPr id="82" name="Line 25">
          <a:extLst>
            <a:ext uri="{FF2B5EF4-FFF2-40B4-BE49-F238E27FC236}">
              <a16:creationId xmlns:a16="http://schemas.microsoft.com/office/drawing/2014/main" id="{DA5F4F12-958B-46D3-AF8E-84F2B83842D6}"/>
            </a:ext>
          </a:extLst>
        </xdr:cNvPr>
        <xdr:cNvSpPr>
          <a:spLocks noChangeShapeType="1"/>
        </xdr:cNvSpPr>
      </xdr:nvSpPr>
      <xdr:spPr bwMode="auto">
        <a:xfrm>
          <a:off x="9801225" y="16764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44</xdr:row>
      <xdr:rowOff>0</xdr:rowOff>
    </xdr:from>
    <xdr:to>
      <xdr:col>8</xdr:col>
      <xdr:colOff>0</xdr:colOff>
      <xdr:row>44</xdr:row>
      <xdr:rowOff>0</xdr:rowOff>
    </xdr:to>
    <xdr:sp macro="" textlink="">
      <xdr:nvSpPr>
        <xdr:cNvPr id="83" name="Text Box 26">
          <a:extLst>
            <a:ext uri="{FF2B5EF4-FFF2-40B4-BE49-F238E27FC236}">
              <a16:creationId xmlns:a16="http://schemas.microsoft.com/office/drawing/2014/main" id="{7996CE00-6011-48F0-95ED-02EB1F32432A}"/>
            </a:ext>
          </a:extLst>
        </xdr:cNvPr>
        <xdr:cNvSpPr txBox="1">
          <a:spLocks noChangeArrowheads="1"/>
        </xdr:cNvSpPr>
      </xdr:nvSpPr>
      <xdr:spPr bwMode="auto">
        <a:xfrm>
          <a:off x="9801225" y="16764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44</xdr:row>
      <xdr:rowOff>0</xdr:rowOff>
    </xdr:from>
    <xdr:to>
      <xdr:col>8</xdr:col>
      <xdr:colOff>0</xdr:colOff>
      <xdr:row>44</xdr:row>
      <xdr:rowOff>0</xdr:rowOff>
    </xdr:to>
    <xdr:sp macro="" textlink="">
      <xdr:nvSpPr>
        <xdr:cNvPr id="84" name="Line 27">
          <a:extLst>
            <a:ext uri="{FF2B5EF4-FFF2-40B4-BE49-F238E27FC236}">
              <a16:creationId xmlns:a16="http://schemas.microsoft.com/office/drawing/2014/main" id="{56C57721-9C65-4AE8-9208-CC2A0CE1D2BD}"/>
            </a:ext>
          </a:extLst>
        </xdr:cNvPr>
        <xdr:cNvSpPr>
          <a:spLocks noChangeShapeType="1"/>
        </xdr:cNvSpPr>
      </xdr:nvSpPr>
      <xdr:spPr bwMode="auto">
        <a:xfrm>
          <a:off x="9801225" y="16764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44</xdr:row>
      <xdr:rowOff>0</xdr:rowOff>
    </xdr:from>
    <xdr:to>
      <xdr:col>8</xdr:col>
      <xdr:colOff>0</xdr:colOff>
      <xdr:row>44</xdr:row>
      <xdr:rowOff>0</xdr:rowOff>
    </xdr:to>
    <xdr:sp macro="" textlink="">
      <xdr:nvSpPr>
        <xdr:cNvPr id="85" name="Text Box 28">
          <a:extLst>
            <a:ext uri="{FF2B5EF4-FFF2-40B4-BE49-F238E27FC236}">
              <a16:creationId xmlns:a16="http://schemas.microsoft.com/office/drawing/2014/main" id="{A3DBF647-0AED-42CF-99C7-B04C501BCC2E}"/>
            </a:ext>
          </a:extLst>
        </xdr:cNvPr>
        <xdr:cNvSpPr txBox="1">
          <a:spLocks noChangeArrowheads="1"/>
        </xdr:cNvSpPr>
      </xdr:nvSpPr>
      <xdr:spPr bwMode="auto">
        <a:xfrm>
          <a:off x="9801225" y="16764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86" name="Line 1">
          <a:extLst>
            <a:ext uri="{FF2B5EF4-FFF2-40B4-BE49-F238E27FC236}">
              <a16:creationId xmlns:a16="http://schemas.microsoft.com/office/drawing/2014/main" id="{E5E43F8D-3AD5-427A-9C89-75FB220CA40B}"/>
            </a:ext>
          </a:extLst>
        </xdr:cNvPr>
        <xdr:cNvSpPr>
          <a:spLocks noChangeShapeType="1"/>
        </xdr:cNvSpPr>
      </xdr:nvSpPr>
      <xdr:spPr bwMode="auto">
        <a:xfrm>
          <a:off x="9801225" y="1752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87" name="Text Box 2">
          <a:extLst>
            <a:ext uri="{FF2B5EF4-FFF2-40B4-BE49-F238E27FC236}">
              <a16:creationId xmlns:a16="http://schemas.microsoft.com/office/drawing/2014/main" id="{63684D9D-D96D-4FCF-AE67-197CC9774799}"/>
            </a:ext>
          </a:extLst>
        </xdr:cNvPr>
        <xdr:cNvSpPr txBox="1">
          <a:spLocks noChangeArrowheads="1"/>
        </xdr:cNvSpPr>
      </xdr:nvSpPr>
      <xdr:spPr bwMode="auto">
        <a:xfrm>
          <a:off x="9801225" y="17526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88" name="Line 3">
          <a:extLst>
            <a:ext uri="{FF2B5EF4-FFF2-40B4-BE49-F238E27FC236}">
              <a16:creationId xmlns:a16="http://schemas.microsoft.com/office/drawing/2014/main" id="{18A528A0-239B-4CDF-9FC2-1C5036BFFDE3}"/>
            </a:ext>
          </a:extLst>
        </xdr:cNvPr>
        <xdr:cNvSpPr>
          <a:spLocks noChangeShapeType="1"/>
        </xdr:cNvSpPr>
      </xdr:nvSpPr>
      <xdr:spPr bwMode="auto">
        <a:xfrm>
          <a:off x="9801225" y="1752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89" name="Text Box 4">
          <a:extLst>
            <a:ext uri="{FF2B5EF4-FFF2-40B4-BE49-F238E27FC236}">
              <a16:creationId xmlns:a16="http://schemas.microsoft.com/office/drawing/2014/main" id="{BAC68AE2-73F0-4247-B56F-753363FB907B}"/>
            </a:ext>
          </a:extLst>
        </xdr:cNvPr>
        <xdr:cNvSpPr txBox="1">
          <a:spLocks noChangeArrowheads="1"/>
        </xdr:cNvSpPr>
      </xdr:nvSpPr>
      <xdr:spPr bwMode="auto">
        <a:xfrm>
          <a:off x="9801225" y="17526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90" name="Line 5">
          <a:extLst>
            <a:ext uri="{FF2B5EF4-FFF2-40B4-BE49-F238E27FC236}">
              <a16:creationId xmlns:a16="http://schemas.microsoft.com/office/drawing/2014/main" id="{5FD955D6-C655-42E3-87C6-5F418A87FABB}"/>
            </a:ext>
          </a:extLst>
        </xdr:cNvPr>
        <xdr:cNvSpPr>
          <a:spLocks noChangeShapeType="1"/>
        </xdr:cNvSpPr>
      </xdr:nvSpPr>
      <xdr:spPr bwMode="auto">
        <a:xfrm>
          <a:off x="9801225" y="1752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91" name="Text Box 6">
          <a:extLst>
            <a:ext uri="{FF2B5EF4-FFF2-40B4-BE49-F238E27FC236}">
              <a16:creationId xmlns:a16="http://schemas.microsoft.com/office/drawing/2014/main" id="{6CDBFE11-A066-49A7-8C56-88E076EB46D9}"/>
            </a:ext>
          </a:extLst>
        </xdr:cNvPr>
        <xdr:cNvSpPr txBox="1">
          <a:spLocks noChangeArrowheads="1"/>
        </xdr:cNvSpPr>
      </xdr:nvSpPr>
      <xdr:spPr bwMode="auto">
        <a:xfrm>
          <a:off x="9801225" y="17526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92" name="Line 7">
          <a:extLst>
            <a:ext uri="{FF2B5EF4-FFF2-40B4-BE49-F238E27FC236}">
              <a16:creationId xmlns:a16="http://schemas.microsoft.com/office/drawing/2014/main" id="{E05EE103-DB57-4027-BAEC-908A158F2E04}"/>
            </a:ext>
          </a:extLst>
        </xdr:cNvPr>
        <xdr:cNvSpPr>
          <a:spLocks noChangeShapeType="1"/>
        </xdr:cNvSpPr>
      </xdr:nvSpPr>
      <xdr:spPr bwMode="auto">
        <a:xfrm>
          <a:off x="9801225" y="1752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93" name="Text Box 8">
          <a:extLst>
            <a:ext uri="{FF2B5EF4-FFF2-40B4-BE49-F238E27FC236}">
              <a16:creationId xmlns:a16="http://schemas.microsoft.com/office/drawing/2014/main" id="{B2C9866C-D681-42AB-9DE7-6B901A12B648}"/>
            </a:ext>
          </a:extLst>
        </xdr:cNvPr>
        <xdr:cNvSpPr txBox="1">
          <a:spLocks noChangeArrowheads="1"/>
        </xdr:cNvSpPr>
      </xdr:nvSpPr>
      <xdr:spPr bwMode="auto">
        <a:xfrm>
          <a:off x="9801225" y="17526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94" name="Line 9">
          <a:extLst>
            <a:ext uri="{FF2B5EF4-FFF2-40B4-BE49-F238E27FC236}">
              <a16:creationId xmlns:a16="http://schemas.microsoft.com/office/drawing/2014/main" id="{E2DCB59A-2F80-48C7-AD82-F4B0A901AD92}"/>
            </a:ext>
          </a:extLst>
        </xdr:cNvPr>
        <xdr:cNvSpPr>
          <a:spLocks noChangeShapeType="1"/>
        </xdr:cNvSpPr>
      </xdr:nvSpPr>
      <xdr:spPr bwMode="auto">
        <a:xfrm>
          <a:off x="9801225" y="1752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95" name="Text Box 10">
          <a:extLst>
            <a:ext uri="{FF2B5EF4-FFF2-40B4-BE49-F238E27FC236}">
              <a16:creationId xmlns:a16="http://schemas.microsoft.com/office/drawing/2014/main" id="{B75E7E2C-5773-4454-81A4-C5FB1B12F385}"/>
            </a:ext>
          </a:extLst>
        </xdr:cNvPr>
        <xdr:cNvSpPr txBox="1">
          <a:spLocks noChangeArrowheads="1"/>
        </xdr:cNvSpPr>
      </xdr:nvSpPr>
      <xdr:spPr bwMode="auto">
        <a:xfrm>
          <a:off x="9801225" y="17526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96" name="Line 11">
          <a:extLst>
            <a:ext uri="{FF2B5EF4-FFF2-40B4-BE49-F238E27FC236}">
              <a16:creationId xmlns:a16="http://schemas.microsoft.com/office/drawing/2014/main" id="{34C7758C-E579-4A11-991A-C51B27B9EE45}"/>
            </a:ext>
          </a:extLst>
        </xdr:cNvPr>
        <xdr:cNvSpPr>
          <a:spLocks noChangeShapeType="1"/>
        </xdr:cNvSpPr>
      </xdr:nvSpPr>
      <xdr:spPr bwMode="auto">
        <a:xfrm>
          <a:off x="9801225" y="1752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97" name="Text Box 12">
          <a:extLst>
            <a:ext uri="{FF2B5EF4-FFF2-40B4-BE49-F238E27FC236}">
              <a16:creationId xmlns:a16="http://schemas.microsoft.com/office/drawing/2014/main" id="{94F139C6-487C-440B-8076-C1BA62EE4D51}"/>
            </a:ext>
          </a:extLst>
        </xdr:cNvPr>
        <xdr:cNvSpPr txBox="1">
          <a:spLocks noChangeArrowheads="1"/>
        </xdr:cNvSpPr>
      </xdr:nvSpPr>
      <xdr:spPr bwMode="auto">
        <a:xfrm>
          <a:off x="9801225" y="17526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98" name="Line 13">
          <a:extLst>
            <a:ext uri="{FF2B5EF4-FFF2-40B4-BE49-F238E27FC236}">
              <a16:creationId xmlns:a16="http://schemas.microsoft.com/office/drawing/2014/main" id="{832C2E54-CEDF-41F0-AA39-A3FDAFB919F3}"/>
            </a:ext>
          </a:extLst>
        </xdr:cNvPr>
        <xdr:cNvSpPr>
          <a:spLocks noChangeShapeType="1"/>
        </xdr:cNvSpPr>
      </xdr:nvSpPr>
      <xdr:spPr bwMode="auto">
        <a:xfrm>
          <a:off x="9801225" y="1752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99" name="Text Box 14">
          <a:extLst>
            <a:ext uri="{FF2B5EF4-FFF2-40B4-BE49-F238E27FC236}">
              <a16:creationId xmlns:a16="http://schemas.microsoft.com/office/drawing/2014/main" id="{B5E7E5CD-A0BC-4A0C-965E-51330DB76A2C}"/>
            </a:ext>
          </a:extLst>
        </xdr:cNvPr>
        <xdr:cNvSpPr txBox="1">
          <a:spLocks noChangeArrowheads="1"/>
        </xdr:cNvSpPr>
      </xdr:nvSpPr>
      <xdr:spPr bwMode="auto">
        <a:xfrm>
          <a:off x="9801225" y="17526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100" name="Line 15">
          <a:extLst>
            <a:ext uri="{FF2B5EF4-FFF2-40B4-BE49-F238E27FC236}">
              <a16:creationId xmlns:a16="http://schemas.microsoft.com/office/drawing/2014/main" id="{2C18CEFA-229C-46D7-B068-56B7582A1211}"/>
            </a:ext>
          </a:extLst>
        </xdr:cNvPr>
        <xdr:cNvSpPr>
          <a:spLocks noChangeShapeType="1"/>
        </xdr:cNvSpPr>
      </xdr:nvSpPr>
      <xdr:spPr bwMode="auto">
        <a:xfrm>
          <a:off x="9801225" y="1752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101" name="Text Box 16">
          <a:extLst>
            <a:ext uri="{FF2B5EF4-FFF2-40B4-BE49-F238E27FC236}">
              <a16:creationId xmlns:a16="http://schemas.microsoft.com/office/drawing/2014/main" id="{9B291236-72A0-4E57-88E1-1308695B6939}"/>
            </a:ext>
          </a:extLst>
        </xdr:cNvPr>
        <xdr:cNvSpPr txBox="1">
          <a:spLocks noChangeArrowheads="1"/>
        </xdr:cNvSpPr>
      </xdr:nvSpPr>
      <xdr:spPr bwMode="auto">
        <a:xfrm>
          <a:off x="9801225" y="17526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102" name="Line 17">
          <a:extLst>
            <a:ext uri="{FF2B5EF4-FFF2-40B4-BE49-F238E27FC236}">
              <a16:creationId xmlns:a16="http://schemas.microsoft.com/office/drawing/2014/main" id="{C6534727-644E-4B5E-A666-25C6BA49F496}"/>
            </a:ext>
          </a:extLst>
        </xdr:cNvPr>
        <xdr:cNvSpPr>
          <a:spLocks noChangeShapeType="1"/>
        </xdr:cNvSpPr>
      </xdr:nvSpPr>
      <xdr:spPr bwMode="auto">
        <a:xfrm>
          <a:off x="9801225" y="1752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103" name="Text Box 18">
          <a:extLst>
            <a:ext uri="{FF2B5EF4-FFF2-40B4-BE49-F238E27FC236}">
              <a16:creationId xmlns:a16="http://schemas.microsoft.com/office/drawing/2014/main" id="{DE32A54E-E0A4-416F-9973-243B82FC75C2}"/>
            </a:ext>
          </a:extLst>
        </xdr:cNvPr>
        <xdr:cNvSpPr txBox="1">
          <a:spLocks noChangeArrowheads="1"/>
        </xdr:cNvSpPr>
      </xdr:nvSpPr>
      <xdr:spPr bwMode="auto">
        <a:xfrm>
          <a:off x="9801225" y="17526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104" name="Line 19">
          <a:extLst>
            <a:ext uri="{FF2B5EF4-FFF2-40B4-BE49-F238E27FC236}">
              <a16:creationId xmlns:a16="http://schemas.microsoft.com/office/drawing/2014/main" id="{725B86A0-AF31-4C01-9012-681188AF6167}"/>
            </a:ext>
          </a:extLst>
        </xdr:cNvPr>
        <xdr:cNvSpPr>
          <a:spLocks noChangeShapeType="1"/>
        </xdr:cNvSpPr>
      </xdr:nvSpPr>
      <xdr:spPr bwMode="auto">
        <a:xfrm>
          <a:off x="9801225" y="1752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105" name="Text Box 20">
          <a:extLst>
            <a:ext uri="{FF2B5EF4-FFF2-40B4-BE49-F238E27FC236}">
              <a16:creationId xmlns:a16="http://schemas.microsoft.com/office/drawing/2014/main" id="{6735283D-7CA2-4360-8E6D-321E4CED18E1}"/>
            </a:ext>
          </a:extLst>
        </xdr:cNvPr>
        <xdr:cNvSpPr txBox="1">
          <a:spLocks noChangeArrowheads="1"/>
        </xdr:cNvSpPr>
      </xdr:nvSpPr>
      <xdr:spPr bwMode="auto">
        <a:xfrm>
          <a:off x="9801225" y="17526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106" name="Line 21">
          <a:extLst>
            <a:ext uri="{FF2B5EF4-FFF2-40B4-BE49-F238E27FC236}">
              <a16:creationId xmlns:a16="http://schemas.microsoft.com/office/drawing/2014/main" id="{695D3E22-712F-4C47-8841-8EADB6B39C7A}"/>
            </a:ext>
          </a:extLst>
        </xdr:cNvPr>
        <xdr:cNvSpPr>
          <a:spLocks noChangeShapeType="1"/>
        </xdr:cNvSpPr>
      </xdr:nvSpPr>
      <xdr:spPr bwMode="auto">
        <a:xfrm>
          <a:off x="9801225" y="1752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107" name="Text Box 22">
          <a:extLst>
            <a:ext uri="{FF2B5EF4-FFF2-40B4-BE49-F238E27FC236}">
              <a16:creationId xmlns:a16="http://schemas.microsoft.com/office/drawing/2014/main" id="{D046D819-3CEA-4660-8CC4-A0940933DC93}"/>
            </a:ext>
          </a:extLst>
        </xdr:cNvPr>
        <xdr:cNvSpPr txBox="1">
          <a:spLocks noChangeArrowheads="1"/>
        </xdr:cNvSpPr>
      </xdr:nvSpPr>
      <xdr:spPr bwMode="auto">
        <a:xfrm>
          <a:off x="9801225" y="17526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108" name="Line 23">
          <a:extLst>
            <a:ext uri="{FF2B5EF4-FFF2-40B4-BE49-F238E27FC236}">
              <a16:creationId xmlns:a16="http://schemas.microsoft.com/office/drawing/2014/main" id="{D0D07F13-97EC-43B9-B5FA-C5642009114B}"/>
            </a:ext>
          </a:extLst>
        </xdr:cNvPr>
        <xdr:cNvSpPr>
          <a:spLocks noChangeShapeType="1"/>
        </xdr:cNvSpPr>
      </xdr:nvSpPr>
      <xdr:spPr bwMode="auto">
        <a:xfrm>
          <a:off x="9801225" y="1752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109" name="Text Box 24">
          <a:extLst>
            <a:ext uri="{FF2B5EF4-FFF2-40B4-BE49-F238E27FC236}">
              <a16:creationId xmlns:a16="http://schemas.microsoft.com/office/drawing/2014/main" id="{173F9610-4879-433A-9786-CC970F97C3F1}"/>
            </a:ext>
          </a:extLst>
        </xdr:cNvPr>
        <xdr:cNvSpPr txBox="1">
          <a:spLocks noChangeArrowheads="1"/>
        </xdr:cNvSpPr>
      </xdr:nvSpPr>
      <xdr:spPr bwMode="auto">
        <a:xfrm>
          <a:off x="9801225" y="17526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110" name="Line 25">
          <a:extLst>
            <a:ext uri="{FF2B5EF4-FFF2-40B4-BE49-F238E27FC236}">
              <a16:creationId xmlns:a16="http://schemas.microsoft.com/office/drawing/2014/main" id="{21CAE06B-DBE6-4889-A43B-23E41F7078B2}"/>
            </a:ext>
          </a:extLst>
        </xdr:cNvPr>
        <xdr:cNvSpPr>
          <a:spLocks noChangeShapeType="1"/>
        </xdr:cNvSpPr>
      </xdr:nvSpPr>
      <xdr:spPr bwMode="auto">
        <a:xfrm>
          <a:off x="9801225" y="1752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111" name="Text Box 26">
          <a:extLst>
            <a:ext uri="{FF2B5EF4-FFF2-40B4-BE49-F238E27FC236}">
              <a16:creationId xmlns:a16="http://schemas.microsoft.com/office/drawing/2014/main" id="{B7A2EDD4-EFF5-4526-A78A-5BD4C3071357}"/>
            </a:ext>
          </a:extLst>
        </xdr:cNvPr>
        <xdr:cNvSpPr txBox="1">
          <a:spLocks noChangeArrowheads="1"/>
        </xdr:cNvSpPr>
      </xdr:nvSpPr>
      <xdr:spPr bwMode="auto">
        <a:xfrm>
          <a:off x="9801225" y="17526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112" name="Line 27">
          <a:extLst>
            <a:ext uri="{FF2B5EF4-FFF2-40B4-BE49-F238E27FC236}">
              <a16:creationId xmlns:a16="http://schemas.microsoft.com/office/drawing/2014/main" id="{70430411-65DE-4990-871F-306EADDB1585}"/>
            </a:ext>
          </a:extLst>
        </xdr:cNvPr>
        <xdr:cNvSpPr>
          <a:spLocks noChangeShapeType="1"/>
        </xdr:cNvSpPr>
      </xdr:nvSpPr>
      <xdr:spPr bwMode="auto">
        <a:xfrm>
          <a:off x="9801225" y="1752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113" name="Text Box 28">
          <a:extLst>
            <a:ext uri="{FF2B5EF4-FFF2-40B4-BE49-F238E27FC236}">
              <a16:creationId xmlns:a16="http://schemas.microsoft.com/office/drawing/2014/main" id="{5E2C5B17-BFCF-438F-863E-F3AF69C68EA6}"/>
            </a:ext>
          </a:extLst>
        </xdr:cNvPr>
        <xdr:cNvSpPr txBox="1">
          <a:spLocks noChangeArrowheads="1"/>
        </xdr:cNvSpPr>
      </xdr:nvSpPr>
      <xdr:spPr bwMode="auto">
        <a:xfrm>
          <a:off x="9801225" y="17526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67</xdr:row>
      <xdr:rowOff>0</xdr:rowOff>
    </xdr:from>
    <xdr:to>
      <xdr:col>8</xdr:col>
      <xdr:colOff>0</xdr:colOff>
      <xdr:row>67</xdr:row>
      <xdr:rowOff>0</xdr:rowOff>
    </xdr:to>
    <xdr:sp macro="" textlink="">
      <xdr:nvSpPr>
        <xdr:cNvPr id="114" name="Line 1">
          <a:extLst>
            <a:ext uri="{FF2B5EF4-FFF2-40B4-BE49-F238E27FC236}">
              <a16:creationId xmlns:a16="http://schemas.microsoft.com/office/drawing/2014/main" id="{BEFE3FCA-E46D-4BF8-BD07-5C0EF4EBEF39}"/>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67</xdr:row>
      <xdr:rowOff>0</xdr:rowOff>
    </xdr:from>
    <xdr:to>
      <xdr:col>8</xdr:col>
      <xdr:colOff>0</xdr:colOff>
      <xdr:row>67</xdr:row>
      <xdr:rowOff>0</xdr:rowOff>
    </xdr:to>
    <xdr:sp macro="" textlink="">
      <xdr:nvSpPr>
        <xdr:cNvPr id="115" name="Text Box 2">
          <a:extLst>
            <a:ext uri="{FF2B5EF4-FFF2-40B4-BE49-F238E27FC236}">
              <a16:creationId xmlns:a16="http://schemas.microsoft.com/office/drawing/2014/main" id="{7AC54712-363F-4CCA-B586-778440C08501}"/>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67</xdr:row>
      <xdr:rowOff>0</xdr:rowOff>
    </xdr:from>
    <xdr:to>
      <xdr:col>8</xdr:col>
      <xdr:colOff>0</xdr:colOff>
      <xdr:row>67</xdr:row>
      <xdr:rowOff>0</xdr:rowOff>
    </xdr:to>
    <xdr:sp macro="" textlink="">
      <xdr:nvSpPr>
        <xdr:cNvPr id="116" name="Line 3">
          <a:extLst>
            <a:ext uri="{FF2B5EF4-FFF2-40B4-BE49-F238E27FC236}">
              <a16:creationId xmlns:a16="http://schemas.microsoft.com/office/drawing/2014/main" id="{FAE8F0C7-3B88-44F9-BB8B-B22EC8441F3D}"/>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67</xdr:row>
      <xdr:rowOff>0</xdr:rowOff>
    </xdr:from>
    <xdr:to>
      <xdr:col>8</xdr:col>
      <xdr:colOff>0</xdr:colOff>
      <xdr:row>67</xdr:row>
      <xdr:rowOff>0</xdr:rowOff>
    </xdr:to>
    <xdr:sp macro="" textlink="">
      <xdr:nvSpPr>
        <xdr:cNvPr id="117" name="Text Box 4">
          <a:extLst>
            <a:ext uri="{FF2B5EF4-FFF2-40B4-BE49-F238E27FC236}">
              <a16:creationId xmlns:a16="http://schemas.microsoft.com/office/drawing/2014/main" id="{18AA28CC-77B7-41F7-9868-9C536F2896E5}"/>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67</xdr:row>
      <xdr:rowOff>0</xdr:rowOff>
    </xdr:from>
    <xdr:to>
      <xdr:col>8</xdr:col>
      <xdr:colOff>0</xdr:colOff>
      <xdr:row>67</xdr:row>
      <xdr:rowOff>0</xdr:rowOff>
    </xdr:to>
    <xdr:sp macro="" textlink="">
      <xdr:nvSpPr>
        <xdr:cNvPr id="118" name="Line 5">
          <a:extLst>
            <a:ext uri="{FF2B5EF4-FFF2-40B4-BE49-F238E27FC236}">
              <a16:creationId xmlns:a16="http://schemas.microsoft.com/office/drawing/2014/main" id="{09B71947-C4E3-44BF-86EB-5DF1B6535B13}"/>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67</xdr:row>
      <xdr:rowOff>0</xdr:rowOff>
    </xdr:from>
    <xdr:to>
      <xdr:col>8</xdr:col>
      <xdr:colOff>0</xdr:colOff>
      <xdr:row>67</xdr:row>
      <xdr:rowOff>0</xdr:rowOff>
    </xdr:to>
    <xdr:sp macro="" textlink="">
      <xdr:nvSpPr>
        <xdr:cNvPr id="119" name="Text Box 6">
          <a:extLst>
            <a:ext uri="{FF2B5EF4-FFF2-40B4-BE49-F238E27FC236}">
              <a16:creationId xmlns:a16="http://schemas.microsoft.com/office/drawing/2014/main" id="{1D03139C-E903-4CCF-92A7-FFDC76F1CC5B}"/>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67</xdr:row>
      <xdr:rowOff>0</xdr:rowOff>
    </xdr:from>
    <xdr:to>
      <xdr:col>8</xdr:col>
      <xdr:colOff>0</xdr:colOff>
      <xdr:row>67</xdr:row>
      <xdr:rowOff>0</xdr:rowOff>
    </xdr:to>
    <xdr:sp macro="" textlink="">
      <xdr:nvSpPr>
        <xdr:cNvPr id="120" name="Line 7">
          <a:extLst>
            <a:ext uri="{FF2B5EF4-FFF2-40B4-BE49-F238E27FC236}">
              <a16:creationId xmlns:a16="http://schemas.microsoft.com/office/drawing/2014/main" id="{5D2F2C47-57C6-420E-9201-926866205EE5}"/>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67</xdr:row>
      <xdr:rowOff>0</xdr:rowOff>
    </xdr:from>
    <xdr:to>
      <xdr:col>8</xdr:col>
      <xdr:colOff>0</xdr:colOff>
      <xdr:row>67</xdr:row>
      <xdr:rowOff>0</xdr:rowOff>
    </xdr:to>
    <xdr:sp macro="" textlink="">
      <xdr:nvSpPr>
        <xdr:cNvPr id="121" name="Text Box 8">
          <a:extLst>
            <a:ext uri="{FF2B5EF4-FFF2-40B4-BE49-F238E27FC236}">
              <a16:creationId xmlns:a16="http://schemas.microsoft.com/office/drawing/2014/main" id="{07D3A42F-31C6-470F-8246-87EC424B8810}"/>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67</xdr:row>
      <xdr:rowOff>0</xdr:rowOff>
    </xdr:from>
    <xdr:to>
      <xdr:col>8</xdr:col>
      <xdr:colOff>0</xdr:colOff>
      <xdr:row>67</xdr:row>
      <xdr:rowOff>0</xdr:rowOff>
    </xdr:to>
    <xdr:sp macro="" textlink="">
      <xdr:nvSpPr>
        <xdr:cNvPr id="122" name="Line 9">
          <a:extLst>
            <a:ext uri="{FF2B5EF4-FFF2-40B4-BE49-F238E27FC236}">
              <a16:creationId xmlns:a16="http://schemas.microsoft.com/office/drawing/2014/main" id="{959B58E5-40C7-4232-AF52-34AC95100024}"/>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67</xdr:row>
      <xdr:rowOff>0</xdr:rowOff>
    </xdr:from>
    <xdr:to>
      <xdr:col>8</xdr:col>
      <xdr:colOff>0</xdr:colOff>
      <xdr:row>67</xdr:row>
      <xdr:rowOff>0</xdr:rowOff>
    </xdr:to>
    <xdr:sp macro="" textlink="">
      <xdr:nvSpPr>
        <xdr:cNvPr id="123" name="Text Box 10">
          <a:extLst>
            <a:ext uri="{FF2B5EF4-FFF2-40B4-BE49-F238E27FC236}">
              <a16:creationId xmlns:a16="http://schemas.microsoft.com/office/drawing/2014/main" id="{B7016F0A-B413-4A2D-9685-449284BEA5F4}"/>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67</xdr:row>
      <xdr:rowOff>0</xdr:rowOff>
    </xdr:from>
    <xdr:to>
      <xdr:col>8</xdr:col>
      <xdr:colOff>0</xdr:colOff>
      <xdr:row>67</xdr:row>
      <xdr:rowOff>0</xdr:rowOff>
    </xdr:to>
    <xdr:sp macro="" textlink="">
      <xdr:nvSpPr>
        <xdr:cNvPr id="124" name="Line 11">
          <a:extLst>
            <a:ext uri="{FF2B5EF4-FFF2-40B4-BE49-F238E27FC236}">
              <a16:creationId xmlns:a16="http://schemas.microsoft.com/office/drawing/2014/main" id="{469FDB94-84AE-4590-8482-297188D33243}"/>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67</xdr:row>
      <xdr:rowOff>0</xdr:rowOff>
    </xdr:from>
    <xdr:to>
      <xdr:col>8</xdr:col>
      <xdr:colOff>0</xdr:colOff>
      <xdr:row>67</xdr:row>
      <xdr:rowOff>0</xdr:rowOff>
    </xdr:to>
    <xdr:sp macro="" textlink="">
      <xdr:nvSpPr>
        <xdr:cNvPr id="125" name="Text Box 12">
          <a:extLst>
            <a:ext uri="{FF2B5EF4-FFF2-40B4-BE49-F238E27FC236}">
              <a16:creationId xmlns:a16="http://schemas.microsoft.com/office/drawing/2014/main" id="{A36DF268-61E6-4759-A2EB-589EB756640E}"/>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67</xdr:row>
      <xdr:rowOff>0</xdr:rowOff>
    </xdr:from>
    <xdr:to>
      <xdr:col>8</xdr:col>
      <xdr:colOff>0</xdr:colOff>
      <xdr:row>67</xdr:row>
      <xdr:rowOff>0</xdr:rowOff>
    </xdr:to>
    <xdr:sp macro="" textlink="">
      <xdr:nvSpPr>
        <xdr:cNvPr id="126" name="Line 13">
          <a:extLst>
            <a:ext uri="{FF2B5EF4-FFF2-40B4-BE49-F238E27FC236}">
              <a16:creationId xmlns:a16="http://schemas.microsoft.com/office/drawing/2014/main" id="{591D17C7-6EB1-4667-834E-AB839E474A07}"/>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67</xdr:row>
      <xdr:rowOff>0</xdr:rowOff>
    </xdr:from>
    <xdr:to>
      <xdr:col>8</xdr:col>
      <xdr:colOff>0</xdr:colOff>
      <xdr:row>67</xdr:row>
      <xdr:rowOff>0</xdr:rowOff>
    </xdr:to>
    <xdr:sp macro="" textlink="">
      <xdr:nvSpPr>
        <xdr:cNvPr id="127" name="Text Box 14">
          <a:extLst>
            <a:ext uri="{FF2B5EF4-FFF2-40B4-BE49-F238E27FC236}">
              <a16:creationId xmlns:a16="http://schemas.microsoft.com/office/drawing/2014/main" id="{29ECBAC6-4F9A-4177-BA1D-F0F3FB053660}"/>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67</xdr:row>
      <xdr:rowOff>0</xdr:rowOff>
    </xdr:from>
    <xdr:to>
      <xdr:col>8</xdr:col>
      <xdr:colOff>0</xdr:colOff>
      <xdr:row>67</xdr:row>
      <xdr:rowOff>0</xdr:rowOff>
    </xdr:to>
    <xdr:sp macro="" textlink="">
      <xdr:nvSpPr>
        <xdr:cNvPr id="128" name="Line 15">
          <a:extLst>
            <a:ext uri="{FF2B5EF4-FFF2-40B4-BE49-F238E27FC236}">
              <a16:creationId xmlns:a16="http://schemas.microsoft.com/office/drawing/2014/main" id="{0EEE6A5B-626E-4328-9E85-CAEFA63A0135}"/>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67</xdr:row>
      <xdr:rowOff>0</xdr:rowOff>
    </xdr:from>
    <xdr:to>
      <xdr:col>8</xdr:col>
      <xdr:colOff>0</xdr:colOff>
      <xdr:row>67</xdr:row>
      <xdr:rowOff>0</xdr:rowOff>
    </xdr:to>
    <xdr:sp macro="" textlink="">
      <xdr:nvSpPr>
        <xdr:cNvPr id="129" name="Text Box 16">
          <a:extLst>
            <a:ext uri="{FF2B5EF4-FFF2-40B4-BE49-F238E27FC236}">
              <a16:creationId xmlns:a16="http://schemas.microsoft.com/office/drawing/2014/main" id="{0461CCA6-4A79-4D1A-B77B-2CBE391A29EF}"/>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67</xdr:row>
      <xdr:rowOff>0</xdr:rowOff>
    </xdr:from>
    <xdr:to>
      <xdr:col>8</xdr:col>
      <xdr:colOff>0</xdr:colOff>
      <xdr:row>67</xdr:row>
      <xdr:rowOff>0</xdr:rowOff>
    </xdr:to>
    <xdr:sp macro="" textlink="">
      <xdr:nvSpPr>
        <xdr:cNvPr id="130" name="Line 17">
          <a:extLst>
            <a:ext uri="{FF2B5EF4-FFF2-40B4-BE49-F238E27FC236}">
              <a16:creationId xmlns:a16="http://schemas.microsoft.com/office/drawing/2014/main" id="{70A900E3-93BF-4279-B0E3-B21A81290F5C}"/>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67</xdr:row>
      <xdr:rowOff>0</xdr:rowOff>
    </xdr:from>
    <xdr:to>
      <xdr:col>8</xdr:col>
      <xdr:colOff>0</xdr:colOff>
      <xdr:row>67</xdr:row>
      <xdr:rowOff>0</xdr:rowOff>
    </xdr:to>
    <xdr:sp macro="" textlink="">
      <xdr:nvSpPr>
        <xdr:cNvPr id="131" name="Text Box 18">
          <a:extLst>
            <a:ext uri="{FF2B5EF4-FFF2-40B4-BE49-F238E27FC236}">
              <a16:creationId xmlns:a16="http://schemas.microsoft.com/office/drawing/2014/main" id="{F83F1AAA-6441-43EB-9A23-E663F59F7A5A}"/>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67</xdr:row>
      <xdr:rowOff>0</xdr:rowOff>
    </xdr:from>
    <xdr:to>
      <xdr:col>8</xdr:col>
      <xdr:colOff>0</xdr:colOff>
      <xdr:row>67</xdr:row>
      <xdr:rowOff>0</xdr:rowOff>
    </xdr:to>
    <xdr:sp macro="" textlink="">
      <xdr:nvSpPr>
        <xdr:cNvPr id="132" name="Line 19">
          <a:extLst>
            <a:ext uri="{FF2B5EF4-FFF2-40B4-BE49-F238E27FC236}">
              <a16:creationId xmlns:a16="http://schemas.microsoft.com/office/drawing/2014/main" id="{A4631300-3703-4477-A560-AC6FF220D572}"/>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67</xdr:row>
      <xdr:rowOff>0</xdr:rowOff>
    </xdr:from>
    <xdr:to>
      <xdr:col>8</xdr:col>
      <xdr:colOff>0</xdr:colOff>
      <xdr:row>67</xdr:row>
      <xdr:rowOff>0</xdr:rowOff>
    </xdr:to>
    <xdr:sp macro="" textlink="">
      <xdr:nvSpPr>
        <xdr:cNvPr id="133" name="Text Box 20">
          <a:extLst>
            <a:ext uri="{FF2B5EF4-FFF2-40B4-BE49-F238E27FC236}">
              <a16:creationId xmlns:a16="http://schemas.microsoft.com/office/drawing/2014/main" id="{9C40B0DA-43B1-4206-A6EF-48A5110B5C52}"/>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67</xdr:row>
      <xdr:rowOff>0</xdr:rowOff>
    </xdr:from>
    <xdr:to>
      <xdr:col>8</xdr:col>
      <xdr:colOff>0</xdr:colOff>
      <xdr:row>67</xdr:row>
      <xdr:rowOff>0</xdr:rowOff>
    </xdr:to>
    <xdr:sp macro="" textlink="">
      <xdr:nvSpPr>
        <xdr:cNvPr id="134" name="Line 21">
          <a:extLst>
            <a:ext uri="{FF2B5EF4-FFF2-40B4-BE49-F238E27FC236}">
              <a16:creationId xmlns:a16="http://schemas.microsoft.com/office/drawing/2014/main" id="{E178F9FC-8BF6-47B9-80B7-27AAD751B58C}"/>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67</xdr:row>
      <xdr:rowOff>0</xdr:rowOff>
    </xdr:from>
    <xdr:to>
      <xdr:col>8</xdr:col>
      <xdr:colOff>0</xdr:colOff>
      <xdr:row>67</xdr:row>
      <xdr:rowOff>0</xdr:rowOff>
    </xdr:to>
    <xdr:sp macro="" textlink="">
      <xdr:nvSpPr>
        <xdr:cNvPr id="135" name="Text Box 22">
          <a:extLst>
            <a:ext uri="{FF2B5EF4-FFF2-40B4-BE49-F238E27FC236}">
              <a16:creationId xmlns:a16="http://schemas.microsoft.com/office/drawing/2014/main" id="{49FF2D58-3B1F-4F1C-87E4-98E10A4810A0}"/>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67</xdr:row>
      <xdr:rowOff>0</xdr:rowOff>
    </xdr:from>
    <xdr:to>
      <xdr:col>8</xdr:col>
      <xdr:colOff>0</xdr:colOff>
      <xdr:row>67</xdr:row>
      <xdr:rowOff>0</xdr:rowOff>
    </xdr:to>
    <xdr:sp macro="" textlink="">
      <xdr:nvSpPr>
        <xdr:cNvPr id="136" name="Line 23">
          <a:extLst>
            <a:ext uri="{FF2B5EF4-FFF2-40B4-BE49-F238E27FC236}">
              <a16:creationId xmlns:a16="http://schemas.microsoft.com/office/drawing/2014/main" id="{9599CE90-D35E-4926-8032-851F99AFE84E}"/>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67</xdr:row>
      <xdr:rowOff>0</xdr:rowOff>
    </xdr:from>
    <xdr:to>
      <xdr:col>8</xdr:col>
      <xdr:colOff>0</xdr:colOff>
      <xdr:row>67</xdr:row>
      <xdr:rowOff>0</xdr:rowOff>
    </xdr:to>
    <xdr:sp macro="" textlink="">
      <xdr:nvSpPr>
        <xdr:cNvPr id="137" name="Text Box 24">
          <a:extLst>
            <a:ext uri="{FF2B5EF4-FFF2-40B4-BE49-F238E27FC236}">
              <a16:creationId xmlns:a16="http://schemas.microsoft.com/office/drawing/2014/main" id="{CF378729-B283-41B8-B359-2BCDC9CB6FAB}"/>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67</xdr:row>
      <xdr:rowOff>0</xdr:rowOff>
    </xdr:from>
    <xdr:to>
      <xdr:col>8</xdr:col>
      <xdr:colOff>0</xdr:colOff>
      <xdr:row>67</xdr:row>
      <xdr:rowOff>0</xdr:rowOff>
    </xdr:to>
    <xdr:sp macro="" textlink="">
      <xdr:nvSpPr>
        <xdr:cNvPr id="138" name="Line 25">
          <a:extLst>
            <a:ext uri="{FF2B5EF4-FFF2-40B4-BE49-F238E27FC236}">
              <a16:creationId xmlns:a16="http://schemas.microsoft.com/office/drawing/2014/main" id="{C02A5753-08C2-4034-AD86-77D939EE14F3}"/>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67</xdr:row>
      <xdr:rowOff>0</xdr:rowOff>
    </xdr:from>
    <xdr:to>
      <xdr:col>8</xdr:col>
      <xdr:colOff>0</xdr:colOff>
      <xdr:row>67</xdr:row>
      <xdr:rowOff>0</xdr:rowOff>
    </xdr:to>
    <xdr:sp macro="" textlink="">
      <xdr:nvSpPr>
        <xdr:cNvPr id="139" name="Text Box 26">
          <a:extLst>
            <a:ext uri="{FF2B5EF4-FFF2-40B4-BE49-F238E27FC236}">
              <a16:creationId xmlns:a16="http://schemas.microsoft.com/office/drawing/2014/main" id="{052B7A74-0AB7-4579-B6EE-BC936BEEF29F}"/>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67</xdr:row>
      <xdr:rowOff>0</xdr:rowOff>
    </xdr:from>
    <xdr:to>
      <xdr:col>8</xdr:col>
      <xdr:colOff>0</xdr:colOff>
      <xdr:row>67</xdr:row>
      <xdr:rowOff>0</xdr:rowOff>
    </xdr:to>
    <xdr:sp macro="" textlink="">
      <xdr:nvSpPr>
        <xdr:cNvPr id="140" name="Line 27">
          <a:extLst>
            <a:ext uri="{FF2B5EF4-FFF2-40B4-BE49-F238E27FC236}">
              <a16:creationId xmlns:a16="http://schemas.microsoft.com/office/drawing/2014/main" id="{952F7563-0999-4A99-9013-83C4CD74961B}"/>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67</xdr:row>
      <xdr:rowOff>0</xdr:rowOff>
    </xdr:from>
    <xdr:to>
      <xdr:col>8</xdr:col>
      <xdr:colOff>0</xdr:colOff>
      <xdr:row>67</xdr:row>
      <xdr:rowOff>0</xdr:rowOff>
    </xdr:to>
    <xdr:sp macro="" textlink="">
      <xdr:nvSpPr>
        <xdr:cNvPr id="141" name="Text Box 28">
          <a:extLst>
            <a:ext uri="{FF2B5EF4-FFF2-40B4-BE49-F238E27FC236}">
              <a16:creationId xmlns:a16="http://schemas.microsoft.com/office/drawing/2014/main" id="{B571603D-11A4-4A63-83C5-A28C705BC2DE}"/>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0</xdr:colOff>
      <xdr:row>1</xdr:row>
      <xdr:rowOff>0</xdr:rowOff>
    </xdr:from>
    <xdr:to>
      <xdr:col>8</xdr:col>
      <xdr:colOff>0</xdr:colOff>
      <xdr:row>1</xdr:row>
      <xdr:rowOff>0</xdr:rowOff>
    </xdr:to>
    <xdr:sp macro="" textlink="">
      <xdr:nvSpPr>
        <xdr:cNvPr id="2" name="Line 1">
          <a:extLst>
            <a:ext uri="{FF2B5EF4-FFF2-40B4-BE49-F238E27FC236}">
              <a16:creationId xmlns:a16="http://schemas.microsoft.com/office/drawing/2014/main" id="{7CDFAFBE-45EA-459B-AC1C-05448A90EF94}"/>
            </a:ext>
          </a:extLst>
        </xdr:cNvPr>
        <xdr:cNvSpPr>
          <a:spLocks noChangeShapeType="1"/>
        </xdr:cNvSpPr>
      </xdr:nvSpPr>
      <xdr:spPr bwMode="auto">
        <a:xfrm>
          <a:off x="6134100"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3" name="Text Box 2">
          <a:extLst>
            <a:ext uri="{FF2B5EF4-FFF2-40B4-BE49-F238E27FC236}">
              <a16:creationId xmlns:a16="http://schemas.microsoft.com/office/drawing/2014/main" id="{F8E09D1E-B123-4381-9DD6-F2026DFB7A19}"/>
            </a:ext>
          </a:extLst>
        </xdr:cNvPr>
        <xdr:cNvSpPr txBox="1">
          <a:spLocks noChangeArrowheads="1"/>
        </xdr:cNvSpPr>
      </xdr:nvSpPr>
      <xdr:spPr bwMode="auto">
        <a:xfrm>
          <a:off x="6134100"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4" name="Line 3">
          <a:extLst>
            <a:ext uri="{FF2B5EF4-FFF2-40B4-BE49-F238E27FC236}">
              <a16:creationId xmlns:a16="http://schemas.microsoft.com/office/drawing/2014/main" id="{8050873B-12AA-475F-8A5C-2BA801C6C208}"/>
            </a:ext>
          </a:extLst>
        </xdr:cNvPr>
        <xdr:cNvSpPr>
          <a:spLocks noChangeShapeType="1"/>
        </xdr:cNvSpPr>
      </xdr:nvSpPr>
      <xdr:spPr bwMode="auto">
        <a:xfrm>
          <a:off x="6134100"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5" name="Text Box 4">
          <a:extLst>
            <a:ext uri="{FF2B5EF4-FFF2-40B4-BE49-F238E27FC236}">
              <a16:creationId xmlns:a16="http://schemas.microsoft.com/office/drawing/2014/main" id="{BEE77CE0-56AD-4823-AD5F-FDF6E4E630A0}"/>
            </a:ext>
          </a:extLst>
        </xdr:cNvPr>
        <xdr:cNvSpPr txBox="1">
          <a:spLocks noChangeArrowheads="1"/>
        </xdr:cNvSpPr>
      </xdr:nvSpPr>
      <xdr:spPr bwMode="auto">
        <a:xfrm>
          <a:off x="6134100"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6" name="Line 5">
          <a:extLst>
            <a:ext uri="{FF2B5EF4-FFF2-40B4-BE49-F238E27FC236}">
              <a16:creationId xmlns:a16="http://schemas.microsoft.com/office/drawing/2014/main" id="{3D8849EE-6016-47CF-8FF1-2EE845918C9F}"/>
            </a:ext>
          </a:extLst>
        </xdr:cNvPr>
        <xdr:cNvSpPr>
          <a:spLocks noChangeShapeType="1"/>
        </xdr:cNvSpPr>
      </xdr:nvSpPr>
      <xdr:spPr bwMode="auto">
        <a:xfrm>
          <a:off x="6134100"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7" name="Text Box 6">
          <a:extLst>
            <a:ext uri="{FF2B5EF4-FFF2-40B4-BE49-F238E27FC236}">
              <a16:creationId xmlns:a16="http://schemas.microsoft.com/office/drawing/2014/main" id="{131D8D5A-02F8-4474-8F3D-C76A7B9A823D}"/>
            </a:ext>
          </a:extLst>
        </xdr:cNvPr>
        <xdr:cNvSpPr txBox="1">
          <a:spLocks noChangeArrowheads="1"/>
        </xdr:cNvSpPr>
      </xdr:nvSpPr>
      <xdr:spPr bwMode="auto">
        <a:xfrm>
          <a:off x="6134100"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8" name="Line 7">
          <a:extLst>
            <a:ext uri="{FF2B5EF4-FFF2-40B4-BE49-F238E27FC236}">
              <a16:creationId xmlns:a16="http://schemas.microsoft.com/office/drawing/2014/main" id="{38227B4A-6B98-4A18-B13F-2265573E294E}"/>
            </a:ext>
          </a:extLst>
        </xdr:cNvPr>
        <xdr:cNvSpPr>
          <a:spLocks noChangeShapeType="1"/>
        </xdr:cNvSpPr>
      </xdr:nvSpPr>
      <xdr:spPr bwMode="auto">
        <a:xfrm>
          <a:off x="6134100"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9" name="Text Box 8">
          <a:extLst>
            <a:ext uri="{FF2B5EF4-FFF2-40B4-BE49-F238E27FC236}">
              <a16:creationId xmlns:a16="http://schemas.microsoft.com/office/drawing/2014/main" id="{28113673-BE46-4E93-9EF2-C758812D1D55}"/>
            </a:ext>
          </a:extLst>
        </xdr:cNvPr>
        <xdr:cNvSpPr txBox="1">
          <a:spLocks noChangeArrowheads="1"/>
        </xdr:cNvSpPr>
      </xdr:nvSpPr>
      <xdr:spPr bwMode="auto">
        <a:xfrm>
          <a:off x="6134100"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10" name="Line 9">
          <a:extLst>
            <a:ext uri="{FF2B5EF4-FFF2-40B4-BE49-F238E27FC236}">
              <a16:creationId xmlns:a16="http://schemas.microsoft.com/office/drawing/2014/main" id="{C210D974-6669-41B2-A4A8-E5FBCB5737EE}"/>
            </a:ext>
          </a:extLst>
        </xdr:cNvPr>
        <xdr:cNvSpPr>
          <a:spLocks noChangeShapeType="1"/>
        </xdr:cNvSpPr>
      </xdr:nvSpPr>
      <xdr:spPr bwMode="auto">
        <a:xfrm>
          <a:off x="6134100"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11" name="Text Box 10">
          <a:extLst>
            <a:ext uri="{FF2B5EF4-FFF2-40B4-BE49-F238E27FC236}">
              <a16:creationId xmlns:a16="http://schemas.microsoft.com/office/drawing/2014/main" id="{FAFFB8A1-25DC-4381-9479-C711E73F3359}"/>
            </a:ext>
          </a:extLst>
        </xdr:cNvPr>
        <xdr:cNvSpPr txBox="1">
          <a:spLocks noChangeArrowheads="1"/>
        </xdr:cNvSpPr>
      </xdr:nvSpPr>
      <xdr:spPr bwMode="auto">
        <a:xfrm>
          <a:off x="6134100"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12" name="Line 11">
          <a:extLst>
            <a:ext uri="{FF2B5EF4-FFF2-40B4-BE49-F238E27FC236}">
              <a16:creationId xmlns:a16="http://schemas.microsoft.com/office/drawing/2014/main" id="{74CFA8B8-EE23-4DE0-8C18-4C10A4B91541}"/>
            </a:ext>
          </a:extLst>
        </xdr:cNvPr>
        <xdr:cNvSpPr>
          <a:spLocks noChangeShapeType="1"/>
        </xdr:cNvSpPr>
      </xdr:nvSpPr>
      <xdr:spPr bwMode="auto">
        <a:xfrm>
          <a:off x="6134100"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13" name="Text Box 12">
          <a:extLst>
            <a:ext uri="{FF2B5EF4-FFF2-40B4-BE49-F238E27FC236}">
              <a16:creationId xmlns:a16="http://schemas.microsoft.com/office/drawing/2014/main" id="{6AA5038D-CCCF-486F-AAE7-365E3A8F2340}"/>
            </a:ext>
          </a:extLst>
        </xdr:cNvPr>
        <xdr:cNvSpPr txBox="1">
          <a:spLocks noChangeArrowheads="1"/>
        </xdr:cNvSpPr>
      </xdr:nvSpPr>
      <xdr:spPr bwMode="auto">
        <a:xfrm>
          <a:off x="6134100"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14" name="Line 13">
          <a:extLst>
            <a:ext uri="{FF2B5EF4-FFF2-40B4-BE49-F238E27FC236}">
              <a16:creationId xmlns:a16="http://schemas.microsoft.com/office/drawing/2014/main" id="{4E50CBC8-B07F-4743-A32F-FC0A0F6E64C3}"/>
            </a:ext>
          </a:extLst>
        </xdr:cNvPr>
        <xdr:cNvSpPr>
          <a:spLocks noChangeShapeType="1"/>
        </xdr:cNvSpPr>
      </xdr:nvSpPr>
      <xdr:spPr bwMode="auto">
        <a:xfrm>
          <a:off x="6134100"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15" name="Text Box 14">
          <a:extLst>
            <a:ext uri="{FF2B5EF4-FFF2-40B4-BE49-F238E27FC236}">
              <a16:creationId xmlns:a16="http://schemas.microsoft.com/office/drawing/2014/main" id="{614A5704-9601-4B71-93AE-BC5EF3295475}"/>
            </a:ext>
          </a:extLst>
        </xdr:cNvPr>
        <xdr:cNvSpPr txBox="1">
          <a:spLocks noChangeArrowheads="1"/>
        </xdr:cNvSpPr>
      </xdr:nvSpPr>
      <xdr:spPr bwMode="auto">
        <a:xfrm>
          <a:off x="6134100"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16" name="Line 15">
          <a:extLst>
            <a:ext uri="{FF2B5EF4-FFF2-40B4-BE49-F238E27FC236}">
              <a16:creationId xmlns:a16="http://schemas.microsoft.com/office/drawing/2014/main" id="{45C10C13-A5E9-40DC-962D-25BEF81095B5}"/>
            </a:ext>
          </a:extLst>
        </xdr:cNvPr>
        <xdr:cNvSpPr>
          <a:spLocks noChangeShapeType="1"/>
        </xdr:cNvSpPr>
      </xdr:nvSpPr>
      <xdr:spPr bwMode="auto">
        <a:xfrm>
          <a:off x="6134100"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17" name="Text Box 16">
          <a:extLst>
            <a:ext uri="{FF2B5EF4-FFF2-40B4-BE49-F238E27FC236}">
              <a16:creationId xmlns:a16="http://schemas.microsoft.com/office/drawing/2014/main" id="{59699A18-F31C-4053-93E3-ACCBC1FECCA8}"/>
            </a:ext>
          </a:extLst>
        </xdr:cNvPr>
        <xdr:cNvSpPr txBox="1">
          <a:spLocks noChangeArrowheads="1"/>
        </xdr:cNvSpPr>
      </xdr:nvSpPr>
      <xdr:spPr bwMode="auto">
        <a:xfrm>
          <a:off x="6134100"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18" name="Line 17">
          <a:extLst>
            <a:ext uri="{FF2B5EF4-FFF2-40B4-BE49-F238E27FC236}">
              <a16:creationId xmlns:a16="http://schemas.microsoft.com/office/drawing/2014/main" id="{4FD584CE-B8F0-47E0-9C3A-2440801C71A1}"/>
            </a:ext>
          </a:extLst>
        </xdr:cNvPr>
        <xdr:cNvSpPr>
          <a:spLocks noChangeShapeType="1"/>
        </xdr:cNvSpPr>
      </xdr:nvSpPr>
      <xdr:spPr bwMode="auto">
        <a:xfrm>
          <a:off x="6134100"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19" name="Text Box 18">
          <a:extLst>
            <a:ext uri="{FF2B5EF4-FFF2-40B4-BE49-F238E27FC236}">
              <a16:creationId xmlns:a16="http://schemas.microsoft.com/office/drawing/2014/main" id="{FCF4BAF4-B079-4E5F-B42B-E4979B2BC004}"/>
            </a:ext>
          </a:extLst>
        </xdr:cNvPr>
        <xdr:cNvSpPr txBox="1">
          <a:spLocks noChangeArrowheads="1"/>
        </xdr:cNvSpPr>
      </xdr:nvSpPr>
      <xdr:spPr bwMode="auto">
        <a:xfrm>
          <a:off x="6134100"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20" name="Line 19">
          <a:extLst>
            <a:ext uri="{FF2B5EF4-FFF2-40B4-BE49-F238E27FC236}">
              <a16:creationId xmlns:a16="http://schemas.microsoft.com/office/drawing/2014/main" id="{826685F9-78FD-48F3-9ED9-B9F09A87FDF8}"/>
            </a:ext>
          </a:extLst>
        </xdr:cNvPr>
        <xdr:cNvSpPr>
          <a:spLocks noChangeShapeType="1"/>
        </xdr:cNvSpPr>
      </xdr:nvSpPr>
      <xdr:spPr bwMode="auto">
        <a:xfrm>
          <a:off x="6134100"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21" name="Text Box 20">
          <a:extLst>
            <a:ext uri="{FF2B5EF4-FFF2-40B4-BE49-F238E27FC236}">
              <a16:creationId xmlns:a16="http://schemas.microsoft.com/office/drawing/2014/main" id="{7349E72B-65C5-4198-80A0-1095B2D252CA}"/>
            </a:ext>
          </a:extLst>
        </xdr:cNvPr>
        <xdr:cNvSpPr txBox="1">
          <a:spLocks noChangeArrowheads="1"/>
        </xdr:cNvSpPr>
      </xdr:nvSpPr>
      <xdr:spPr bwMode="auto">
        <a:xfrm>
          <a:off x="6134100"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22" name="Line 21">
          <a:extLst>
            <a:ext uri="{FF2B5EF4-FFF2-40B4-BE49-F238E27FC236}">
              <a16:creationId xmlns:a16="http://schemas.microsoft.com/office/drawing/2014/main" id="{688BC0CA-1F25-49B9-B99E-8AA4A5B4D4BA}"/>
            </a:ext>
          </a:extLst>
        </xdr:cNvPr>
        <xdr:cNvSpPr>
          <a:spLocks noChangeShapeType="1"/>
        </xdr:cNvSpPr>
      </xdr:nvSpPr>
      <xdr:spPr bwMode="auto">
        <a:xfrm>
          <a:off x="6134100"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23" name="Text Box 22">
          <a:extLst>
            <a:ext uri="{FF2B5EF4-FFF2-40B4-BE49-F238E27FC236}">
              <a16:creationId xmlns:a16="http://schemas.microsoft.com/office/drawing/2014/main" id="{4FDCC550-EC98-480D-B9BE-8479342D446B}"/>
            </a:ext>
          </a:extLst>
        </xdr:cNvPr>
        <xdr:cNvSpPr txBox="1">
          <a:spLocks noChangeArrowheads="1"/>
        </xdr:cNvSpPr>
      </xdr:nvSpPr>
      <xdr:spPr bwMode="auto">
        <a:xfrm>
          <a:off x="6134100"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24" name="Line 23">
          <a:extLst>
            <a:ext uri="{FF2B5EF4-FFF2-40B4-BE49-F238E27FC236}">
              <a16:creationId xmlns:a16="http://schemas.microsoft.com/office/drawing/2014/main" id="{F46239B0-7833-4A69-ACFF-24BE35A6752A}"/>
            </a:ext>
          </a:extLst>
        </xdr:cNvPr>
        <xdr:cNvSpPr>
          <a:spLocks noChangeShapeType="1"/>
        </xdr:cNvSpPr>
      </xdr:nvSpPr>
      <xdr:spPr bwMode="auto">
        <a:xfrm>
          <a:off x="6134100"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25" name="Text Box 24">
          <a:extLst>
            <a:ext uri="{FF2B5EF4-FFF2-40B4-BE49-F238E27FC236}">
              <a16:creationId xmlns:a16="http://schemas.microsoft.com/office/drawing/2014/main" id="{17AA1688-E603-41F7-A126-47A7087FE161}"/>
            </a:ext>
          </a:extLst>
        </xdr:cNvPr>
        <xdr:cNvSpPr txBox="1">
          <a:spLocks noChangeArrowheads="1"/>
        </xdr:cNvSpPr>
      </xdr:nvSpPr>
      <xdr:spPr bwMode="auto">
        <a:xfrm>
          <a:off x="6134100"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26" name="Line 25">
          <a:extLst>
            <a:ext uri="{FF2B5EF4-FFF2-40B4-BE49-F238E27FC236}">
              <a16:creationId xmlns:a16="http://schemas.microsoft.com/office/drawing/2014/main" id="{A67F5BED-D2BF-455C-816A-EADB31228A14}"/>
            </a:ext>
          </a:extLst>
        </xdr:cNvPr>
        <xdr:cNvSpPr>
          <a:spLocks noChangeShapeType="1"/>
        </xdr:cNvSpPr>
      </xdr:nvSpPr>
      <xdr:spPr bwMode="auto">
        <a:xfrm>
          <a:off x="6134100"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27" name="Text Box 26">
          <a:extLst>
            <a:ext uri="{FF2B5EF4-FFF2-40B4-BE49-F238E27FC236}">
              <a16:creationId xmlns:a16="http://schemas.microsoft.com/office/drawing/2014/main" id="{9CF950B6-A861-4D78-BF77-AA092934D6AA}"/>
            </a:ext>
          </a:extLst>
        </xdr:cNvPr>
        <xdr:cNvSpPr txBox="1">
          <a:spLocks noChangeArrowheads="1"/>
        </xdr:cNvSpPr>
      </xdr:nvSpPr>
      <xdr:spPr bwMode="auto">
        <a:xfrm>
          <a:off x="6134100"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28" name="Line 27">
          <a:extLst>
            <a:ext uri="{FF2B5EF4-FFF2-40B4-BE49-F238E27FC236}">
              <a16:creationId xmlns:a16="http://schemas.microsoft.com/office/drawing/2014/main" id="{1156BCD6-A3F6-49D7-8E50-128B6FEE133C}"/>
            </a:ext>
          </a:extLst>
        </xdr:cNvPr>
        <xdr:cNvSpPr>
          <a:spLocks noChangeShapeType="1"/>
        </xdr:cNvSpPr>
      </xdr:nvSpPr>
      <xdr:spPr bwMode="auto">
        <a:xfrm>
          <a:off x="6134100"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29" name="Text Box 28">
          <a:extLst>
            <a:ext uri="{FF2B5EF4-FFF2-40B4-BE49-F238E27FC236}">
              <a16:creationId xmlns:a16="http://schemas.microsoft.com/office/drawing/2014/main" id="{C0B17BCA-AE9A-4733-BA65-2895388DDC8E}"/>
            </a:ext>
          </a:extLst>
        </xdr:cNvPr>
        <xdr:cNvSpPr txBox="1">
          <a:spLocks noChangeArrowheads="1"/>
        </xdr:cNvSpPr>
      </xdr:nvSpPr>
      <xdr:spPr bwMode="auto">
        <a:xfrm>
          <a:off x="6134100"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8</xdr:col>
      <xdr:colOff>0</xdr:colOff>
      <xdr:row>1</xdr:row>
      <xdr:rowOff>0</xdr:rowOff>
    </xdr:from>
    <xdr:to>
      <xdr:col>8</xdr:col>
      <xdr:colOff>0</xdr:colOff>
      <xdr:row>1</xdr:row>
      <xdr:rowOff>0</xdr:rowOff>
    </xdr:to>
    <xdr:sp macro="" textlink="">
      <xdr:nvSpPr>
        <xdr:cNvPr id="2" name="Line 1">
          <a:extLst>
            <a:ext uri="{FF2B5EF4-FFF2-40B4-BE49-F238E27FC236}">
              <a16:creationId xmlns:a16="http://schemas.microsoft.com/office/drawing/2014/main" id="{41FB9D4D-1526-40FC-99F3-6C4E90AD3778}"/>
            </a:ext>
          </a:extLst>
        </xdr:cNvPr>
        <xdr:cNvSpPr>
          <a:spLocks noChangeShapeType="1"/>
        </xdr:cNvSpPr>
      </xdr:nvSpPr>
      <xdr:spPr bwMode="auto">
        <a:xfrm>
          <a:off x="9906000"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3" name="Text Box 2">
          <a:extLst>
            <a:ext uri="{FF2B5EF4-FFF2-40B4-BE49-F238E27FC236}">
              <a16:creationId xmlns:a16="http://schemas.microsoft.com/office/drawing/2014/main" id="{74DA1025-F559-491E-8FBC-762FF4ECF3B0}"/>
            </a:ext>
          </a:extLst>
        </xdr:cNvPr>
        <xdr:cNvSpPr txBox="1">
          <a:spLocks noChangeArrowheads="1"/>
        </xdr:cNvSpPr>
      </xdr:nvSpPr>
      <xdr:spPr bwMode="auto">
        <a:xfrm>
          <a:off x="9906000"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4" name="Line 3">
          <a:extLst>
            <a:ext uri="{FF2B5EF4-FFF2-40B4-BE49-F238E27FC236}">
              <a16:creationId xmlns:a16="http://schemas.microsoft.com/office/drawing/2014/main" id="{A1902EEB-8EEB-4F88-9A99-0262F689371F}"/>
            </a:ext>
          </a:extLst>
        </xdr:cNvPr>
        <xdr:cNvSpPr>
          <a:spLocks noChangeShapeType="1"/>
        </xdr:cNvSpPr>
      </xdr:nvSpPr>
      <xdr:spPr bwMode="auto">
        <a:xfrm>
          <a:off x="9906000"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5" name="Text Box 4">
          <a:extLst>
            <a:ext uri="{FF2B5EF4-FFF2-40B4-BE49-F238E27FC236}">
              <a16:creationId xmlns:a16="http://schemas.microsoft.com/office/drawing/2014/main" id="{D3BD5D2E-A55D-470B-8B2D-D77943C418E5}"/>
            </a:ext>
          </a:extLst>
        </xdr:cNvPr>
        <xdr:cNvSpPr txBox="1">
          <a:spLocks noChangeArrowheads="1"/>
        </xdr:cNvSpPr>
      </xdr:nvSpPr>
      <xdr:spPr bwMode="auto">
        <a:xfrm>
          <a:off x="9906000"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6" name="Line 5">
          <a:extLst>
            <a:ext uri="{FF2B5EF4-FFF2-40B4-BE49-F238E27FC236}">
              <a16:creationId xmlns:a16="http://schemas.microsoft.com/office/drawing/2014/main" id="{CF82CCF2-DC2D-4D29-B5BD-5A72D26E647F}"/>
            </a:ext>
          </a:extLst>
        </xdr:cNvPr>
        <xdr:cNvSpPr>
          <a:spLocks noChangeShapeType="1"/>
        </xdr:cNvSpPr>
      </xdr:nvSpPr>
      <xdr:spPr bwMode="auto">
        <a:xfrm>
          <a:off x="9906000"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7" name="Text Box 6">
          <a:extLst>
            <a:ext uri="{FF2B5EF4-FFF2-40B4-BE49-F238E27FC236}">
              <a16:creationId xmlns:a16="http://schemas.microsoft.com/office/drawing/2014/main" id="{D91DFADB-6A3D-4E80-835B-9E50648AF109}"/>
            </a:ext>
          </a:extLst>
        </xdr:cNvPr>
        <xdr:cNvSpPr txBox="1">
          <a:spLocks noChangeArrowheads="1"/>
        </xdr:cNvSpPr>
      </xdr:nvSpPr>
      <xdr:spPr bwMode="auto">
        <a:xfrm>
          <a:off x="9906000"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8" name="Line 7">
          <a:extLst>
            <a:ext uri="{FF2B5EF4-FFF2-40B4-BE49-F238E27FC236}">
              <a16:creationId xmlns:a16="http://schemas.microsoft.com/office/drawing/2014/main" id="{49310B05-6405-4B46-AD8C-AE3023540171}"/>
            </a:ext>
          </a:extLst>
        </xdr:cNvPr>
        <xdr:cNvSpPr>
          <a:spLocks noChangeShapeType="1"/>
        </xdr:cNvSpPr>
      </xdr:nvSpPr>
      <xdr:spPr bwMode="auto">
        <a:xfrm>
          <a:off x="9906000"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9" name="Text Box 8">
          <a:extLst>
            <a:ext uri="{FF2B5EF4-FFF2-40B4-BE49-F238E27FC236}">
              <a16:creationId xmlns:a16="http://schemas.microsoft.com/office/drawing/2014/main" id="{529DD055-A440-43F6-A293-3E3888A5DA4C}"/>
            </a:ext>
          </a:extLst>
        </xdr:cNvPr>
        <xdr:cNvSpPr txBox="1">
          <a:spLocks noChangeArrowheads="1"/>
        </xdr:cNvSpPr>
      </xdr:nvSpPr>
      <xdr:spPr bwMode="auto">
        <a:xfrm>
          <a:off x="9906000"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10" name="Line 9">
          <a:extLst>
            <a:ext uri="{FF2B5EF4-FFF2-40B4-BE49-F238E27FC236}">
              <a16:creationId xmlns:a16="http://schemas.microsoft.com/office/drawing/2014/main" id="{1C49D336-45C0-4979-A9D6-F8CD1E6BDD0D}"/>
            </a:ext>
          </a:extLst>
        </xdr:cNvPr>
        <xdr:cNvSpPr>
          <a:spLocks noChangeShapeType="1"/>
        </xdr:cNvSpPr>
      </xdr:nvSpPr>
      <xdr:spPr bwMode="auto">
        <a:xfrm>
          <a:off x="9906000"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11" name="Text Box 10">
          <a:extLst>
            <a:ext uri="{FF2B5EF4-FFF2-40B4-BE49-F238E27FC236}">
              <a16:creationId xmlns:a16="http://schemas.microsoft.com/office/drawing/2014/main" id="{834CCB68-A13B-43EE-8987-7CC0964F7009}"/>
            </a:ext>
          </a:extLst>
        </xdr:cNvPr>
        <xdr:cNvSpPr txBox="1">
          <a:spLocks noChangeArrowheads="1"/>
        </xdr:cNvSpPr>
      </xdr:nvSpPr>
      <xdr:spPr bwMode="auto">
        <a:xfrm>
          <a:off x="9906000"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12" name="Line 11">
          <a:extLst>
            <a:ext uri="{FF2B5EF4-FFF2-40B4-BE49-F238E27FC236}">
              <a16:creationId xmlns:a16="http://schemas.microsoft.com/office/drawing/2014/main" id="{D644F77D-2A3D-41C0-84EA-21DF8A261B76}"/>
            </a:ext>
          </a:extLst>
        </xdr:cNvPr>
        <xdr:cNvSpPr>
          <a:spLocks noChangeShapeType="1"/>
        </xdr:cNvSpPr>
      </xdr:nvSpPr>
      <xdr:spPr bwMode="auto">
        <a:xfrm>
          <a:off x="9906000"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13" name="Text Box 12">
          <a:extLst>
            <a:ext uri="{FF2B5EF4-FFF2-40B4-BE49-F238E27FC236}">
              <a16:creationId xmlns:a16="http://schemas.microsoft.com/office/drawing/2014/main" id="{C8F8CE73-454E-4E5B-B56D-8B4BC16C7DE4}"/>
            </a:ext>
          </a:extLst>
        </xdr:cNvPr>
        <xdr:cNvSpPr txBox="1">
          <a:spLocks noChangeArrowheads="1"/>
        </xdr:cNvSpPr>
      </xdr:nvSpPr>
      <xdr:spPr bwMode="auto">
        <a:xfrm>
          <a:off x="9906000"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14" name="Line 13">
          <a:extLst>
            <a:ext uri="{FF2B5EF4-FFF2-40B4-BE49-F238E27FC236}">
              <a16:creationId xmlns:a16="http://schemas.microsoft.com/office/drawing/2014/main" id="{2CCC5915-3B55-48FC-875A-597F34C9EB31}"/>
            </a:ext>
          </a:extLst>
        </xdr:cNvPr>
        <xdr:cNvSpPr>
          <a:spLocks noChangeShapeType="1"/>
        </xdr:cNvSpPr>
      </xdr:nvSpPr>
      <xdr:spPr bwMode="auto">
        <a:xfrm>
          <a:off x="9906000"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15" name="Text Box 14">
          <a:extLst>
            <a:ext uri="{FF2B5EF4-FFF2-40B4-BE49-F238E27FC236}">
              <a16:creationId xmlns:a16="http://schemas.microsoft.com/office/drawing/2014/main" id="{9A71771C-243D-46FD-983F-578A7B4F179F}"/>
            </a:ext>
          </a:extLst>
        </xdr:cNvPr>
        <xdr:cNvSpPr txBox="1">
          <a:spLocks noChangeArrowheads="1"/>
        </xdr:cNvSpPr>
      </xdr:nvSpPr>
      <xdr:spPr bwMode="auto">
        <a:xfrm>
          <a:off x="9906000"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16" name="Line 15">
          <a:extLst>
            <a:ext uri="{FF2B5EF4-FFF2-40B4-BE49-F238E27FC236}">
              <a16:creationId xmlns:a16="http://schemas.microsoft.com/office/drawing/2014/main" id="{B31ABAC0-6B15-4094-859D-1C953B4B2FCB}"/>
            </a:ext>
          </a:extLst>
        </xdr:cNvPr>
        <xdr:cNvSpPr>
          <a:spLocks noChangeShapeType="1"/>
        </xdr:cNvSpPr>
      </xdr:nvSpPr>
      <xdr:spPr bwMode="auto">
        <a:xfrm>
          <a:off x="9906000"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17" name="Text Box 16">
          <a:extLst>
            <a:ext uri="{FF2B5EF4-FFF2-40B4-BE49-F238E27FC236}">
              <a16:creationId xmlns:a16="http://schemas.microsoft.com/office/drawing/2014/main" id="{F9D6773D-B8E0-40D1-9882-41131B430900}"/>
            </a:ext>
          </a:extLst>
        </xdr:cNvPr>
        <xdr:cNvSpPr txBox="1">
          <a:spLocks noChangeArrowheads="1"/>
        </xdr:cNvSpPr>
      </xdr:nvSpPr>
      <xdr:spPr bwMode="auto">
        <a:xfrm>
          <a:off x="9906000"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18" name="Line 17">
          <a:extLst>
            <a:ext uri="{FF2B5EF4-FFF2-40B4-BE49-F238E27FC236}">
              <a16:creationId xmlns:a16="http://schemas.microsoft.com/office/drawing/2014/main" id="{7629D128-65F6-4244-BD28-0C185D10F876}"/>
            </a:ext>
          </a:extLst>
        </xdr:cNvPr>
        <xdr:cNvSpPr>
          <a:spLocks noChangeShapeType="1"/>
        </xdr:cNvSpPr>
      </xdr:nvSpPr>
      <xdr:spPr bwMode="auto">
        <a:xfrm>
          <a:off x="9906000"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19" name="Text Box 18">
          <a:extLst>
            <a:ext uri="{FF2B5EF4-FFF2-40B4-BE49-F238E27FC236}">
              <a16:creationId xmlns:a16="http://schemas.microsoft.com/office/drawing/2014/main" id="{127FA082-43C2-43F0-8418-34D2CF1EBF1A}"/>
            </a:ext>
          </a:extLst>
        </xdr:cNvPr>
        <xdr:cNvSpPr txBox="1">
          <a:spLocks noChangeArrowheads="1"/>
        </xdr:cNvSpPr>
      </xdr:nvSpPr>
      <xdr:spPr bwMode="auto">
        <a:xfrm>
          <a:off x="9906000"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20" name="Line 19">
          <a:extLst>
            <a:ext uri="{FF2B5EF4-FFF2-40B4-BE49-F238E27FC236}">
              <a16:creationId xmlns:a16="http://schemas.microsoft.com/office/drawing/2014/main" id="{C6FF42BB-4733-45A3-8126-1E81008C17E1}"/>
            </a:ext>
          </a:extLst>
        </xdr:cNvPr>
        <xdr:cNvSpPr>
          <a:spLocks noChangeShapeType="1"/>
        </xdr:cNvSpPr>
      </xdr:nvSpPr>
      <xdr:spPr bwMode="auto">
        <a:xfrm>
          <a:off x="9906000"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21" name="Text Box 20">
          <a:extLst>
            <a:ext uri="{FF2B5EF4-FFF2-40B4-BE49-F238E27FC236}">
              <a16:creationId xmlns:a16="http://schemas.microsoft.com/office/drawing/2014/main" id="{C009AA95-C2FA-4C02-9B95-859F0489A336}"/>
            </a:ext>
          </a:extLst>
        </xdr:cNvPr>
        <xdr:cNvSpPr txBox="1">
          <a:spLocks noChangeArrowheads="1"/>
        </xdr:cNvSpPr>
      </xdr:nvSpPr>
      <xdr:spPr bwMode="auto">
        <a:xfrm>
          <a:off x="9906000"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22" name="Line 21">
          <a:extLst>
            <a:ext uri="{FF2B5EF4-FFF2-40B4-BE49-F238E27FC236}">
              <a16:creationId xmlns:a16="http://schemas.microsoft.com/office/drawing/2014/main" id="{9791F61F-D83D-40DD-8B7D-A7A781604F1E}"/>
            </a:ext>
          </a:extLst>
        </xdr:cNvPr>
        <xdr:cNvSpPr>
          <a:spLocks noChangeShapeType="1"/>
        </xdr:cNvSpPr>
      </xdr:nvSpPr>
      <xdr:spPr bwMode="auto">
        <a:xfrm>
          <a:off x="9906000"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23" name="Text Box 22">
          <a:extLst>
            <a:ext uri="{FF2B5EF4-FFF2-40B4-BE49-F238E27FC236}">
              <a16:creationId xmlns:a16="http://schemas.microsoft.com/office/drawing/2014/main" id="{24126A85-B5F0-4132-BC50-5185D104FCA3}"/>
            </a:ext>
          </a:extLst>
        </xdr:cNvPr>
        <xdr:cNvSpPr txBox="1">
          <a:spLocks noChangeArrowheads="1"/>
        </xdr:cNvSpPr>
      </xdr:nvSpPr>
      <xdr:spPr bwMode="auto">
        <a:xfrm>
          <a:off x="9906000"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24" name="Line 23">
          <a:extLst>
            <a:ext uri="{FF2B5EF4-FFF2-40B4-BE49-F238E27FC236}">
              <a16:creationId xmlns:a16="http://schemas.microsoft.com/office/drawing/2014/main" id="{B70F191C-BD31-4E54-956C-FF1B30FE3AEC}"/>
            </a:ext>
          </a:extLst>
        </xdr:cNvPr>
        <xdr:cNvSpPr>
          <a:spLocks noChangeShapeType="1"/>
        </xdr:cNvSpPr>
      </xdr:nvSpPr>
      <xdr:spPr bwMode="auto">
        <a:xfrm>
          <a:off x="9906000"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25" name="Text Box 24">
          <a:extLst>
            <a:ext uri="{FF2B5EF4-FFF2-40B4-BE49-F238E27FC236}">
              <a16:creationId xmlns:a16="http://schemas.microsoft.com/office/drawing/2014/main" id="{D3975B6C-3095-477D-9381-887835566575}"/>
            </a:ext>
          </a:extLst>
        </xdr:cNvPr>
        <xdr:cNvSpPr txBox="1">
          <a:spLocks noChangeArrowheads="1"/>
        </xdr:cNvSpPr>
      </xdr:nvSpPr>
      <xdr:spPr bwMode="auto">
        <a:xfrm>
          <a:off x="9906000"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26" name="Line 25">
          <a:extLst>
            <a:ext uri="{FF2B5EF4-FFF2-40B4-BE49-F238E27FC236}">
              <a16:creationId xmlns:a16="http://schemas.microsoft.com/office/drawing/2014/main" id="{62C3F955-A4C9-4AA8-A0D1-4B118C2DC34F}"/>
            </a:ext>
          </a:extLst>
        </xdr:cNvPr>
        <xdr:cNvSpPr>
          <a:spLocks noChangeShapeType="1"/>
        </xdr:cNvSpPr>
      </xdr:nvSpPr>
      <xdr:spPr bwMode="auto">
        <a:xfrm>
          <a:off x="9906000"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27" name="Text Box 26">
          <a:extLst>
            <a:ext uri="{FF2B5EF4-FFF2-40B4-BE49-F238E27FC236}">
              <a16:creationId xmlns:a16="http://schemas.microsoft.com/office/drawing/2014/main" id="{C87F98DB-2AFC-4241-AFFA-DFEE3E49CA13}"/>
            </a:ext>
          </a:extLst>
        </xdr:cNvPr>
        <xdr:cNvSpPr txBox="1">
          <a:spLocks noChangeArrowheads="1"/>
        </xdr:cNvSpPr>
      </xdr:nvSpPr>
      <xdr:spPr bwMode="auto">
        <a:xfrm>
          <a:off x="9906000"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28" name="Line 27">
          <a:extLst>
            <a:ext uri="{FF2B5EF4-FFF2-40B4-BE49-F238E27FC236}">
              <a16:creationId xmlns:a16="http://schemas.microsoft.com/office/drawing/2014/main" id="{BFF4EA65-F779-4426-8E34-336A58E5944A}"/>
            </a:ext>
          </a:extLst>
        </xdr:cNvPr>
        <xdr:cNvSpPr>
          <a:spLocks noChangeShapeType="1"/>
        </xdr:cNvSpPr>
      </xdr:nvSpPr>
      <xdr:spPr bwMode="auto">
        <a:xfrm>
          <a:off x="9906000"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29" name="Text Box 28">
          <a:extLst>
            <a:ext uri="{FF2B5EF4-FFF2-40B4-BE49-F238E27FC236}">
              <a16:creationId xmlns:a16="http://schemas.microsoft.com/office/drawing/2014/main" id="{BCEB6143-D11F-48A5-8D1E-43121FB1B38B}"/>
            </a:ext>
          </a:extLst>
        </xdr:cNvPr>
        <xdr:cNvSpPr txBox="1">
          <a:spLocks noChangeArrowheads="1"/>
        </xdr:cNvSpPr>
      </xdr:nvSpPr>
      <xdr:spPr bwMode="auto">
        <a:xfrm>
          <a:off x="9906000"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30" name="Line 1">
          <a:extLst>
            <a:ext uri="{FF2B5EF4-FFF2-40B4-BE49-F238E27FC236}">
              <a16:creationId xmlns:a16="http://schemas.microsoft.com/office/drawing/2014/main" id="{D32E0589-AA21-4168-9B2F-6801CDE9A6DA}"/>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31" name="Text Box 2">
          <a:extLst>
            <a:ext uri="{FF2B5EF4-FFF2-40B4-BE49-F238E27FC236}">
              <a16:creationId xmlns:a16="http://schemas.microsoft.com/office/drawing/2014/main" id="{65E06319-88E5-46EE-A829-6ACB1C337EA7}"/>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32" name="Line 3">
          <a:extLst>
            <a:ext uri="{FF2B5EF4-FFF2-40B4-BE49-F238E27FC236}">
              <a16:creationId xmlns:a16="http://schemas.microsoft.com/office/drawing/2014/main" id="{E215840B-1FC3-4074-BB62-1C8C97D2F4F3}"/>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33" name="Text Box 4">
          <a:extLst>
            <a:ext uri="{FF2B5EF4-FFF2-40B4-BE49-F238E27FC236}">
              <a16:creationId xmlns:a16="http://schemas.microsoft.com/office/drawing/2014/main" id="{89DB7AEB-210F-4659-9C4D-9874C76CB369}"/>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34" name="Line 5">
          <a:extLst>
            <a:ext uri="{FF2B5EF4-FFF2-40B4-BE49-F238E27FC236}">
              <a16:creationId xmlns:a16="http://schemas.microsoft.com/office/drawing/2014/main" id="{53E06485-6CC1-41B0-9093-A12921B29CEA}"/>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35" name="Text Box 6">
          <a:extLst>
            <a:ext uri="{FF2B5EF4-FFF2-40B4-BE49-F238E27FC236}">
              <a16:creationId xmlns:a16="http://schemas.microsoft.com/office/drawing/2014/main" id="{2317B884-6864-4C0A-A8F7-A674E7B0B480}"/>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36" name="Line 7">
          <a:extLst>
            <a:ext uri="{FF2B5EF4-FFF2-40B4-BE49-F238E27FC236}">
              <a16:creationId xmlns:a16="http://schemas.microsoft.com/office/drawing/2014/main" id="{5F7B8E08-C8B8-47FD-8B1D-86E72BBEE3C6}"/>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37" name="Text Box 8">
          <a:extLst>
            <a:ext uri="{FF2B5EF4-FFF2-40B4-BE49-F238E27FC236}">
              <a16:creationId xmlns:a16="http://schemas.microsoft.com/office/drawing/2014/main" id="{F5946A0A-BAB5-4D24-B05C-AB7CB7DBF829}"/>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38" name="Line 9">
          <a:extLst>
            <a:ext uri="{FF2B5EF4-FFF2-40B4-BE49-F238E27FC236}">
              <a16:creationId xmlns:a16="http://schemas.microsoft.com/office/drawing/2014/main" id="{5EB1A518-FA91-4ED6-8A3E-615A615D5366}"/>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39" name="Text Box 10">
          <a:extLst>
            <a:ext uri="{FF2B5EF4-FFF2-40B4-BE49-F238E27FC236}">
              <a16:creationId xmlns:a16="http://schemas.microsoft.com/office/drawing/2014/main" id="{E6FBD19C-253F-46B7-96AD-A8848C90D6DA}"/>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40" name="Line 11">
          <a:extLst>
            <a:ext uri="{FF2B5EF4-FFF2-40B4-BE49-F238E27FC236}">
              <a16:creationId xmlns:a16="http://schemas.microsoft.com/office/drawing/2014/main" id="{F6869BB5-505A-4C46-A38B-67F13924520D}"/>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41" name="Text Box 12">
          <a:extLst>
            <a:ext uri="{FF2B5EF4-FFF2-40B4-BE49-F238E27FC236}">
              <a16:creationId xmlns:a16="http://schemas.microsoft.com/office/drawing/2014/main" id="{C1B97E2A-858D-4AFC-81BD-5B8745F814A7}"/>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42" name="Line 13">
          <a:extLst>
            <a:ext uri="{FF2B5EF4-FFF2-40B4-BE49-F238E27FC236}">
              <a16:creationId xmlns:a16="http://schemas.microsoft.com/office/drawing/2014/main" id="{A1EF04D6-FD15-4086-8881-C4665C4DC770}"/>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43" name="Text Box 14">
          <a:extLst>
            <a:ext uri="{FF2B5EF4-FFF2-40B4-BE49-F238E27FC236}">
              <a16:creationId xmlns:a16="http://schemas.microsoft.com/office/drawing/2014/main" id="{F8C5D89B-EAD0-4163-AA77-C32EEE73A491}"/>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44" name="Line 15">
          <a:extLst>
            <a:ext uri="{FF2B5EF4-FFF2-40B4-BE49-F238E27FC236}">
              <a16:creationId xmlns:a16="http://schemas.microsoft.com/office/drawing/2014/main" id="{12C9DAD2-9112-4BE3-A376-6D718826E927}"/>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45" name="Text Box 16">
          <a:extLst>
            <a:ext uri="{FF2B5EF4-FFF2-40B4-BE49-F238E27FC236}">
              <a16:creationId xmlns:a16="http://schemas.microsoft.com/office/drawing/2014/main" id="{6DB73DD3-8B8A-44BC-A04E-7842EFBB6F84}"/>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46" name="Line 17">
          <a:extLst>
            <a:ext uri="{FF2B5EF4-FFF2-40B4-BE49-F238E27FC236}">
              <a16:creationId xmlns:a16="http://schemas.microsoft.com/office/drawing/2014/main" id="{54EC09C4-C078-48D7-A1B5-C00F9C72050B}"/>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47" name="Text Box 18">
          <a:extLst>
            <a:ext uri="{FF2B5EF4-FFF2-40B4-BE49-F238E27FC236}">
              <a16:creationId xmlns:a16="http://schemas.microsoft.com/office/drawing/2014/main" id="{1C6075F8-9627-4614-A078-FFBAEFA179F4}"/>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48" name="Line 19">
          <a:extLst>
            <a:ext uri="{FF2B5EF4-FFF2-40B4-BE49-F238E27FC236}">
              <a16:creationId xmlns:a16="http://schemas.microsoft.com/office/drawing/2014/main" id="{30FA4407-76DB-4AC1-A9C1-6FD948BAD291}"/>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49" name="Text Box 20">
          <a:extLst>
            <a:ext uri="{FF2B5EF4-FFF2-40B4-BE49-F238E27FC236}">
              <a16:creationId xmlns:a16="http://schemas.microsoft.com/office/drawing/2014/main" id="{FF984BED-FE5C-4C61-819B-3649F25FB667}"/>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50" name="Line 21">
          <a:extLst>
            <a:ext uri="{FF2B5EF4-FFF2-40B4-BE49-F238E27FC236}">
              <a16:creationId xmlns:a16="http://schemas.microsoft.com/office/drawing/2014/main" id="{7E59889A-5CA2-43F7-B88E-33ACCCA3FE15}"/>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51" name="Text Box 22">
          <a:extLst>
            <a:ext uri="{FF2B5EF4-FFF2-40B4-BE49-F238E27FC236}">
              <a16:creationId xmlns:a16="http://schemas.microsoft.com/office/drawing/2014/main" id="{08FC1683-12CC-4F92-8FCE-8A2F0EDB2A3E}"/>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52" name="Line 23">
          <a:extLst>
            <a:ext uri="{FF2B5EF4-FFF2-40B4-BE49-F238E27FC236}">
              <a16:creationId xmlns:a16="http://schemas.microsoft.com/office/drawing/2014/main" id="{B104FBF6-F262-4007-9649-6AC13C4640D7}"/>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53" name="Text Box 24">
          <a:extLst>
            <a:ext uri="{FF2B5EF4-FFF2-40B4-BE49-F238E27FC236}">
              <a16:creationId xmlns:a16="http://schemas.microsoft.com/office/drawing/2014/main" id="{E7608E7D-92C9-4300-8F1C-BB704CBA2284}"/>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54" name="Line 25">
          <a:extLst>
            <a:ext uri="{FF2B5EF4-FFF2-40B4-BE49-F238E27FC236}">
              <a16:creationId xmlns:a16="http://schemas.microsoft.com/office/drawing/2014/main" id="{C7481E59-2D3F-4DD4-8785-6A154D57FE0B}"/>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55" name="Text Box 26">
          <a:extLst>
            <a:ext uri="{FF2B5EF4-FFF2-40B4-BE49-F238E27FC236}">
              <a16:creationId xmlns:a16="http://schemas.microsoft.com/office/drawing/2014/main" id="{C5E27CFD-5FF8-4250-AED5-ED3DF98243A9}"/>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56" name="Line 27">
          <a:extLst>
            <a:ext uri="{FF2B5EF4-FFF2-40B4-BE49-F238E27FC236}">
              <a16:creationId xmlns:a16="http://schemas.microsoft.com/office/drawing/2014/main" id="{A2CCB633-263E-48CD-AEB7-61F0114F2169}"/>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57" name="Text Box 28">
          <a:extLst>
            <a:ext uri="{FF2B5EF4-FFF2-40B4-BE49-F238E27FC236}">
              <a16:creationId xmlns:a16="http://schemas.microsoft.com/office/drawing/2014/main" id="{5BD9E6D0-DE17-4E21-A930-12AFA4E87196}"/>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44</xdr:row>
      <xdr:rowOff>0</xdr:rowOff>
    </xdr:from>
    <xdr:to>
      <xdr:col>8</xdr:col>
      <xdr:colOff>0</xdr:colOff>
      <xdr:row>44</xdr:row>
      <xdr:rowOff>0</xdr:rowOff>
    </xdr:to>
    <xdr:sp macro="" textlink="">
      <xdr:nvSpPr>
        <xdr:cNvPr id="58" name="Line 1">
          <a:extLst>
            <a:ext uri="{FF2B5EF4-FFF2-40B4-BE49-F238E27FC236}">
              <a16:creationId xmlns:a16="http://schemas.microsoft.com/office/drawing/2014/main" id="{FC755A87-075B-4C60-B2B9-4D2A2B56D3A5}"/>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44</xdr:row>
      <xdr:rowOff>0</xdr:rowOff>
    </xdr:from>
    <xdr:to>
      <xdr:col>8</xdr:col>
      <xdr:colOff>0</xdr:colOff>
      <xdr:row>44</xdr:row>
      <xdr:rowOff>0</xdr:rowOff>
    </xdr:to>
    <xdr:sp macro="" textlink="">
      <xdr:nvSpPr>
        <xdr:cNvPr id="59" name="Text Box 2">
          <a:extLst>
            <a:ext uri="{FF2B5EF4-FFF2-40B4-BE49-F238E27FC236}">
              <a16:creationId xmlns:a16="http://schemas.microsoft.com/office/drawing/2014/main" id="{383A0539-C14D-453E-8BC9-86260360F7D0}"/>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44</xdr:row>
      <xdr:rowOff>0</xdr:rowOff>
    </xdr:from>
    <xdr:to>
      <xdr:col>8</xdr:col>
      <xdr:colOff>0</xdr:colOff>
      <xdr:row>44</xdr:row>
      <xdr:rowOff>0</xdr:rowOff>
    </xdr:to>
    <xdr:sp macro="" textlink="">
      <xdr:nvSpPr>
        <xdr:cNvPr id="60" name="Line 3">
          <a:extLst>
            <a:ext uri="{FF2B5EF4-FFF2-40B4-BE49-F238E27FC236}">
              <a16:creationId xmlns:a16="http://schemas.microsoft.com/office/drawing/2014/main" id="{F62605A2-BCE8-4F1A-B1A7-3F340D65CDF3}"/>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44</xdr:row>
      <xdr:rowOff>0</xdr:rowOff>
    </xdr:from>
    <xdr:to>
      <xdr:col>8</xdr:col>
      <xdr:colOff>0</xdr:colOff>
      <xdr:row>44</xdr:row>
      <xdr:rowOff>0</xdr:rowOff>
    </xdr:to>
    <xdr:sp macro="" textlink="">
      <xdr:nvSpPr>
        <xdr:cNvPr id="61" name="Text Box 4">
          <a:extLst>
            <a:ext uri="{FF2B5EF4-FFF2-40B4-BE49-F238E27FC236}">
              <a16:creationId xmlns:a16="http://schemas.microsoft.com/office/drawing/2014/main" id="{90736218-E189-41E4-98EF-673701B6378C}"/>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44</xdr:row>
      <xdr:rowOff>0</xdr:rowOff>
    </xdr:from>
    <xdr:to>
      <xdr:col>8</xdr:col>
      <xdr:colOff>0</xdr:colOff>
      <xdr:row>44</xdr:row>
      <xdr:rowOff>0</xdr:rowOff>
    </xdr:to>
    <xdr:sp macro="" textlink="">
      <xdr:nvSpPr>
        <xdr:cNvPr id="62" name="Line 5">
          <a:extLst>
            <a:ext uri="{FF2B5EF4-FFF2-40B4-BE49-F238E27FC236}">
              <a16:creationId xmlns:a16="http://schemas.microsoft.com/office/drawing/2014/main" id="{36D847B8-5130-46D8-B96D-CDAD2EA66B34}"/>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44</xdr:row>
      <xdr:rowOff>0</xdr:rowOff>
    </xdr:from>
    <xdr:to>
      <xdr:col>8</xdr:col>
      <xdr:colOff>0</xdr:colOff>
      <xdr:row>44</xdr:row>
      <xdr:rowOff>0</xdr:rowOff>
    </xdr:to>
    <xdr:sp macro="" textlink="">
      <xdr:nvSpPr>
        <xdr:cNvPr id="63" name="Text Box 6">
          <a:extLst>
            <a:ext uri="{FF2B5EF4-FFF2-40B4-BE49-F238E27FC236}">
              <a16:creationId xmlns:a16="http://schemas.microsoft.com/office/drawing/2014/main" id="{09E0AA86-B01E-49CB-BD3D-A3FDA00D08B6}"/>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44</xdr:row>
      <xdr:rowOff>0</xdr:rowOff>
    </xdr:from>
    <xdr:to>
      <xdr:col>8</xdr:col>
      <xdr:colOff>0</xdr:colOff>
      <xdr:row>44</xdr:row>
      <xdr:rowOff>0</xdr:rowOff>
    </xdr:to>
    <xdr:sp macro="" textlink="">
      <xdr:nvSpPr>
        <xdr:cNvPr id="64" name="Line 7">
          <a:extLst>
            <a:ext uri="{FF2B5EF4-FFF2-40B4-BE49-F238E27FC236}">
              <a16:creationId xmlns:a16="http://schemas.microsoft.com/office/drawing/2014/main" id="{A3B83341-6CF6-4F43-90CC-11F8FCAF023A}"/>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44</xdr:row>
      <xdr:rowOff>0</xdr:rowOff>
    </xdr:from>
    <xdr:to>
      <xdr:col>8</xdr:col>
      <xdr:colOff>0</xdr:colOff>
      <xdr:row>44</xdr:row>
      <xdr:rowOff>0</xdr:rowOff>
    </xdr:to>
    <xdr:sp macro="" textlink="">
      <xdr:nvSpPr>
        <xdr:cNvPr id="65" name="Text Box 8">
          <a:extLst>
            <a:ext uri="{FF2B5EF4-FFF2-40B4-BE49-F238E27FC236}">
              <a16:creationId xmlns:a16="http://schemas.microsoft.com/office/drawing/2014/main" id="{88F1E38C-65FF-492B-B8BF-1628BD81BE07}"/>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44</xdr:row>
      <xdr:rowOff>0</xdr:rowOff>
    </xdr:from>
    <xdr:to>
      <xdr:col>8</xdr:col>
      <xdr:colOff>0</xdr:colOff>
      <xdr:row>44</xdr:row>
      <xdr:rowOff>0</xdr:rowOff>
    </xdr:to>
    <xdr:sp macro="" textlink="">
      <xdr:nvSpPr>
        <xdr:cNvPr id="66" name="Line 9">
          <a:extLst>
            <a:ext uri="{FF2B5EF4-FFF2-40B4-BE49-F238E27FC236}">
              <a16:creationId xmlns:a16="http://schemas.microsoft.com/office/drawing/2014/main" id="{E128FAA2-D64D-4172-941B-820B7B169AE7}"/>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44</xdr:row>
      <xdr:rowOff>0</xdr:rowOff>
    </xdr:from>
    <xdr:to>
      <xdr:col>8</xdr:col>
      <xdr:colOff>0</xdr:colOff>
      <xdr:row>44</xdr:row>
      <xdr:rowOff>0</xdr:rowOff>
    </xdr:to>
    <xdr:sp macro="" textlink="">
      <xdr:nvSpPr>
        <xdr:cNvPr id="67" name="Text Box 10">
          <a:extLst>
            <a:ext uri="{FF2B5EF4-FFF2-40B4-BE49-F238E27FC236}">
              <a16:creationId xmlns:a16="http://schemas.microsoft.com/office/drawing/2014/main" id="{44904EC0-0467-41CF-9614-9B7A4D951DC0}"/>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44</xdr:row>
      <xdr:rowOff>0</xdr:rowOff>
    </xdr:from>
    <xdr:to>
      <xdr:col>8</xdr:col>
      <xdr:colOff>0</xdr:colOff>
      <xdr:row>44</xdr:row>
      <xdr:rowOff>0</xdr:rowOff>
    </xdr:to>
    <xdr:sp macro="" textlink="">
      <xdr:nvSpPr>
        <xdr:cNvPr id="68" name="Line 11">
          <a:extLst>
            <a:ext uri="{FF2B5EF4-FFF2-40B4-BE49-F238E27FC236}">
              <a16:creationId xmlns:a16="http://schemas.microsoft.com/office/drawing/2014/main" id="{E293AC2C-B23E-459A-9D83-9E1006B6F210}"/>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44</xdr:row>
      <xdr:rowOff>0</xdr:rowOff>
    </xdr:from>
    <xdr:to>
      <xdr:col>8</xdr:col>
      <xdr:colOff>0</xdr:colOff>
      <xdr:row>44</xdr:row>
      <xdr:rowOff>0</xdr:rowOff>
    </xdr:to>
    <xdr:sp macro="" textlink="">
      <xdr:nvSpPr>
        <xdr:cNvPr id="69" name="Text Box 12">
          <a:extLst>
            <a:ext uri="{FF2B5EF4-FFF2-40B4-BE49-F238E27FC236}">
              <a16:creationId xmlns:a16="http://schemas.microsoft.com/office/drawing/2014/main" id="{CBC95970-FE16-40CB-B1F8-CCF7342EE216}"/>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44</xdr:row>
      <xdr:rowOff>0</xdr:rowOff>
    </xdr:from>
    <xdr:to>
      <xdr:col>8</xdr:col>
      <xdr:colOff>0</xdr:colOff>
      <xdr:row>44</xdr:row>
      <xdr:rowOff>0</xdr:rowOff>
    </xdr:to>
    <xdr:sp macro="" textlink="">
      <xdr:nvSpPr>
        <xdr:cNvPr id="70" name="Line 13">
          <a:extLst>
            <a:ext uri="{FF2B5EF4-FFF2-40B4-BE49-F238E27FC236}">
              <a16:creationId xmlns:a16="http://schemas.microsoft.com/office/drawing/2014/main" id="{0F6E8DA4-2671-4024-9EB5-91A292A19AA8}"/>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44</xdr:row>
      <xdr:rowOff>0</xdr:rowOff>
    </xdr:from>
    <xdr:to>
      <xdr:col>8</xdr:col>
      <xdr:colOff>0</xdr:colOff>
      <xdr:row>44</xdr:row>
      <xdr:rowOff>0</xdr:rowOff>
    </xdr:to>
    <xdr:sp macro="" textlink="">
      <xdr:nvSpPr>
        <xdr:cNvPr id="71" name="Text Box 14">
          <a:extLst>
            <a:ext uri="{FF2B5EF4-FFF2-40B4-BE49-F238E27FC236}">
              <a16:creationId xmlns:a16="http://schemas.microsoft.com/office/drawing/2014/main" id="{119C34E0-50AE-428F-AD4C-A01F0D428D5A}"/>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44</xdr:row>
      <xdr:rowOff>0</xdr:rowOff>
    </xdr:from>
    <xdr:to>
      <xdr:col>8</xdr:col>
      <xdr:colOff>0</xdr:colOff>
      <xdr:row>44</xdr:row>
      <xdr:rowOff>0</xdr:rowOff>
    </xdr:to>
    <xdr:sp macro="" textlink="">
      <xdr:nvSpPr>
        <xdr:cNvPr id="72" name="Line 15">
          <a:extLst>
            <a:ext uri="{FF2B5EF4-FFF2-40B4-BE49-F238E27FC236}">
              <a16:creationId xmlns:a16="http://schemas.microsoft.com/office/drawing/2014/main" id="{F9860F1A-1D9C-48BE-933A-A4C003E24178}"/>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44</xdr:row>
      <xdr:rowOff>0</xdr:rowOff>
    </xdr:from>
    <xdr:to>
      <xdr:col>8</xdr:col>
      <xdr:colOff>0</xdr:colOff>
      <xdr:row>44</xdr:row>
      <xdr:rowOff>0</xdr:rowOff>
    </xdr:to>
    <xdr:sp macro="" textlink="">
      <xdr:nvSpPr>
        <xdr:cNvPr id="73" name="Text Box 16">
          <a:extLst>
            <a:ext uri="{FF2B5EF4-FFF2-40B4-BE49-F238E27FC236}">
              <a16:creationId xmlns:a16="http://schemas.microsoft.com/office/drawing/2014/main" id="{C56B88D1-B7A3-4D16-935F-DFE406F5AC19}"/>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44</xdr:row>
      <xdr:rowOff>0</xdr:rowOff>
    </xdr:from>
    <xdr:to>
      <xdr:col>8</xdr:col>
      <xdr:colOff>0</xdr:colOff>
      <xdr:row>44</xdr:row>
      <xdr:rowOff>0</xdr:rowOff>
    </xdr:to>
    <xdr:sp macro="" textlink="">
      <xdr:nvSpPr>
        <xdr:cNvPr id="74" name="Line 17">
          <a:extLst>
            <a:ext uri="{FF2B5EF4-FFF2-40B4-BE49-F238E27FC236}">
              <a16:creationId xmlns:a16="http://schemas.microsoft.com/office/drawing/2014/main" id="{B9021DBB-51DE-4595-9FB4-3DB96F4DA42F}"/>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44</xdr:row>
      <xdr:rowOff>0</xdr:rowOff>
    </xdr:from>
    <xdr:to>
      <xdr:col>8</xdr:col>
      <xdr:colOff>0</xdr:colOff>
      <xdr:row>44</xdr:row>
      <xdr:rowOff>0</xdr:rowOff>
    </xdr:to>
    <xdr:sp macro="" textlink="">
      <xdr:nvSpPr>
        <xdr:cNvPr id="75" name="Text Box 18">
          <a:extLst>
            <a:ext uri="{FF2B5EF4-FFF2-40B4-BE49-F238E27FC236}">
              <a16:creationId xmlns:a16="http://schemas.microsoft.com/office/drawing/2014/main" id="{DF213B84-CC8B-4F35-BA71-A644A1672716}"/>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44</xdr:row>
      <xdr:rowOff>0</xdr:rowOff>
    </xdr:from>
    <xdr:to>
      <xdr:col>8</xdr:col>
      <xdr:colOff>0</xdr:colOff>
      <xdr:row>44</xdr:row>
      <xdr:rowOff>0</xdr:rowOff>
    </xdr:to>
    <xdr:sp macro="" textlink="">
      <xdr:nvSpPr>
        <xdr:cNvPr id="76" name="Line 19">
          <a:extLst>
            <a:ext uri="{FF2B5EF4-FFF2-40B4-BE49-F238E27FC236}">
              <a16:creationId xmlns:a16="http://schemas.microsoft.com/office/drawing/2014/main" id="{A4523065-7D87-4321-BA72-E1AB6475FFC3}"/>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44</xdr:row>
      <xdr:rowOff>0</xdr:rowOff>
    </xdr:from>
    <xdr:to>
      <xdr:col>8</xdr:col>
      <xdr:colOff>0</xdr:colOff>
      <xdr:row>44</xdr:row>
      <xdr:rowOff>0</xdr:rowOff>
    </xdr:to>
    <xdr:sp macro="" textlink="">
      <xdr:nvSpPr>
        <xdr:cNvPr id="77" name="Text Box 20">
          <a:extLst>
            <a:ext uri="{FF2B5EF4-FFF2-40B4-BE49-F238E27FC236}">
              <a16:creationId xmlns:a16="http://schemas.microsoft.com/office/drawing/2014/main" id="{DD207C09-C05F-4797-80E5-C3C312B1913A}"/>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44</xdr:row>
      <xdr:rowOff>0</xdr:rowOff>
    </xdr:from>
    <xdr:to>
      <xdr:col>8</xdr:col>
      <xdr:colOff>0</xdr:colOff>
      <xdr:row>44</xdr:row>
      <xdr:rowOff>0</xdr:rowOff>
    </xdr:to>
    <xdr:sp macro="" textlink="">
      <xdr:nvSpPr>
        <xdr:cNvPr id="78" name="Line 21">
          <a:extLst>
            <a:ext uri="{FF2B5EF4-FFF2-40B4-BE49-F238E27FC236}">
              <a16:creationId xmlns:a16="http://schemas.microsoft.com/office/drawing/2014/main" id="{244C4813-AEE3-411A-BDDF-CE684593DF31}"/>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44</xdr:row>
      <xdr:rowOff>0</xdr:rowOff>
    </xdr:from>
    <xdr:to>
      <xdr:col>8</xdr:col>
      <xdr:colOff>0</xdr:colOff>
      <xdr:row>44</xdr:row>
      <xdr:rowOff>0</xdr:rowOff>
    </xdr:to>
    <xdr:sp macro="" textlink="">
      <xdr:nvSpPr>
        <xdr:cNvPr id="79" name="Text Box 22">
          <a:extLst>
            <a:ext uri="{FF2B5EF4-FFF2-40B4-BE49-F238E27FC236}">
              <a16:creationId xmlns:a16="http://schemas.microsoft.com/office/drawing/2014/main" id="{EC82D259-CDEF-420B-8698-D475BBEEAB37}"/>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44</xdr:row>
      <xdr:rowOff>0</xdr:rowOff>
    </xdr:from>
    <xdr:to>
      <xdr:col>8</xdr:col>
      <xdr:colOff>0</xdr:colOff>
      <xdr:row>44</xdr:row>
      <xdr:rowOff>0</xdr:rowOff>
    </xdr:to>
    <xdr:sp macro="" textlink="">
      <xdr:nvSpPr>
        <xdr:cNvPr id="80" name="Line 23">
          <a:extLst>
            <a:ext uri="{FF2B5EF4-FFF2-40B4-BE49-F238E27FC236}">
              <a16:creationId xmlns:a16="http://schemas.microsoft.com/office/drawing/2014/main" id="{0ADB47E0-C762-43F3-981C-1D4D9EE79128}"/>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44</xdr:row>
      <xdr:rowOff>0</xdr:rowOff>
    </xdr:from>
    <xdr:to>
      <xdr:col>8</xdr:col>
      <xdr:colOff>0</xdr:colOff>
      <xdr:row>44</xdr:row>
      <xdr:rowOff>0</xdr:rowOff>
    </xdr:to>
    <xdr:sp macro="" textlink="">
      <xdr:nvSpPr>
        <xdr:cNvPr id="81" name="Text Box 24">
          <a:extLst>
            <a:ext uri="{FF2B5EF4-FFF2-40B4-BE49-F238E27FC236}">
              <a16:creationId xmlns:a16="http://schemas.microsoft.com/office/drawing/2014/main" id="{37255CAE-8CA7-45D7-B8E3-0B10ED77EE41}"/>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44</xdr:row>
      <xdr:rowOff>0</xdr:rowOff>
    </xdr:from>
    <xdr:to>
      <xdr:col>8</xdr:col>
      <xdr:colOff>0</xdr:colOff>
      <xdr:row>44</xdr:row>
      <xdr:rowOff>0</xdr:rowOff>
    </xdr:to>
    <xdr:sp macro="" textlink="">
      <xdr:nvSpPr>
        <xdr:cNvPr id="82" name="Line 25">
          <a:extLst>
            <a:ext uri="{FF2B5EF4-FFF2-40B4-BE49-F238E27FC236}">
              <a16:creationId xmlns:a16="http://schemas.microsoft.com/office/drawing/2014/main" id="{960FC40D-E50D-4F70-8CAE-0F1EBDA6423E}"/>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44</xdr:row>
      <xdr:rowOff>0</xdr:rowOff>
    </xdr:from>
    <xdr:to>
      <xdr:col>8</xdr:col>
      <xdr:colOff>0</xdr:colOff>
      <xdr:row>44</xdr:row>
      <xdr:rowOff>0</xdr:rowOff>
    </xdr:to>
    <xdr:sp macro="" textlink="">
      <xdr:nvSpPr>
        <xdr:cNvPr id="83" name="Text Box 26">
          <a:extLst>
            <a:ext uri="{FF2B5EF4-FFF2-40B4-BE49-F238E27FC236}">
              <a16:creationId xmlns:a16="http://schemas.microsoft.com/office/drawing/2014/main" id="{56968269-58AB-4C6A-AA86-0958EEC819E6}"/>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44</xdr:row>
      <xdr:rowOff>0</xdr:rowOff>
    </xdr:from>
    <xdr:to>
      <xdr:col>8</xdr:col>
      <xdr:colOff>0</xdr:colOff>
      <xdr:row>44</xdr:row>
      <xdr:rowOff>0</xdr:rowOff>
    </xdr:to>
    <xdr:sp macro="" textlink="">
      <xdr:nvSpPr>
        <xdr:cNvPr id="84" name="Line 27">
          <a:extLst>
            <a:ext uri="{FF2B5EF4-FFF2-40B4-BE49-F238E27FC236}">
              <a16:creationId xmlns:a16="http://schemas.microsoft.com/office/drawing/2014/main" id="{92C8F89C-6D33-4F45-B4F9-E9845F90E710}"/>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44</xdr:row>
      <xdr:rowOff>0</xdr:rowOff>
    </xdr:from>
    <xdr:to>
      <xdr:col>8</xdr:col>
      <xdr:colOff>0</xdr:colOff>
      <xdr:row>44</xdr:row>
      <xdr:rowOff>0</xdr:rowOff>
    </xdr:to>
    <xdr:sp macro="" textlink="">
      <xdr:nvSpPr>
        <xdr:cNvPr id="85" name="Text Box 28">
          <a:extLst>
            <a:ext uri="{FF2B5EF4-FFF2-40B4-BE49-F238E27FC236}">
              <a16:creationId xmlns:a16="http://schemas.microsoft.com/office/drawing/2014/main" id="{CF9781C9-9A91-4F02-96E4-02E07F246A4A}"/>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142" name="Line 1">
          <a:extLst>
            <a:ext uri="{FF2B5EF4-FFF2-40B4-BE49-F238E27FC236}">
              <a16:creationId xmlns:a16="http://schemas.microsoft.com/office/drawing/2014/main" id="{096BCCBD-2AD7-478B-8A37-2052A1445B93}"/>
            </a:ext>
          </a:extLst>
        </xdr:cNvPr>
        <xdr:cNvSpPr>
          <a:spLocks noChangeShapeType="1"/>
        </xdr:cNvSpPr>
      </xdr:nvSpPr>
      <xdr:spPr bwMode="auto">
        <a:xfrm>
          <a:off x="9801225"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143" name="Text Box 2">
          <a:extLst>
            <a:ext uri="{FF2B5EF4-FFF2-40B4-BE49-F238E27FC236}">
              <a16:creationId xmlns:a16="http://schemas.microsoft.com/office/drawing/2014/main" id="{1510BAA4-DCCF-4542-9148-8E97AAB8783B}"/>
            </a:ext>
          </a:extLst>
        </xdr:cNvPr>
        <xdr:cNvSpPr txBox="1">
          <a:spLocks noChangeArrowheads="1"/>
        </xdr:cNvSpPr>
      </xdr:nvSpPr>
      <xdr:spPr bwMode="auto">
        <a:xfrm>
          <a:off x="9801225"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144" name="Line 3">
          <a:extLst>
            <a:ext uri="{FF2B5EF4-FFF2-40B4-BE49-F238E27FC236}">
              <a16:creationId xmlns:a16="http://schemas.microsoft.com/office/drawing/2014/main" id="{9CEAFC90-4BDF-4907-903B-2E2594053C44}"/>
            </a:ext>
          </a:extLst>
        </xdr:cNvPr>
        <xdr:cNvSpPr>
          <a:spLocks noChangeShapeType="1"/>
        </xdr:cNvSpPr>
      </xdr:nvSpPr>
      <xdr:spPr bwMode="auto">
        <a:xfrm>
          <a:off x="9801225"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145" name="Text Box 4">
          <a:extLst>
            <a:ext uri="{FF2B5EF4-FFF2-40B4-BE49-F238E27FC236}">
              <a16:creationId xmlns:a16="http://schemas.microsoft.com/office/drawing/2014/main" id="{745316ED-15A2-4D8C-B7F7-9D8819765858}"/>
            </a:ext>
          </a:extLst>
        </xdr:cNvPr>
        <xdr:cNvSpPr txBox="1">
          <a:spLocks noChangeArrowheads="1"/>
        </xdr:cNvSpPr>
      </xdr:nvSpPr>
      <xdr:spPr bwMode="auto">
        <a:xfrm>
          <a:off x="9801225"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146" name="Line 5">
          <a:extLst>
            <a:ext uri="{FF2B5EF4-FFF2-40B4-BE49-F238E27FC236}">
              <a16:creationId xmlns:a16="http://schemas.microsoft.com/office/drawing/2014/main" id="{A7B3618B-F557-4366-95CF-A8CBA1CF7828}"/>
            </a:ext>
          </a:extLst>
        </xdr:cNvPr>
        <xdr:cNvSpPr>
          <a:spLocks noChangeShapeType="1"/>
        </xdr:cNvSpPr>
      </xdr:nvSpPr>
      <xdr:spPr bwMode="auto">
        <a:xfrm>
          <a:off x="9801225"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147" name="Text Box 6">
          <a:extLst>
            <a:ext uri="{FF2B5EF4-FFF2-40B4-BE49-F238E27FC236}">
              <a16:creationId xmlns:a16="http://schemas.microsoft.com/office/drawing/2014/main" id="{D51F77F4-759B-4EF5-9FEA-3215D944983E}"/>
            </a:ext>
          </a:extLst>
        </xdr:cNvPr>
        <xdr:cNvSpPr txBox="1">
          <a:spLocks noChangeArrowheads="1"/>
        </xdr:cNvSpPr>
      </xdr:nvSpPr>
      <xdr:spPr bwMode="auto">
        <a:xfrm>
          <a:off x="9801225"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148" name="Line 7">
          <a:extLst>
            <a:ext uri="{FF2B5EF4-FFF2-40B4-BE49-F238E27FC236}">
              <a16:creationId xmlns:a16="http://schemas.microsoft.com/office/drawing/2014/main" id="{BC018BB4-4A6E-496D-8F3F-23946949C32E}"/>
            </a:ext>
          </a:extLst>
        </xdr:cNvPr>
        <xdr:cNvSpPr>
          <a:spLocks noChangeShapeType="1"/>
        </xdr:cNvSpPr>
      </xdr:nvSpPr>
      <xdr:spPr bwMode="auto">
        <a:xfrm>
          <a:off x="9801225"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149" name="Text Box 8">
          <a:extLst>
            <a:ext uri="{FF2B5EF4-FFF2-40B4-BE49-F238E27FC236}">
              <a16:creationId xmlns:a16="http://schemas.microsoft.com/office/drawing/2014/main" id="{1FBB1F5A-D811-4E09-A0C9-B8205B99DF69}"/>
            </a:ext>
          </a:extLst>
        </xdr:cNvPr>
        <xdr:cNvSpPr txBox="1">
          <a:spLocks noChangeArrowheads="1"/>
        </xdr:cNvSpPr>
      </xdr:nvSpPr>
      <xdr:spPr bwMode="auto">
        <a:xfrm>
          <a:off x="9801225"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150" name="Line 9">
          <a:extLst>
            <a:ext uri="{FF2B5EF4-FFF2-40B4-BE49-F238E27FC236}">
              <a16:creationId xmlns:a16="http://schemas.microsoft.com/office/drawing/2014/main" id="{327F0C56-9D0D-48C1-A39A-E369E9F0E633}"/>
            </a:ext>
          </a:extLst>
        </xdr:cNvPr>
        <xdr:cNvSpPr>
          <a:spLocks noChangeShapeType="1"/>
        </xdr:cNvSpPr>
      </xdr:nvSpPr>
      <xdr:spPr bwMode="auto">
        <a:xfrm>
          <a:off x="9801225"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151" name="Text Box 10">
          <a:extLst>
            <a:ext uri="{FF2B5EF4-FFF2-40B4-BE49-F238E27FC236}">
              <a16:creationId xmlns:a16="http://schemas.microsoft.com/office/drawing/2014/main" id="{764096B7-9495-403E-B91E-967F58CCE3C3}"/>
            </a:ext>
          </a:extLst>
        </xdr:cNvPr>
        <xdr:cNvSpPr txBox="1">
          <a:spLocks noChangeArrowheads="1"/>
        </xdr:cNvSpPr>
      </xdr:nvSpPr>
      <xdr:spPr bwMode="auto">
        <a:xfrm>
          <a:off x="9801225"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152" name="Line 11">
          <a:extLst>
            <a:ext uri="{FF2B5EF4-FFF2-40B4-BE49-F238E27FC236}">
              <a16:creationId xmlns:a16="http://schemas.microsoft.com/office/drawing/2014/main" id="{E1D39682-5B01-4055-816E-94A4F4514509}"/>
            </a:ext>
          </a:extLst>
        </xdr:cNvPr>
        <xdr:cNvSpPr>
          <a:spLocks noChangeShapeType="1"/>
        </xdr:cNvSpPr>
      </xdr:nvSpPr>
      <xdr:spPr bwMode="auto">
        <a:xfrm>
          <a:off x="9801225"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153" name="Text Box 12">
          <a:extLst>
            <a:ext uri="{FF2B5EF4-FFF2-40B4-BE49-F238E27FC236}">
              <a16:creationId xmlns:a16="http://schemas.microsoft.com/office/drawing/2014/main" id="{C97B3FB3-A80F-4AB0-B470-2F10F1AC4E4D}"/>
            </a:ext>
          </a:extLst>
        </xdr:cNvPr>
        <xdr:cNvSpPr txBox="1">
          <a:spLocks noChangeArrowheads="1"/>
        </xdr:cNvSpPr>
      </xdr:nvSpPr>
      <xdr:spPr bwMode="auto">
        <a:xfrm>
          <a:off x="9801225"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154" name="Line 13">
          <a:extLst>
            <a:ext uri="{FF2B5EF4-FFF2-40B4-BE49-F238E27FC236}">
              <a16:creationId xmlns:a16="http://schemas.microsoft.com/office/drawing/2014/main" id="{EECAD4CA-416C-4E88-8589-5A3114C77BEA}"/>
            </a:ext>
          </a:extLst>
        </xdr:cNvPr>
        <xdr:cNvSpPr>
          <a:spLocks noChangeShapeType="1"/>
        </xdr:cNvSpPr>
      </xdr:nvSpPr>
      <xdr:spPr bwMode="auto">
        <a:xfrm>
          <a:off x="9801225"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155" name="Text Box 14">
          <a:extLst>
            <a:ext uri="{FF2B5EF4-FFF2-40B4-BE49-F238E27FC236}">
              <a16:creationId xmlns:a16="http://schemas.microsoft.com/office/drawing/2014/main" id="{38F5B854-D172-41E5-A825-A51268796698}"/>
            </a:ext>
          </a:extLst>
        </xdr:cNvPr>
        <xdr:cNvSpPr txBox="1">
          <a:spLocks noChangeArrowheads="1"/>
        </xdr:cNvSpPr>
      </xdr:nvSpPr>
      <xdr:spPr bwMode="auto">
        <a:xfrm>
          <a:off x="9801225"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156" name="Line 15">
          <a:extLst>
            <a:ext uri="{FF2B5EF4-FFF2-40B4-BE49-F238E27FC236}">
              <a16:creationId xmlns:a16="http://schemas.microsoft.com/office/drawing/2014/main" id="{34155B0B-8C3B-4798-BA02-EF8946581EF3}"/>
            </a:ext>
          </a:extLst>
        </xdr:cNvPr>
        <xdr:cNvSpPr>
          <a:spLocks noChangeShapeType="1"/>
        </xdr:cNvSpPr>
      </xdr:nvSpPr>
      <xdr:spPr bwMode="auto">
        <a:xfrm>
          <a:off x="9801225"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157" name="Text Box 16">
          <a:extLst>
            <a:ext uri="{FF2B5EF4-FFF2-40B4-BE49-F238E27FC236}">
              <a16:creationId xmlns:a16="http://schemas.microsoft.com/office/drawing/2014/main" id="{B3BBC08E-47BF-4879-A8A9-6489079416C8}"/>
            </a:ext>
          </a:extLst>
        </xdr:cNvPr>
        <xdr:cNvSpPr txBox="1">
          <a:spLocks noChangeArrowheads="1"/>
        </xdr:cNvSpPr>
      </xdr:nvSpPr>
      <xdr:spPr bwMode="auto">
        <a:xfrm>
          <a:off x="9801225"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158" name="Line 17">
          <a:extLst>
            <a:ext uri="{FF2B5EF4-FFF2-40B4-BE49-F238E27FC236}">
              <a16:creationId xmlns:a16="http://schemas.microsoft.com/office/drawing/2014/main" id="{3421847D-1806-401F-8DE1-C53F6F237869}"/>
            </a:ext>
          </a:extLst>
        </xdr:cNvPr>
        <xdr:cNvSpPr>
          <a:spLocks noChangeShapeType="1"/>
        </xdr:cNvSpPr>
      </xdr:nvSpPr>
      <xdr:spPr bwMode="auto">
        <a:xfrm>
          <a:off x="9801225"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159" name="Text Box 18">
          <a:extLst>
            <a:ext uri="{FF2B5EF4-FFF2-40B4-BE49-F238E27FC236}">
              <a16:creationId xmlns:a16="http://schemas.microsoft.com/office/drawing/2014/main" id="{0BF499C7-ADE1-4421-88D9-F46D2377C751}"/>
            </a:ext>
          </a:extLst>
        </xdr:cNvPr>
        <xdr:cNvSpPr txBox="1">
          <a:spLocks noChangeArrowheads="1"/>
        </xdr:cNvSpPr>
      </xdr:nvSpPr>
      <xdr:spPr bwMode="auto">
        <a:xfrm>
          <a:off x="9801225"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160" name="Line 19">
          <a:extLst>
            <a:ext uri="{FF2B5EF4-FFF2-40B4-BE49-F238E27FC236}">
              <a16:creationId xmlns:a16="http://schemas.microsoft.com/office/drawing/2014/main" id="{F9EB610F-D7C9-4709-8A11-FAFDE7DFA024}"/>
            </a:ext>
          </a:extLst>
        </xdr:cNvPr>
        <xdr:cNvSpPr>
          <a:spLocks noChangeShapeType="1"/>
        </xdr:cNvSpPr>
      </xdr:nvSpPr>
      <xdr:spPr bwMode="auto">
        <a:xfrm>
          <a:off x="9801225"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161" name="Text Box 20">
          <a:extLst>
            <a:ext uri="{FF2B5EF4-FFF2-40B4-BE49-F238E27FC236}">
              <a16:creationId xmlns:a16="http://schemas.microsoft.com/office/drawing/2014/main" id="{328DCCE2-A9DA-4844-B448-F00E7872DA52}"/>
            </a:ext>
          </a:extLst>
        </xdr:cNvPr>
        <xdr:cNvSpPr txBox="1">
          <a:spLocks noChangeArrowheads="1"/>
        </xdr:cNvSpPr>
      </xdr:nvSpPr>
      <xdr:spPr bwMode="auto">
        <a:xfrm>
          <a:off x="9801225"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162" name="Line 21">
          <a:extLst>
            <a:ext uri="{FF2B5EF4-FFF2-40B4-BE49-F238E27FC236}">
              <a16:creationId xmlns:a16="http://schemas.microsoft.com/office/drawing/2014/main" id="{17BF0353-C295-4C8A-8CDA-F0D1F6281111}"/>
            </a:ext>
          </a:extLst>
        </xdr:cNvPr>
        <xdr:cNvSpPr>
          <a:spLocks noChangeShapeType="1"/>
        </xdr:cNvSpPr>
      </xdr:nvSpPr>
      <xdr:spPr bwMode="auto">
        <a:xfrm>
          <a:off x="9801225"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163" name="Text Box 22">
          <a:extLst>
            <a:ext uri="{FF2B5EF4-FFF2-40B4-BE49-F238E27FC236}">
              <a16:creationId xmlns:a16="http://schemas.microsoft.com/office/drawing/2014/main" id="{9AFB2A51-6D8B-49B9-84F3-F633C3CA6CE6}"/>
            </a:ext>
          </a:extLst>
        </xdr:cNvPr>
        <xdr:cNvSpPr txBox="1">
          <a:spLocks noChangeArrowheads="1"/>
        </xdr:cNvSpPr>
      </xdr:nvSpPr>
      <xdr:spPr bwMode="auto">
        <a:xfrm>
          <a:off x="9801225"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164" name="Line 23">
          <a:extLst>
            <a:ext uri="{FF2B5EF4-FFF2-40B4-BE49-F238E27FC236}">
              <a16:creationId xmlns:a16="http://schemas.microsoft.com/office/drawing/2014/main" id="{E94494E9-D022-4BEC-A4E2-B9FEBCF177F7}"/>
            </a:ext>
          </a:extLst>
        </xdr:cNvPr>
        <xdr:cNvSpPr>
          <a:spLocks noChangeShapeType="1"/>
        </xdr:cNvSpPr>
      </xdr:nvSpPr>
      <xdr:spPr bwMode="auto">
        <a:xfrm>
          <a:off x="9801225"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165" name="Text Box 24">
          <a:extLst>
            <a:ext uri="{FF2B5EF4-FFF2-40B4-BE49-F238E27FC236}">
              <a16:creationId xmlns:a16="http://schemas.microsoft.com/office/drawing/2014/main" id="{E2A0D676-BA57-4EDE-8B80-E271EA450A4A}"/>
            </a:ext>
          </a:extLst>
        </xdr:cNvPr>
        <xdr:cNvSpPr txBox="1">
          <a:spLocks noChangeArrowheads="1"/>
        </xdr:cNvSpPr>
      </xdr:nvSpPr>
      <xdr:spPr bwMode="auto">
        <a:xfrm>
          <a:off x="9801225"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166" name="Line 25">
          <a:extLst>
            <a:ext uri="{FF2B5EF4-FFF2-40B4-BE49-F238E27FC236}">
              <a16:creationId xmlns:a16="http://schemas.microsoft.com/office/drawing/2014/main" id="{8B8D7F9C-6F81-46E8-B035-64C179593543}"/>
            </a:ext>
          </a:extLst>
        </xdr:cNvPr>
        <xdr:cNvSpPr>
          <a:spLocks noChangeShapeType="1"/>
        </xdr:cNvSpPr>
      </xdr:nvSpPr>
      <xdr:spPr bwMode="auto">
        <a:xfrm>
          <a:off x="9801225"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167" name="Text Box 26">
          <a:extLst>
            <a:ext uri="{FF2B5EF4-FFF2-40B4-BE49-F238E27FC236}">
              <a16:creationId xmlns:a16="http://schemas.microsoft.com/office/drawing/2014/main" id="{B6EA3D1D-F972-44AE-B183-2172CC35958D}"/>
            </a:ext>
          </a:extLst>
        </xdr:cNvPr>
        <xdr:cNvSpPr txBox="1">
          <a:spLocks noChangeArrowheads="1"/>
        </xdr:cNvSpPr>
      </xdr:nvSpPr>
      <xdr:spPr bwMode="auto">
        <a:xfrm>
          <a:off x="9801225"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168" name="Line 27">
          <a:extLst>
            <a:ext uri="{FF2B5EF4-FFF2-40B4-BE49-F238E27FC236}">
              <a16:creationId xmlns:a16="http://schemas.microsoft.com/office/drawing/2014/main" id="{869F0A75-2445-4649-8DF3-1A0CB54592F3}"/>
            </a:ext>
          </a:extLst>
        </xdr:cNvPr>
        <xdr:cNvSpPr>
          <a:spLocks noChangeShapeType="1"/>
        </xdr:cNvSpPr>
      </xdr:nvSpPr>
      <xdr:spPr bwMode="auto">
        <a:xfrm>
          <a:off x="9801225"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169" name="Text Box 28">
          <a:extLst>
            <a:ext uri="{FF2B5EF4-FFF2-40B4-BE49-F238E27FC236}">
              <a16:creationId xmlns:a16="http://schemas.microsoft.com/office/drawing/2014/main" id="{31534A4A-C1E5-41CE-BAE7-BDB9EA6E870F}"/>
            </a:ext>
          </a:extLst>
        </xdr:cNvPr>
        <xdr:cNvSpPr txBox="1">
          <a:spLocks noChangeArrowheads="1"/>
        </xdr:cNvSpPr>
      </xdr:nvSpPr>
      <xdr:spPr bwMode="auto">
        <a:xfrm>
          <a:off x="9801225"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170" name="Line 1">
          <a:extLst>
            <a:ext uri="{FF2B5EF4-FFF2-40B4-BE49-F238E27FC236}">
              <a16:creationId xmlns:a16="http://schemas.microsoft.com/office/drawing/2014/main" id="{CF162C65-6380-4E11-ADED-FDE026A70DCC}"/>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171" name="Text Box 2">
          <a:extLst>
            <a:ext uri="{FF2B5EF4-FFF2-40B4-BE49-F238E27FC236}">
              <a16:creationId xmlns:a16="http://schemas.microsoft.com/office/drawing/2014/main" id="{08E6F817-D269-4680-8DF6-4FFC18D4B635}"/>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172" name="Line 3">
          <a:extLst>
            <a:ext uri="{FF2B5EF4-FFF2-40B4-BE49-F238E27FC236}">
              <a16:creationId xmlns:a16="http://schemas.microsoft.com/office/drawing/2014/main" id="{B823B518-B61B-4E8E-ADDC-5D0BFBEF24C9}"/>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173" name="Text Box 4">
          <a:extLst>
            <a:ext uri="{FF2B5EF4-FFF2-40B4-BE49-F238E27FC236}">
              <a16:creationId xmlns:a16="http://schemas.microsoft.com/office/drawing/2014/main" id="{F21599C4-18BF-43C4-83D6-E6013D56B627}"/>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174" name="Line 5">
          <a:extLst>
            <a:ext uri="{FF2B5EF4-FFF2-40B4-BE49-F238E27FC236}">
              <a16:creationId xmlns:a16="http://schemas.microsoft.com/office/drawing/2014/main" id="{94ADB877-77CC-47E3-AA56-313CB17504C9}"/>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175" name="Text Box 6">
          <a:extLst>
            <a:ext uri="{FF2B5EF4-FFF2-40B4-BE49-F238E27FC236}">
              <a16:creationId xmlns:a16="http://schemas.microsoft.com/office/drawing/2014/main" id="{62CE09D3-1C3E-4AFE-AA0F-AC93E6A5CB63}"/>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176" name="Line 7">
          <a:extLst>
            <a:ext uri="{FF2B5EF4-FFF2-40B4-BE49-F238E27FC236}">
              <a16:creationId xmlns:a16="http://schemas.microsoft.com/office/drawing/2014/main" id="{40D5AA84-41FE-4689-B251-B130F11B80D4}"/>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177" name="Text Box 8">
          <a:extLst>
            <a:ext uri="{FF2B5EF4-FFF2-40B4-BE49-F238E27FC236}">
              <a16:creationId xmlns:a16="http://schemas.microsoft.com/office/drawing/2014/main" id="{DD4758B9-ABAC-44E8-8BF1-19CA8801EB2D}"/>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178" name="Line 9">
          <a:extLst>
            <a:ext uri="{FF2B5EF4-FFF2-40B4-BE49-F238E27FC236}">
              <a16:creationId xmlns:a16="http://schemas.microsoft.com/office/drawing/2014/main" id="{D45D91C3-2961-410A-A09D-869BBD208A96}"/>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179" name="Text Box 10">
          <a:extLst>
            <a:ext uri="{FF2B5EF4-FFF2-40B4-BE49-F238E27FC236}">
              <a16:creationId xmlns:a16="http://schemas.microsoft.com/office/drawing/2014/main" id="{8DFFC073-6219-45F4-B002-016736835C77}"/>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180" name="Line 11">
          <a:extLst>
            <a:ext uri="{FF2B5EF4-FFF2-40B4-BE49-F238E27FC236}">
              <a16:creationId xmlns:a16="http://schemas.microsoft.com/office/drawing/2014/main" id="{5BACAB8C-DD38-473B-94F6-5876A916D87A}"/>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181" name="Text Box 12">
          <a:extLst>
            <a:ext uri="{FF2B5EF4-FFF2-40B4-BE49-F238E27FC236}">
              <a16:creationId xmlns:a16="http://schemas.microsoft.com/office/drawing/2014/main" id="{B6914F23-F398-4CD8-B132-A7BE27BFD926}"/>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182" name="Line 13">
          <a:extLst>
            <a:ext uri="{FF2B5EF4-FFF2-40B4-BE49-F238E27FC236}">
              <a16:creationId xmlns:a16="http://schemas.microsoft.com/office/drawing/2014/main" id="{3288CD09-FCDA-4F98-A211-E546DACD4AA2}"/>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183" name="Text Box 14">
          <a:extLst>
            <a:ext uri="{FF2B5EF4-FFF2-40B4-BE49-F238E27FC236}">
              <a16:creationId xmlns:a16="http://schemas.microsoft.com/office/drawing/2014/main" id="{A90795BE-3141-4F3A-B119-989BE394D9D1}"/>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184" name="Line 15">
          <a:extLst>
            <a:ext uri="{FF2B5EF4-FFF2-40B4-BE49-F238E27FC236}">
              <a16:creationId xmlns:a16="http://schemas.microsoft.com/office/drawing/2014/main" id="{D7992F6E-8919-4C1D-9350-3251AC1E8267}"/>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185" name="Text Box 16">
          <a:extLst>
            <a:ext uri="{FF2B5EF4-FFF2-40B4-BE49-F238E27FC236}">
              <a16:creationId xmlns:a16="http://schemas.microsoft.com/office/drawing/2014/main" id="{AF78F7C1-10FD-4C01-A29F-F7533BBDE6ED}"/>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186" name="Line 17">
          <a:extLst>
            <a:ext uri="{FF2B5EF4-FFF2-40B4-BE49-F238E27FC236}">
              <a16:creationId xmlns:a16="http://schemas.microsoft.com/office/drawing/2014/main" id="{8FD3743A-7124-4A53-91ED-87184EF12B82}"/>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187" name="Text Box 18">
          <a:extLst>
            <a:ext uri="{FF2B5EF4-FFF2-40B4-BE49-F238E27FC236}">
              <a16:creationId xmlns:a16="http://schemas.microsoft.com/office/drawing/2014/main" id="{1F7774E1-C4EC-470C-87AF-F8C7C12AB232}"/>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188" name="Line 19">
          <a:extLst>
            <a:ext uri="{FF2B5EF4-FFF2-40B4-BE49-F238E27FC236}">
              <a16:creationId xmlns:a16="http://schemas.microsoft.com/office/drawing/2014/main" id="{C14D7AFA-1A7E-4C08-B2D9-96083793EF74}"/>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189" name="Text Box 20">
          <a:extLst>
            <a:ext uri="{FF2B5EF4-FFF2-40B4-BE49-F238E27FC236}">
              <a16:creationId xmlns:a16="http://schemas.microsoft.com/office/drawing/2014/main" id="{B4E5D699-3944-473E-B7E4-D8F2BAFE2F2B}"/>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190" name="Line 21">
          <a:extLst>
            <a:ext uri="{FF2B5EF4-FFF2-40B4-BE49-F238E27FC236}">
              <a16:creationId xmlns:a16="http://schemas.microsoft.com/office/drawing/2014/main" id="{DF28E0A4-03CD-4C9D-B7C3-47232A1E2F92}"/>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191" name="Text Box 22">
          <a:extLst>
            <a:ext uri="{FF2B5EF4-FFF2-40B4-BE49-F238E27FC236}">
              <a16:creationId xmlns:a16="http://schemas.microsoft.com/office/drawing/2014/main" id="{57D9B23E-CD21-4566-B63D-CF8758DA54A0}"/>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192" name="Line 23">
          <a:extLst>
            <a:ext uri="{FF2B5EF4-FFF2-40B4-BE49-F238E27FC236}">
              <a16:creationId xmlns:a16="http://schemas.microsoft.com/office/drawing/2014/main" id="{F9E9F44B-60D8-4747-895A-00DB64A56FF7}"/>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193" name="Text Box 24">
          <a:extLst>
            <a:ext uri="{FF2B5EF4-FFF2-40B4-BE49-F238E27FC236}">
              <a16:creationId xmlns:a16="http://schemas.microsoft.com/office/drawing/2014/main" id="{179671EA-B77F-4AF3-BC43-4037E45AD363}"/>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194" name="Line 25">
          <a:extLst>
            <a:ext uri="{FF2B5EF4-FFF2-40B4-BE49-F238E27FC236}">
              <a16:creationId xmlns:a16="http://schemas.microsoft.com/office/drawing/2014/main" id="{C114A368-C906-451A-93FA-0990BEC1E69A}"/>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195" name="Text Box 26">
          <a:extLst>
            <a:ext uri="{FF2B5EF4-FFF2-40B4-BE49-F238E27FC236}">
              <a16:creationId xmlns:a16="http://schemas.microsoft.com/office/drawing/2014/main" id="{7A82883C-76E9-409F-9EF4-4F9BA3E73A11}"/>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196" name="Line 27">
          <a:extLst>
            <a:ext uri="{FF2B5EF4-FFF2-40B4-BE49-F238E27FC236}">
              <a16:creationId xmlns:a16="http://schemas.microsoft.com/office/drawing/2014/main" id="{93FA628B-99C4-48EB-81BF-DB6702EB39B3}"/>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197" name="Text Box 28">
          <a:extLst>
            <a:ext uri="{FF2B5EF4-FFF2-40B4-BE49-F238E27FC236}">
              <a16:creationId xmlns:a16="http://schemas.microsoft.com/office/drawing/2014/main" id="{E4126621-6816-4CC5-8EFA-B8AEA50BFB8F}"/>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198" name="Line 1">
          <a:extLst>
            <a:ext uri="{FF2B5EF4-FFF2-40B4-BE49-F238E27FC236}">
              <a16:creationId xmlns:a16="http://schemas.microsoft.com/office/drawing/2014/main" id="{E22331D4-7C1C-440F-88C9-4BC77D630FDB}"/>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199" name="Text Box 2">
          <a:extLst>
            <a:ext uri="{FF2B5EF4-FFF2-40B4-BE49-F238E27FC236}">
              <a16:creationId xmlns:a16="http://schemas.microsoft.com/office/drawing/2014/main" id="{7616617D-F854-4712-A31C-4FD9B37C0343}"/>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200" name="Line 3">
          <a:extLst>
            <a:ext uri="{FF2B5EF4-FFF2-40B4-BE49-F238E27FC236}">
              <a16:creationId xmlns:a16="http://schemas.microsoft.com/office/drawing/2014/main" id="{FA6D7B79-2E69-416F-BB5C-AE79611C75CD}"/>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201" name="Text Box 4">
          <a:extLst>
            <a:ext uri="{FF2B5EF4-FFF2-40B4-BE49-F238E27FC236}">
              <a16:creationId xmlns:a16="http://schemas.microsoft.com/office/drawing/2014/main" id="{C61A4122-D4C5-4759-8296-6DF5BDC1E692}"/>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202" name="Line 5">
          <a:extLst>
            <a:ext uri="{FF2B5EF4-FFF2-40B4-BE49-F238E27FC236}">
              <a16:creationId xmlns:a16="http://schemas.microsoft.com/office/drawing/2014/main" id="{FCC8EB35-8C4F-4A4C-87BB-9A249FF0E00A}"/>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203" name="Text Box 6">
          <a:extLst>
            <a:ext uri="{FF2B5EF4-FFF2-40B4-BE49-F238E27FC236}">
              <a16:creationId xmlns:a16="http://schemas.microsoft.com/office/drawing/2014/main" id="{87B5948D-0338-4DF9-B995-DED023EE2BC3}"/>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204" name="Line 7">
          <a:extLst>
            <a:ext uri="{FF2B5EF4-FFF2-40B4-BE49-F238E27FC236}">
              <a16:creationId xmlns:a16="http://schemas.microsoft.com/office/drawing/2014/main" id="{0D3EAC6D-2543-4DFC-91A4-565409414B5D}"/>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205" name="Text Box 8">
          <a:extLst>
            <a:ext uri="{FF2B5EF4-FFF2-40B4-BE49-F238E27FC236}">
              <a16:creationId xmlns:a16="http://schemas.microsoft.com/office/drawing/2014/main" id="{2F8F23A7-6B1A-4309-AB59-7A389ECC7232}"/>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206" name="Line 9">
          <a:extLst>
            <a:ext uri="{FF2B5EF4-FFF2-40B4-BE49-F238E27FC236}">
              <a16:creationId xmlns:a16="http://schemas.microsoft.com/office/drawing/2014/main" id="{C52B65CB-99BE-4882-AAEC-A25CBD1FEF31}"/>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207" name="Text Box 10">
          <a:extLst>
            <a:ext uri="{FF2B5EF4-FFF2-40B4-BE49-F238E27FC236}">
              <a16:creationId xmlns:a16="http://schemas.microsoft.com/office/drawing/2014/main" id="{EA886D56-BB22-48A8-8981-8CD33D5044A0}"/>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208" name="Line 11">
          <a:extLst>
            <a:ext uri="{FF2B5EF4-FFF2-40B4-BE49-F238E27FC236}">
              <a16:creationId xmlns:a16="http://schemas.microsoft.com/office/drawing/2014/main" id="{5A50AF12-0EE8-4026-B1B9-459E3594BCFA}"/>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209" name="Text Box 12">
          <a:extLst>
            <a:ext uri="{FF2B5EF4-FFF2-40B4-BE49-F238E27FC236}">
              <a16:creationId xmlns:a16="http://schemas.microsoft.com/office/drawing/2014/main" id="{C7B21119-5F84-44B1-A1AD-8B98EC9ABB6E}"/>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210" name="Line 13">
          <a:extLst>
            <a:ext uri="{FF2B5EF4-FFF2-40B4-BE49-F238E27FC236}">
              <a16:creationId xmlns:a16="http://schemas.microsoft.com/office/drawing/2014/main" id="{EDA090B7-D79E-4AAB-B9EE-2F244D73D8A3}"/>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211" name="Text Box 14">
          <a:extLst>
            <a:ext uri="{FF2B5EF4-FFF2-40B4-BE49-F238E27FC236}">
              <a16:creationId xmlns:a16="http://schemas.microsoft.com/office/drawing/2014/main" id="{0D3E327C-C395-4C84-93C2-1AB0F955DD28}"/>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212" name="Line 15">
          <a:extLst>
            <a:ext uri="{FF2B5EF4-FFF2-40B4-BE49-F238E27FC236}">
              <a16:creationId xmlns:a16="http://schemas.microsoft.com/office/drawing/2014/main" id="{4C3EDDF0-DBC7-4C71-B2DF-1834164FC4B4}"/>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213" name="Text Box 16">
          <a:extLst>
            <a:ext uri="{FF2B5EF4-FFF2-40B4-BE49-F238E27FC236}">
              <a16:creationId xmlns:a16="http://schemas.microsoft.com/office/drawing/2014/main" id="{EAB196C1-BB59-4FC4-A40D-E8DF0380FA7D}"/>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214" name="Line 17">
          <a:extLst>
            <a:ext uri="{FF2B5EF4-FFF2-40B4-BE49-F238E27FC236}">
              <a16:creationId xmlns:a16="http://schemas.microsoft.com/office/drawing/2014/main" id="{46D6BFDD-9291-47E2-AF76-ADB3F2F5780D}"/>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215" name="Text Box 18">
          <a:extLst>
            <a:ext uri="{FF2B5EF4-FFF2-40B4-BE49-F238E27FC236}">
              <a16:creationId xmlns:a16="http://schemas.microsoft.com/office/drawing/2014/main" id="{CED07CCF-F9B0-4806-985F-AF0F3B49CC1D}"/>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216" name="Line 19">
          <a:extLst>
            <a:ext uri="{FF2B5EF4-FFF2-40B4-BE49-F238E27FC236}">
              <a16:creationId xmlns:a16="http://schemas.microsoft.com/office/drawing/2014/main" id="{9B64CCCE-1D7C-46BD-87EA-6606855CC4E1}"/>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217" name="Text Box 20">
          <a:extLst>
            <a:ext uri="{FF2B5EF4-FFF2-40B4-BE49-F238E27FC236}">
              <a16:creationId xmlns:a16="http://schemas.microsoft.com/office/drawing/2014/main" id="{F56876C2-1DC4-46DE-A1EF-74A6FA85D40C}"/>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218" name="Line 21">
          <a:extLst>
            <a:ext uri="{FF2B5EF4-FFF2-40B4-BE49-F238E27FC236}">
              <a16:creationId xmlns:a16="http://schemas.microsoft.com/office/drawing/2014/main" id="{D1C6627C-AB24-4026-8259-BC74CA159B40}"/>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219" name="Text Box 22">
          <a:extLst>
            <a:ext uri="{FF2B5EF4-FFF2-40B4-BE49-F238E27FC236}">
              <a16:creationId xmlns:a16="http://schemas.microsoft.com/office/drawing/2014/main" id="{5756AE1F-0CC5-49C8-B22E-92ED5334109F}"/>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220" name="Line 23">
          <a:extLst>
            <a:ext uri="{FF2B5EF4-FFF2-40B4-BE49-F238E27FC236}">
              <a16:creationId xmlns:a16="http://schemas.microsoft.com/office/drawing/2014/main" id="{B7A3132B-C9F6-4D13-8696-DC324E6404D1}"/>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221" name="Text Box 24">
          <a:extLst>
            <a:ext uri="{FF2B5EF4-FFF2-40B4-BE49-F238E27FC236}">
              <a16:creationId xmlns:a16="http://schemas.microsoft.com/office/drawing/2014/main" id="{A3A0C228-3C9D-413F-86D1-90857658F765}"/>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222" name="Line 25">
          <a:extLst>
            <a:ext uri="{FF2B5EF4-FFF2-40B4-BE49-F238E27FC236}">
              <a16:creationId xmlns:a16="http://schemas.microsoft.com/office/drawing/2014/main" id="{FC70246B-85CA-4549-A5B7-B924D9CD5543}"/>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223" name="Text Box 26">
          <a:extLst>
            <a:ext uri="{FF2B5EF4-FFF2-40B4-BE49-F238E27FC236}">
              <a16:creationId xmlns:a16="http://schemas.microsoft.com/office/drawing/2014/main" id="{469360D5-2ECC-498C-8B5D-424DE301DA86}"/>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224" name="Line 27">
          <a:extLst>
            <a:ext uri="{FF2B5EF4-FFF2-40B4-BE49-F238E27FC236}">
              <a16:creationId xmlns:a16="http://schemas.microsoft.com/office/drawing/2014/main" id="{435CF465-F8AD-4D5B-AE4B-B18EB695230B}"/>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225" name="Text Box 28">
          <a:extLst>
            <a:ext uri="{FF2B5EF4-FFF2-40B4-BE49-F238E27FC236}">
              <a16:creationId xmlns:a16="http://schemas.microsoft.com/office/drawing/2014/main" id="{7DCCBF57-99EC-4F76-A31A-157F867723C2}"/>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226" name="Line 1">
          <a:extLst>
            <a:ext uri="{FF2B5EF4-FFF2-40B4-BE49-F238E27FC236}">
              <a16:creationId xmlns:a16="http://schemas.microsoft.com/office/drawing/2014/main" id="{6DB04DBB-E203-4225-819F-80DB15A2D4BC}"/>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227" name="Text Box 2">
          <a:extLst>
            <a:ext uri="{FF2B5EF4-FFF2-40B4-BE49-F238E27FC236}">
              <a16:creationId xmlns:a16="http://schemas.microsoft.com/office/drawing/2014/main" id="{E88D3FFB-7F65-4942-A7B1-0E9C3C23DBD1}"/>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228" name="Line 3">
          <a:extLst>
            <a:ext uri="{FF2B5EF4-FFF2-40B4-BE49-F238E27FC236}">
              <a16:creationId xmlns:a16="http://schemas.microsoft.com/office/drawing/2014/main" id="{17F41762-6064-4175-856A-97550EACCFF7}"/>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229" name="Text Box 4">
          <a:extLst>
            <a:ext uri="{FF2B5EF4-FFF2-40B4-BE49-F238E27FC236}">
              <a16:creationId xmlns:a16="http://schemas.microsoft.com/office/drawing/2014/main" id="{CA42DA5F-A156-4CEE-BC04-F5DD70122012}"/>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230" name="Line 5">
          <a:extLst>
            <a:ext uri="{FF2B5EF4-FFF2-40B4-BE49-F238E27FC236}">
              <a16:creationId xmlns:a16="http://schemas.microsoft.com/office/drawing/2014/main" id="{B33D989A-0B88-4ACF-B1C9-130F7BACE717}"/>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231" name="Text Box 6">
          <a:extLst>
            <a:ext uri="{FF2B5EF4-FFF2-40B4-BE49-F238E27FC236}">
              <a16:creationId xmlns:a16="http://schemas.microsoft.com/office/drawing/2014/main" id="{6A0594B5-3F79-486F-95F4-32B6942724BC}"/>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232" name="Line 7">
          <a:extLst>
            <a:ext uri="{FF2B5EF4-FFF2-40B4-BE49-F238E27FC236}">
              <a16:creationId xmlns:a16="http://schemas.microsoft.com/office/drawing/2014/main" id="{0E407112-7EF6-49B8-AE26-61C12C294810}"/>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233" name="Text Box 8">
          <a:extLst>
            <a:ext uri="{FF2B5EF4-FFF2-40B4-BE49-F238E27FC236}">
              <a16:creationId xmlns:a16="http://schemas.microsoft.com/office/drawing/2014/main" id="{101AC689-34ED-4326-AED6-C73597196EA6}"/>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234" name="Line 9">
          <a:extLst>
            <a:ext uri="{FF2B5EF4-FFF2-40B4-BE49-F238E27FC236}">
              <a16:creationId xmlns:a16="http://schemas.microsoft.com/office/drawing/2014/main" id="{EC3BC7AF-5EE9-4F20-AAD5-684BDA6F98D8}"/>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235" name="Text Box 10">
          <a:extLst>
            <a:ext uri="{FF2B5EF4-FFF2-40B4-BE49-F238E27FC236}">
              <a16:creationId xmlns:a16="http://schemas.microsoft.com/office/drawing/2014/main" id="{5035331C-17BC-43A1-AF78-F277A937A559}"/>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236" name="Line 11">
          <a:extLst>
            <a:ext uri="{FF2B5EF4-FFF2-40B4-BE49-F238E27FC236}">
              <a16:creationId xmlns:a16="http://schemas.microsoft.com/office/drawing/2014/main" id="{1B141289-408A-425A-BC97-280E9F20FDEE}"/>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237" name="Text Box 12">
          <a:extLst>
            <a:ext uri="{FF2B5EF4-FFF2-40B4-BE49-F238E27FC236}">
              <a16:creationId xmlns:a16="http://schemas.microsoft.com/office/drawing/2014/main" id="{A5790872-F4F6-49C5-BBAA-06B8B66F1CC9}"/>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238" name="Line 13">
          <a:extLst>
            <a:ext uri="{FF2B5EF4-FFF2-40B4-BE49-F238E27FC236}">
              <a16:creationId xmlns:a16="http://schemas.microsoft.com/office/drawing/2014/main" id="{52A090E3-914A-476C-9F79-D567E0E10270}"/>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239" name="Text Box 14">
          <a:extLst>
            <a:ext uri="{FF2B5EF4-FFF2-40B4-BE49-F238E27FC236}">
              <a16:creationId xmlns:a16="http://schemas.microsoft.com/office/drawing/2014/main" id="{80521D5D-CBEF-4FFD-B395-0A757EFB8CFB}"/>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240" name="Line 15">
          <a:extLst>
            <a:ext uri="{FF2B5EF4-FFF2-40B4-BE49-F238E27FC236}">
              <a16:creationId xmlns:a16="http://schemas.microsoft.com/office/drawing/2014/main" id="{765BDF43-C3D0-42B4-813F-2F739EE5C6EF}"/>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241" name="Text Box 16">
          <a:extLst>
            <a:ext uri="{FF2B5EF4-FFF2-40B4-BE49-F238E27FC236}">
              <a16:creationId xmlns:a16="http://schemas.microsoft.com/office/drawing/2014/main" id="{7959E92F-B67E-4904-A215-F748A101D2B3}"/>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242" name="Line 17">
          <a:extLst>
            <a:ext uri="{FF2B5EF4-FFF2-40B4-BE49-F238E27FC236}">
              <a16:creationId xmlns:a16="http://schemas.microsoft.com/office/drawing/2014/main" id="{4CD7F1CD-D990-410D-9C62-63C4DF883BB6}"/>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243" name="Text Box 18">
          <a:extLst>
            <a:ext uri="{FF2B5EF4-FFF2-40B4-BE49-F238E27FC236}">
              <a16:creationId xmlns:a16="http://schemas.microsoft.com/office/drawing/2014/main" id="{E62DB230-0374-4553-9899-DFFA40D931D7}"/>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244" name="Line 19">
          <a:extLst>
            <a:ext uri="{FF2B5EF4-FFF2-40B4-BE49-F238E27FC236}">
              <a16:creationId xmlns:a16="http://schemas.microsoft.com/office/drawing/2014/main" id="{E00A8C84-E028-47AB-ADB3-41EC821A62EA}"/>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245" name="Text Box 20">
          <a:extLst>
            <a:ext uri="{FF2B5EF4-FFF2-40B4-BE49-F238E27FC236}">
              <a16:creationId xmlns:a16="http://schemas.microsoft.com/office/drawing/2014/main" id="{F84E6BA4-E024-4F09-897A-0DDD2B5FC2D1}"/>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246" name="Line 21">
          <a:extLst>
            <a:ext uri="{FF2B5EF4-FFF2-40B4-BE49-F238E27FC236}">
              <a16:creationId xmlns:a16="http://schemas.microsoft.com/office/drawing/2014/main" id="{C501F7C7-415B-4B20-A758-C87B3EBC73B4}"/>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247" name="Text Box 22">
          <a:extLst>
            <a:ext uri="{FF2B5EF4-FFF2-40B4-BE49-F238E27FC236}">
              <a16:creationId xmlns:a16="http://schemas.microsoft.com/office/drawing/2014/main" id="{868DD066-753F-4FC4-BFBF-C96E1A6F3B72}"/>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248" name="Line 23">
          <a:extLst>
            <a:ext uri="{FF2B5EF4-FFF2-40B4-BE49-F238E27FC236}">
              <a16:creationId xmlns:a16="http://schemas.microsoft.com/office/drawing/2014/main" id="{BF4D91EF-277A-4549-92B1-997D0FF878BE}"/>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249" name="Text Box 24">
          <a:extLst>
            <a:ext uri="{FF2B5EF4-FFF2-40B4-BE49-F238E27FC236}">
              <a16:creationId xmlns:a16="http://schemas.microsoft.com/office/drawing/2014/main" id="{AE93CB61-5920-452F-A1B1-C04AB5930BE5}"/>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250" name="Line 25">
          <a:extLst>
            <a:ext uri="{FF2B5EF4-FFF2-40B4-BE49-F238E27FC236}">
              <a16:creationId xmlns:a16="http://schemas.microsoft.com/office/drawing/2014/main" id="{7CBAC651-8FB0-4A6B-BC6B-C3B66305DFE3}"/>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251" name="Text Box 26">
          <a:extLst>
            <a:ext uri="{FF2B5EF4-FFF2-40B4-BE49-F238E27FC236}">
              <a16:creationId xmlns:a16="http://schemas.microsoft.com/office/drawing/2014/main" id="{5C1697E5-9E07-4702-BE56-63968960267B}"/>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252" name="Line 27">
          <a:extLst>
            <a:ext uri="{FF2B5EF4-FFF2-40B4-BE49-F238E27FC236}">
              <a16:creationId xmlns:a16="http://schemas.microsoft.com/office/drawing/2014/main" id="{D86EC205-9DB8-4EDB-B654-E1B3B28A1E27}"/>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253" name="Text Box 28">
          <a:extLst>
            <a:ext uri="{FF2B5EF4-FFF2-40B4-BE49-F238E27FC236}">
              <a16:creationId xmlns:a16="http://schemas.microsoft.com/office/drawing/2014/main" id="{EF852174-F4D4-4E1C-8248-E08AF0CA18AD}"/>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67</xdr:row>
      <xdr:rowOff>0</xdr:rowOff>
    </xdr:from>
    <xdr:to>
      <xdr:col>8</xdr:col>
      <xdr:colOff>0</xdr:colOff>
      <xdr:row>67</xdr:row>
      <xdr:rowOff>0</xdr:rowOff>
    </xdr:to>
    <xdr:sp macro="" textlink="">
      <xdr:nvSpPr>
        <xdr:cNvPr id="254" name="Line 1">
          <a:extLst>
            <a:ext uri="{FF2B5EF4-FFF2-40B4-BE49-F238E27FC236}">
              <a16:creationId xmlns:a16="http://schemas.microsoft.com/office/drawing/2014/main" id="{0D835B6D-4912-4486-92F8-D7973B880C57}"/>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67</xdr:row>
      <xdr:rowOff>0</xdr:rowOff>
    </xdr:from>
    <xdr:to>
      <xdr:col>8</xdr:col>
      <xdr:colOff>0</xdr:colOff>
      <xdr:row>67</xdr:row>
      <xdr:rowOff>0</xdr:rowOff>
    </xdr:to>
    <xdr:sp macro="" textlink="">
      <xdr:nvSpPr>
        <xdr:cNvPr id="255" name="Text Box 2">
          <a:extLst>
            <a:ext uri="{FF2B5EF4-FFF2-40B4-BE49-F238E27FC236}">
              <a16:creationId xmlns:a16="http://schemas.microsoft.com/office/drawing/2014/main" id="{17269CB6-29B3-476F-9619-96B5E3977EFF}"/>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67</xdr:row>
      <xdr:rowOff>0</xdr:rowOff>
    </xdr:from>
    <xdr:to>
      <xdr:col>8</xdr:col>
      <xdr:colOff>0</xdr:colOff>
      <xdr:row>67</xdr:row>
      <xdr:rowOff>0</xdr:rowOff>
    </xdr:to>
    <xdr:sp macro="" textlink="">
      <xdr:nvSpPr>
        <xdr:cNvPr id="86" name="Line 3">
          <a:extLst>
            <a:ext uri="{FF2B5EF4-FFF2-40B4-BE49-F238E27FC236}">
              <a16:creationId xmlns:a16="http://schemas.microsoft.com/office/drawing/2014/main" id="{E79B5556-F8B0-410D-82F2-8D5FD70BCD44}"/>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67</xdr:row>
      <xdr:rowOff>0</xdr:rowOff>
    </xdr:from>
    <xdr:to>
      <xdr:col>8</xdr:col>
      <xdr:colOff>0</xdr:colOff>
      <xdr:row>67</xdr:row>
      <xdr:rowOff>0</xdr:rowOff>
    </xdr:to>
    <xdr:sp macro="" textlink="">
      <xdr:nvSpPr>
        <xdr:cNvPr id="87" name="Text Box 4">
          <a:extLst>
            <a:ext uri="{FF2B5EF4-FFF2-40B4-BE49-F238E27FC236}">
              <a16:creationId xmlns:a16="http://schemas.microsoft.com/office/drawing/2014/main" id="{6B63F166-9272-418A-9D81-6A732A626289}"/>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67</xdr:row>
      <xdr:rowOff>0</xdr:rowOff>
    </xdr:from>
    <xdr:to>
      <xdr:col>8</xdr:col>
      <xdr:colOff>0</xdr:colOff>
      <xdr:row>67</xdr:row>
      <xdr:rowOff>0</xdr:rowOff>
    </xdr:to>
    <xdr:sp macro="" textlink="">
      <xdr:nvSpPr>
        <xdr:cNvPr id="88" name="Line 5">
          <a:extLst>
            <a:ext uri="{FF2B5EF4-FFF2-40B4-BE49-F238E27FC236}">
              <a16:creationId xmlns:a16="http://schemas.microsoft.com/office/drawing/2014/main" id="{D376B7FA-6E2C-4646-8310-2BF3DBABBDCA}"/>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67</xdr:row>
      <xdr:rowOff>0</xdr:rowOff>
    </xdr:from>
    <xdr:to>
      <xdr:col>8</xdr:col>
      <xdr:colOff>0</xdr:colOff>
      <xdr:row>67</xdr:row>
      <xdr:rowOff>0</xdr:rowOff>
    </xdr:to>
    <xdr:sp macro="" textlink="">
      <xdr:nvSpPr>
        <xdr:cNvPr id="89" name="Text Box 6">
          <a:extLst>
            <a:ext uri="{FF2B5EF4-FFF2-40B4-BE49-F238E27FC236}">
              <a16:creationId xmlns:a16="http://schemas.microsoft.com/office/drawing/2014/main" id="{C2853204-EE14-46B6-B609-81F5FF13BD34}"/>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67</xdr:row>
      <xdr:rowOff>0</xdr:rowOff>
    </xdr:from>
    <xdr:to>
      <xdr:col>8</xdr:col>
      <xdr:colOff>0</xdr:colOff>
      <xdr:row>67</xdr:row>
      <xdr:rowOff>0</xdr:rowOff>
    </xdr:to>
    <xdr:sp macro="" textlink="">
      <xdr:nvSpPr>
        <xdr:cNvPr id="90" name="Line 7">
          <a:extLst>
            <a:ext uri="{FF2B5EF4-FFF2-40B4-BE49-F238E27FC236}">
              <a16:creationId xmlns:a16="http://schemas.microsoft.com/office/drawing/2014/main" id="{BC96E16C-40DC-4EC2-8737-97FA962185D1}"/>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67</xdr:row>
      <xdr:rowOff>0</xdr:rowOff>
    </xdr:from>
    <xdr:to>
      <xdr:col>8</xdr:col>
      <xdr:colOff>0</xdr:colOff>
      <xdr:row>67</xdr:row>
      <xdr:rowOff>0</xdr:rowOff>
    </xdr:to>
    <xdr:sp macro="" textlink="">
      <xdr:nvSpPr>
        <xdr:cNvPr id="91" name="Text Box 8">
          <a:extLst>
            <a:ext uri="{FF2B5EF4-FFF2-40B4-BE49-F238E27FC236}">
              <a16:creationId xmlns:a16="http://schemas.microsoft.com/office/drawing/2014/main" id="{F577AFCD-9F0E-4BC2-BF7F-CDDF5086E036}"/>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67</xdr:row>
      <xdr:rowOff>0</xdr:rowOff>
    </xdr:from>
    <xdr:to>
      <xdr:col>8</xdr:col>
      <xdr:colOff>0</xdr:colOff>
      <xdr:row>67</xdr:row>
      <xdr:rowOff>0</xdr:rowOff>
    </xdr:to>
    <xdr:sp macro="" textlink="">
      <xdr:nvSpPr>
        <xdr:cNvPr id="92" name="Line 9">
          <a:extLst>
            <a:ext uri="{FF2B5EF4-FFF2-40B4-BE49-F238E27FC236}">
              <a16:creationId xmlns:a16="http://schemas.microsoft.com/office/drawing/2014/main" id="{576522E0-109A-447E-824A-D813B9DD0CBE}"/>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67</xdr:row>
      <xdr:rowOff>0</xdr:rowOff>
    </xdr:from>
    <xdr:to>
      <xdr:col>8</xdr:col>
      <xdr:colOff>0</xdr:colOff>
      <xdr:row>67</xdr:row>
      <xdr:rowOff>0</xdr:rowOff>
    </xdr:to>
    <xdr:sp macro="" textlink="">
      <xdr:nvSpPr>
        <xdr:cNvPr id="93" name="Text Box 10">
          <a:extLst>
            <a:ext uri="{FF2B5EF4-FFF2-40B4-BE49-F238E27FC236}">
              <a16:creationId xmlns:a16="http://schemas.microsoft.com/office/drawing/2014/main" id="{6660FC1D-50DA-4488-9EE7-96A10455BFA2}"/>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67</xdr:row>
      <xdr:rowOff>0</xdr:rowOff>
    </xdr:from>
    <xdr:to>
      <xdr:col>8</xdr:col>
      <xdr:colOff>0</xdr:colOff>
      <xdr:row>67</xdr:row>
      <xdr:rowOff>0</xdr:rowOff>
    </xdr:to>
    <xdr:sp macro="" textlink="">
      <xdr:nvSpPr>
        <xdr:cNvPr id="94" name="Line 11">
          <a:extLst>
            <a:ext uri="{FF2B5EF4-FFF2-40B4-BE49-F238E27FC236}">
              <a16:creationId xmlns:a16="http://schemas.microsoft.com/office/drawing/2014/main" id="{2371098D-5300-4AF1-B6E4-24B06F1D301F}"/>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67</xdr:row>
      <xdr:rowOff>0</xdr:rowOff>
    </xdr:from>
    <xdr:to>
      <xdr:col>8</xdr:col>
      <xdr:colOff>0</xdr:colOff>
      <xdr:row>67</xdr:row>
      <xdr:rowOff>0</xdr:rowOff>
    </xdr:to>
    <xdr:sp macro="" textlink="">
      <xdr:nvSpPr>
        <xdr:cNvPr id="95" name="Text Box 12">
          <a:extLst>
            <a:ext uri="{FF2B5EF4-FFF2-40B4-BE49-F238E27FC236}">
              <a16:creationId xmlns:a16="http://schemas.microsoft.com/office/drawing/2014/main" id="{928C68E1-E4DD-429D-BCA9-EA1597028C1F}"/>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67</xdr:row>
      <xdr:rowOff>0</xdr:rowOff>
    </xdr:from>
    <xdr:to>
      <xdr:col>8</xdr:col>
      <xdr:colOff>0</xdr:colOff>
      <xdr:row>67</xdr:row>
      <xdr:rowOff>0</xdr:rowOff>
    </xdr:to>
    <xdr:sp macro="" textlink="">
      <xdr:nvSpPr>
        <xdr:cNvPr id="128" name="Line 13">
          <a:extLst>
            <a:ext uri="{FF2B5EF4-FFF2-40B4-BE49-F238E27FC236}">
              <a16:creationId xmlns:a16="http://schemas.microsoft.com/office/drawing/2014/main" id="{D034FBD0-02C6-4CE7-B651-A7ECA0775BE4}"/>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67</xdr:row>
      <xdr:rowOff>0</xdr:rowOff>
    </xdr:from>
    <xdr:to>
      <xdr:col>8</xdr:col>
      <xdr:colOff>0</xdr:colOff>
      <xdr:row>67</xdr:row>
      <xdr:rowOff>0</xdr:rowOff>
    </xdr:to>
    <xdr:sp macro="" textlink="">
      <xdr:nvSpPr>
        <xdr:cNvPr id="129" name="Text Box 14">
          <a:extLst>
            <a:ext uri="{FF2B5EF4-FFF2-40B4-BE49-F238E27FC236}">
              <a16:creationId xmlns:a16="http://schemas.microsoft.com/office/drawing/2014/main" id="{9FA514D3-D389-441E-9932-0528C4A161E0}"/>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67</xdr:row>
      <xdr:rowOff>0</xdr:rowOff>
    </xdr:from>
    <xdr:to>
      <xdr:col>8</xdr:col>
      <xdr:colOff>0</xdr:colOff>
      <xdr:row>67</xdr:row>
      <xdr:rowOff>0</xdr:rowOff>
    </xdr:to>
    <xdr:sp macro="" textlink="">
      <xdr:nvSpPr>
        <xdr:cNvPr id="130" name="Line 15">
          <a:extLst>
            <a:ext uri="{FF2B5EF4-FFF2-40B4-BE49-F238E27FC236}">
              <a16:creationId xmlns:a16="http://schemas.microsoft.com/office/drawing/2014/main" id="{5E438598-AD4B-4D3A-A169-15EA3220C320}"/>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67</xdr:row>
      <xdr:rowOff>0</xdr:rowOff>
    </xdr:from>
    <xdr:to>
      <xdr:col>8</xdr:col>
      <xdr:colOff>0</xdr:colOff>
      <xdr:row>67</xdr:row>
      <xdr:rowOff>0</xdr:rowOff>
    </xdr:to>
    <xdr:sp macro="" textlink="">
      <xdr:nvSpPr>
        <xdr:cNvPr id="131" name="Text Box 16">
          <a:extLst>
            <a:ext uri="{FF2B5EF4-FFF2-40B4-BE49-F238E27FC236}">
              <a16:creationId xmlns:a16="http://schemas.microsoft.com/office/drawing/2014/main" id="{2F15229C-3A20-45FA-9AAE-B73D7BB9EFF3}"/>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67</xdr:row>
      <xdr:rowOff>0</xdr:rowOff>
    </xdr:from>
    <xdr:to>
      <xdr:col>8</xdr:col>
      <xdr:colOff>0</xdr:colOff>
      <xdr:row>67</xdr:row>
      <xdr:rowOff>0</xdr:rowOff>
    </xdr:to>
    <xdr:sp macro="" textlink="">
      <xdr:nvSpPr>
        <xdr:cNvPr id="132" name="Line 17">
          <a:extLst>
            <a:ext uri="{FF2B5EF4-FFF2-40B4-BE49-F238E27FC236}">
              <a16:creationId xmlns:a16="http://schemas.microsoft.com/office/drawing/2014/main" id="{86D2BB7F-08F0-4949-9E86-13D155282421}"/>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67</xdr:row>
      <xdr:rowOff>0</xdr:rowOff>
    </xdr:from>
    <xdr:to>
      <xdr:col>8</xdr:col>
      <xdr:colOff>0</xdr:colOff>
      <xdr:row>67</xdr:row>
      <xdr:rowOff>0</xdr:rowOff>
    </xdr:to>
    <xdr:sp macro="" textlink="">
      <xdr:nvSpPr>
        <xdr:cNvPr id="133" name="Text Box 18">
          <a:extLst>
            <a:ext uri="{FF2B5EF4-FFF2-40B4-BE49-F238E27FC236}">
              <a16:creationId xmlns:a16="http://schemas.microsoft.com/office/drawing/2014/main" id="{A65A19DF-1169-42DF-BF24-19663D5CA050}"/>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67</xdr:row>
      <xdr:rowOff>0</xdr:rowOff>
    </xdr:from>
    <xdr:to>
      <xdr:col>8</xdr:col>
      <xdr:colOff>0</xdr:colOff>
      <xdr:row>67</xdr:row>
      <xdr:rowOff>0</xdr:rowOff>
    </xdr:to>
    <xdr:sp macro="" textlink="">
      <xdr:nvSpPr>
        <xdr:cNvPr id="134" name="Line 19">
          <a:extLst>
            <a:ext uri="{FF2B5EF4-FFF2-40B4-BE49-F238E27FC236}">
              <a16:creationId xmlns:a16="http://schemas.microsoft.com/office/drawing/2014/main" id="{402152D5-C727-4644-AED4-D35B2AEB53EF}"/>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67</xdr:row>
      <xdr:rowOff>0</xdr:rowOff>
    </xdr:from>
    <xdr:to>
      <xdr:col>8</xdr:col>
      <xdr:colOff>0</xdr:colOff>
      <xdr:row>67</xdr:row>
      <xdr:rowOff>0</xdr:rowOff>
    </xdr:to>
    <xdr:sp macro="" textlink="">
      <xdr:nvSpPr>
        <xdr:cNvPr id="135" name="Text Box 20">
          <a:extLst>
            <a:ext uri="{FF2B5EF4-FFF2-40B4-BE49-F238E27FC236}">
              <a16:creationId xmlns:a16="http://schemas.microsoft.com/office/drawing/2014/main" id="{DEDEFDAC-48B3-41FE-8FB7-078CFE6120A8}"/>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67</xdr:row>
      <xdr:rowOff>0</xdr:rowOff>
    </xdr:from>
    <xdr:to>
      <xdr:col>8</xdr:col>
      <xdr:colOff>0</xdr:colOff>
      <xdr:row>67</xdr:row>
      <xdr:rowOff>0</xdr:rowOff>
    </xdr:to>
    <xdr:sp macro="" textlink="">
      <xdr:nvSpPr>
        <xdr:cNvPr id="136" name="Line 21">
          <a:extLst>
            <a:ext uri="{FF2B5EF4-FFF2-40B4-BE49-F238E27FC236}">
              <a16:creationId xmlns:a16="http://schemas.microsoft.com/office/drawing/2014/main" id="{FC8E0433-BCFF-4EFE-B7AF-E77AF5DD27E5}"/>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67</xdr:row>
      <xdr:rowOff>0</xdr:rowOff>
    </xdr:from>
    <xdr:to>
      <xdr:col>8</xdr:col>
      <xdr:colOff>0</xdr:colOff>
      <xdr:row>67</xdr:row>
      <xdr:rowOff>0</xdr:rowOff>
    </xdr:to>
    <xdr:sp macro="" textlink="">
      <xdr:nvSpPr>
        <xdr:cNvPr id="137" name="Text Box 22">
          <a:extLst>
            <a:ext uri="{FF2B5EF4-FFF2-40B4-BE49-F238E27FC236}">
              <a16:creationId xmlns:a16="http://schemas.microsoft.com/office/drawing/2014/main" id="{909B1FDC-01B4-477C-9AEE-B910B97486C0}"/>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67</xdr:row>
      <xdr:rowOff>0</xdr:rowOff>
    </xdr:from>
    <xdr:to>
      <xdr:col>8</xdr:col>
      <xdr:colOff>0</xdr:colOff>
      <xdr:row>67</xdr:row>
      <xdr:rowOff>0</xdr:rowOff>
    </xdr:to>
    <xdr:sp macro="" textlink="">
      <xdr:nvSpPr>
        <xdr:cNvPr id="138" name="Line 23">
          <a:extLst>
            <a:ext uri="{FF2B5EF4-FFF2-40B4-BE49-F238E27FC236}">
              <a16:creationId xmlns:a16="http://schemas.microsoft.com/office/drawing/2014/main" id="{EAC58A85-9C6C-42E8-9311-9A8F74286A31}"/>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67</xdr:row>
      <xdr:rowOff>0</xdr:rowOff>
    </xdr:from>
    <xdr:to>
      <xdr:col>8</xdr:col>
      <xdr:colOff>0</xdr:colOff>
      <xdr:row>67</xdr:row>
      <xdr:rowOff>0</xdr:rowOff>
    </xdr:to>
    <xdr:sp macro="" textlink="">
      <xdr:nvSpPr>
        <xdr:cNvPr id="139" name="Text Box 24">
          <a:extLst>
            <a:ext uri="{FF2B5EF4-FFF2-40B4-BE49-F238E27FC236}">
              <a16:creationId xmlns:a16="http://schemas.microsoft.com/office/drawing/2014/main" id="{5C37B892-9ADE-4C0D-9B13-0DC42E6150A4}"/>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67</xdr:row>
      <xdr:rowOff>0</xdr:rowOff>
    </xdr:from>
    <xdr:to>
      <xdr:col>8</xdr:col>
      <xdr:colOff>0</xdr:colOff>
      <xdr:row>67</xdr:row>
      <xdr:rowOff>0</xdr:rowOff>
    </xdr:to>
    <xdr:sp macro="" textlink="">
      <xdr:nvSpPr>
        <xdr:cNvPr id="140" name="Line 25">
          <a:extLst>
            <a:ext uri="{FF2B5EF4-FFF2-40B4-BE49-F238E27FC236}">
              <a16:creationId xmlns:a16="http://schemas.microsoft.com/office/drawing/2014/main" id="{B449B3FE-A785-4208-A5ED-7FD9E0C644FE}"/>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67</xdr:row>
      <xdr:rowOff>0</xdr:rowOff>
    </xdr:from>
    <xdr:to>
      <xdr:col>8</xdr:col>
      <xdr:colOff>0</xdr:colOff>
      <xdr:row>67</xdr:row>
      <xdr:rowOff>0</xdr:rowOff>
    </xdr:to>
    <xdr:sp macro="" textlink="">
      <xdr:nvSpPr>
        <xdr:cNvPr id="141" name="Text Box 26">
          <a:extLst>
            <a:ext uri="{FF2B5EF4-FFF2-40B4-BE49-F238E27FC236}">
              <a16:creationId xmlns:a16="http://schemas.microsoft.com/office/drawing/2014/main" id="{953D2C9F-9F11-45CE-9BD5-D01E7D1A7799}"/>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67</xdr:row>
      <xdr:rowOff>0</xdr:rowOff>
    </xdr:from>
    <xdr:to>
      <xdr:col>8</xdr:col>
      <xdr:colOff>0</xdr:colOff>
      <xdr:row>67</xdr:row>
      <xdr:rowOff>0</xdr:rowOff>
    </xdr:to>
    <xdr:sp macro="" textlink="">
      <xdr:nvSpPr>
        <xdr:cNvPr id="256" name="Line 27">
          <a:extLst>
            <a:ext uri="{FF2B5EF4-FFF2-40B4-BE49-F238E27FC236}">
              <a16:creationId xmlns:a16="http://schemas.microsoft.com/office/drawing/2014/main" id="{BCB5DD6A-C9F3-4B72-AFF5-9B2EDFD37D8E}"/>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67</xdr:row>
      <xdr:rowOff>0</xdr:rowOff>
    </xdr:from>
    <xdr:to>
      <xdr:col>8</xdr:col>
      <xdr:colOff>0</xdr:colOff>
      <xdr:row>67</xdr:row>
      <xdr:rowOff>0</xdr:rowOff>
    </xdr:to>
    <xdr:sp macro="" textlink="">
      <xdr:nvSpPr>
        <xdr:cNvPr id="257" name="Text Box 28">
          <a:extLst>
            <a:ext uri="{FF2B5EF4-FFF2-40B4-BE49-F238E27FC236}">
              <a16:creationId xmlns:a16="http://schemas.microsoft.com/office/drawing/2014/main" id="{273DF49B-BA74-47D4-B698-6626A8B53CCE}"/>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258" name="Line 1">
          <a:extLst>
            <a:ext uri="{FF2B5EF4-FFF2-40B4-BE49-F238E27FC236}">
              <a16:creationId xmlns:a16="http://schemas.microsoft.com/office/drawing/2014/main" id="{B2B146EE-0739-4EA8-BF54-03608AC5363A}"/>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259" name="Text Box 2">
          <a:extLst>
            <a:ext uri="{FF2B5EF4-FFF2-40B4-BE49-F238E27FC236}">
              <a16:creationId xmlns:a16="http://schemas.microsoft.com/office/drawing/2014/main" id="{8C8AE319-B74A-407E-8512-025FACB20348}"/>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260" name="Line 3">
          <a:extLst>
            <a:ext uri="{FF2B5EF4-FFF2-40B4-BE49-F238E27FC236}">
              <a16:creationId xmlns:a16="http://schemas.microsoft.com/office/drawing/2014/main" id="{34F20423-B33C-44AE-9C44-568FEE84B53A}"/>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261" name="Text Box 4">
          <a:extLst>
            <a:ext uri="{FF2B5EF4-FFF2-40B4-BE49-F238E27FC236}">
              <a16:creationId xmlns:a16="http://schemas.microsoft.com/office/drawing/2014/main" id="{934DECC1-D199-43AA-9128-4AF61ACCA74A}"/>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262" name="Line 5">
          <a:extLst>
            <a:ext uri="{FF2B5EF4-FFF2-40B4-BE49-F238E27FC236}">
              <a16:creationId xmlns:a16="http://schemas.microsoft.com/office/drawing/2014/main" id="{CD4399E0-48E9-46B9-9DB2-67B88DD7A3D4}"/>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263" name="Text Box 6">
          <a:extLst>
            <a:ext uri="{FF2B5EF4-FFF2-40B4-BE49-F238E27FC236}">
              <a16:creationId xmlns:a16="http://schemas.microsoft.com/office/drawing/2014/main" id="{570270C6-D67A-42A7-AC41-A9C06E1C5087}"/>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264" name="Line 7">
          <a:extLst>
            <a:ext uri="{FF2B5EF4-FFF2-40B4-BE49-F238E27FC236}">
              <a16:creationId xmlns:a16="http://schemas.microsoft.com/office/drawing/2014/main" id="{DE318A1E-88D6-468F-B48A-52106F0E0A12}"/>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265" name="Text Box 8">
          <a:extLst>
            <a:ext uri="{FF2B5EF4-FFF2-40B4-BE49-F238E27FC236}">
              <a16:creationId xmlns:a16="http://schemas.microsoft.com/office/drawing/2014/main" id="{86A25084-83A1-47F7-9C8D-653C0C90E1C0}"/>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266" name="Line 9">
          <a:extLst>
            <a:ext uri="{FF2B5EF4-FFF2-40B4-BE49-F238E27FC236}">
              <a16:creationId xmlns:a16="http://schemas.microsoft.com/office/drawing/2014/main" id="{9AA71F0B-95F8-4F59-B45A-F5C068F2CFF8}"/>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267" name="Text Box 10">
          <a:extLst>
            <a:ext uri="{FF2B5EF4-FFF2-40B4-BE49-F238E27FC236}">
              <a16:creationId xmlns:a16="http://schemas.microsoft.com/office/drawing/2014/main" id="{4B0E26A0-B3BA-4B23-99EF-E9FC222D2CD8}"/>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268" name="Line 11">
          <a:extLst>
            <a:ext uri="{FF2B5EF4-FFF2-40B4-BE49-F238E27FC236}">
              <a16:creationId xmlns:a16="http://schemas.microsoft.com/office/drawing/2014/main" id="{79FB78A3-0EBA-43B4-99FF-1C9B02724A4B}"/>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269" name="Text Box 12">
          <a:extLst>
            <a:ext uri="{FF2B5EF4-FFF2-40B4-BE49-F238E27FC236}">
              <a16:creationId xmlns:a16="http://schemas.microsoft.com/office/drawing/2014/main" id="{EE3A7C3C-3496-40B3-AD74-8A4644C54DEB}"/>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270" name="Line 13">
          <a:extLst>
            <a:ext uri="{FF2B5EF4-FFF2-40B4-BE49-F238E27FC236}">
              <a16:creationId xmlns:a16="http://schemas.microsoft.com/office/drawing/2014/main" id="{D1398436-12C0-4BF3-8159-DEBAEB41B04C}"/>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271" name="Text Box 14">
          <a:extLst>
            <a:ext uri="{FF2B5EF4-FFF2-40B4-BE49-F238E27FC236}">
              <a16:creationId xmlns:a16="http://schemas.microsoft.com/office/drawing/2014/main" id="{0AB30D3A-3C05-4773-9E36-B49841392542}"/>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272" name="Line 15">
          <a:extLst>
            <a:ext uri="{FF2B5EF4-FFF2-40B4-BE49-F238E27FC236}">
              <a16:creationId xmlns:a16="http://schemas.microsoft.com/office/drawing/2014/main" id="{E9161B69-6967-4763-A387-E8C8730B40B8}"/>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273" name="Text Box 16">
          <a:extLst>
            <a:ext uri="{FF2B5EF4-FFF2-40B4-BE49-F238E27FC236}">
              <a16:creationId xmlns:a16="http://schemas.microsoft.com/office/drawing/2014/main" id="{A4336B16-4064-4CFA-ACA4-272B6F96177C}"/>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274" name="Line 17">
          <a:extLst>
            <a:ext uri="{FF2B5EF4-FFF2-40B4-BE49-F238E27FC236}">
              <a16:creationId xmlns:a16="http://schemas.microsoft.com/office/drawing/2014/main" id="{743CC4E0-32C1-42D0-8B41-2AE424D609FA}"/>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275" name="Text Box 18">
          <a:extLst>
            <a:ext uri="{FF2B5EF4-FFF2-40B4-BE49-F238E27FC236}">
              <a16:creationId xmlns:a16="http://schemas.microsoft.com/office/drawing/2014/main" id="{9646E813-1E65-4EBF-AFAD-2E35371AB235}"/>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276" name="Line 19">
          <a:extLst>
            <a:ext uri="{FF2B5EF4-FFF2-40B4-BE49-F238E27FC236}">
              <a16:creationId xmlns:a16="http://schemas.microsoft.com/office/drawing/2014/main" id="{6548ABE7-31E9-4A00-A404-6D49F433552B}"/>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277" name="Text Box 20">
          <a:extLst>
            <a:ext uri="{FF2B5EF4-FFF2-40B4-BE49-F238E27FC236}">
              <a16:creationId xmlns:a16="http://schemas.microsoft.com/office/drawing/2014/main" id="{B267EE96-1FF2-4666-9A0F-3B1DBE96C1DA}"/>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278" name="Line 21">
          <a:extLst>
            <a:ext uri="{FF2B5EF4-FFF2-40B4-BE49-F238E27FC236}">
              <a16:creationId xmlns:a16="http://schemas.microsoft.com/office/drawing/2014/main" id="{561577E8-F698-4C29-A7AF-26F50F9F7AE1}"/>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279" name="Text Box 22">
          <a:extLst>
            <a:ext uri="{FF2B5EF4-FFF2-40B4-BE49-F238E27FC236}">
              <a16:creationId xmlns:a16="http://schemas.microsoft.com/office/drawing/2014/main" id="{AE01784B-8D71-4F10-AD85-4591174F4200}"/>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280" name="Line 23">
          <a:extLst>
            <a:ext uri="{FF2B5EF4-FFF2-40B4-BE49-F238E27FC236}">
              <a16:creationId xmlns:a16="http://schemas.microsoft.com/office/drawing/2014/main" id="{6A951955-9EF5-4B82-943F-CFBFCBD72A88}"/>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281" name="Text Box 24">
          <a:extLst>
            <a:ext uri="{FF2B5EF4-FFF2-40B4-BE49-F238E27FC236}">
              <a16:creationId xmlns:a16="http://schemas.microsoft.com/office/drawing/2014/main" id="{C5470BFD-13E3-48C6-8608-E381CF9B8115}"/>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282" name="Line 25">
          <a:extLst>
            <a:ext uri="{FF2B5EF4-FFF2-40B4-BE49-F238E27FC236}">
              <a16:creationId xmlns:a16="http://schemas.microsoft.com/office/drawing/2014/main" id="{635E6534-0AFD-40B6-8215-E915295DE3FC}"/>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283" name="Text Box 26">
          <a:extLst>
            <a:ext uri="{FF2B5EF4-FFF2-40B4-BE49-F238E27FC236}">
              <a16:creationId xmlns:a16="http://schemas.microsoft.com/office/drawing/2014/main" id="{C668DD76-465B-40FA-8864-969A32C0AD29}"/>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284" name="Line 27">
          <a:extLst>
            <a:ext uri="{FF2B5EF4-FFF2-40B4-BE49-F238E27FC236}">
              <a16:creationId xmlns:a16="http://schemas.microsoft.com/office/drawing/2014/main" id="{EA353D68-45CF-458B-8146-EDE720E9567F}"/>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285" name="Text Box 28">
          <a:extLst>
            <a:ext uri="{FF2B5EF4-FFF2-40B4-BE49-F238E27FC236}">
              <a16:creationId xmlns:a16="http://schemas.microsoft.com/office/drawing/2014/main" id="{984A85ED-A292-43DF-81FF-4E1C5F27803C}"/>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286" name="Line 1">
          <a:extLst>
            <a:ext uri="{FF2B5EF4-FFF2-40B4-BE49-F238E27FC236}">
              <a16:creationId xmlns:a16="http://schemas.microsoft.com/office/drawing/2014/main" id="{B2C482C5-6172-4BCA-A4B0-10E471CE3A63}"/>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287" name="Text Box 2">
          <a:extLst>
            <a:ext uri="{FF2B5EF4-FFF2-40B4-BE49-F238E27FC236}">
              <a16:creationId xmlns:a16="http://schemas.microsoft.com/office/drawing/2014/main" id="{21E2EC97-5FBF-47E0-97B4-FEAEA56ECF52}"/>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288" name="Line 3">
          <a:extLst>
            <a:ext uri="{FF2B5EF4-FFF2-40B4-BE49-F238E27FC236}">
              <a16:creationId xmlns:a16="http://schemas.microsoft.com/office/drawing/2014/main" id="{CEE61886-7493-413A-A3EC-B854485854AA}"/>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289" name="Text Box 4">
          <a:extLst>
            <a:ext uri="{FF2B5EF4-FFF2-40B4-BE49-F238E27FC236}">
              <a16:creationId xmlns:a16="http://schemas.microsoft.com/office/drawing/2014/main" id="{025ED29D-B620-4593-AE15-9EBB06690B59}"/>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290" name="Line 5">
          <a:extLst>
            <a:ext uri="{FF2B5EF4-FFF2-40B4-BE49-F238E27FC236}">
              <a16:creationId xmlns:a16="http://schemas.microsoft.com/office/drawing/2014/main" id="{E101BAB4-8DBA-494C-A6E1-80AB63D8CC1F}"/>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291" name="Text Box 6">
          <a:extLst>
            <a:ext uri="{FF2B5EF4-FFF2-40B4-BE49-F238E27FC236}">
              <a16:creationId xmlns:a16="http://schemas.microsoft.com/office/drawing/2014/main" id="{0E60A5FB-7BBF-466E-BB42-96F86032B16B}"/>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292" name="Line 7">
          <a:extLst>
            <a:ext uri="{FF2B5EF4-FFF2-40B4-BE49-F238E27FC236}">
              <a16:creationId xmlns:a16="http://schemas.microsoft.com/office/drawing/2014/main" id="{8778C724-87A6-47F4-9F0E-4BFA1004F7E5}"/>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293" name="Text Box 8">
          <a:extLst>
            <a:ext uri="{FF2B5EF4-FFF2-40B4-BE49-F238E27FC236}">
              <a16:creationId xmlns:a16="http://schemas.microsoft.com/office/drawing/2014/main" id="{53B53B0C-F77A-4740-A1FD-FFDD8B450D75}"/>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294" name="Line 9">
          <a:extLst>
            <a:ext uri="{FF2B5EF4-FFF2-40B4-BE49-F238E27FC236}">
              <a16:creationId xmlns:a16="http://schemas.microsoft.com/office/drawing/2014/main" id="{B4F340BF-C050-41C8-A8B5-AFF6CFDBD266}"/>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295" name="Text Box 10">
          <a:extLst>
            <a:ext uri="{FF2B5EF4-FFF2-40B4-BE49-F238E27FC236}">
              <a16:creationId xmlns:a16="http://schemas.microsoft.com/office/drawing/2014/main" id="{4073460A-71F9-45CD-9868-8DAA46F1C00C}"/>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296" name="Line 11">
          <a:extLst>
            <a:ext uri="{FF2B5EF4-FFF2-40B4-BE49-F238E27FC236}">
              <a16:creationId xmlns:a16="http://schemas.microsoft.com/office/drawing/2014/main" id="{141FFF92-CDA1-4B08-B22F-37A1DFB96C63}"/>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297" name="Text Box 12">
          <a:extLst>
            <a:ext uri="{FF2B5EF4-FFF2-40B4-BE49-F238E27FC236}">
              <a16:creationId xmlns:a16="http://schemas.microsoft.com/office/drawing/2014/main" id="{71513115-035F-46E1-83AB-D6616B30A7F0}"/>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298" name="Line 13">
          <a:extLst>
            <a:ext uri="{FF2B5EF4-FFF2-40B4-BE49-F238E27FC236}">
              <a16:creationId xmlns:a16="http://schemas.microsoft.com/office/drawing/2014/main" id="{B86A4C6C-9A07-466E-AC33-006FDFF5AC32}"/>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299" name="Text Box 14">
          <a:extLst>
            <a:ext uri="{FF2B5EF4-FFF2-40B4-BE49-F238E27FC236}">
              <a16:creationId xmlns:a16="http://schemas.microsoft.com/office/drawing/2014/main" id="{E357B615-360D-4691-BDE6-9B1A3202FD8B}"/>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300" name="Line 15">
          <a:extLst>
            <a:ext uri="{FF2B5EF4-FFF2-40B4-BE49-F238E27FC236}">
              <a16:creationId xmlns:a16="http://schemas.microsoft.com/office/drawing/2014/main" id="{7A61B5DF-14F3-439C-A8D8-1471AC937EC4}"/>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301" name="Text Box 16">
          <a:extLst>
            <a:ext uri="{FF2B5EF4-FFF2-40B4-BE49-F238E27FC236}">
              <a16:creationId xmlns:a16="http://schemas.microsoft.com/office/drawing/2014/main" id="{1987424C-A95A-40CF-86D8-873F0DBDC6AD}"/>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302" name="Line 17">
          <a:extLst>
            <a:ext uri="{FF2B5EF4-FFF2-40B4-BE49-F238E27FC236}">
              <a16:creationId xmlns:a16="http://schemas.microsoft.com/office/drawing/2014/main" id="{7EED845F-EFF9-4F16-A667-69B75D9EF2BD}"/>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303" name="Text Box 18">
          <a:extLst>
            <a:ext uri="{FF2B5EF4-FFF2-40B4-BE49-F238E27FC236}">
              <a16:creationId xmlns:a16="http://schemas.microsoft.com/office/drawing/2014/main" id="{5AAD164D-B612-48CF-994E-ACAB6D8D21CD}"/>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304" name="Line 19">
          <a:extLst>
            <a:ext uri="{FF2B5EF4-FFF2-40B4-BE49-F238E27FC236}">
              <a16:creationId xmlns:a16="http://schemas.microsoft.com/office/drawing/2014/main" id="{4E57A303-712E-4FA5-8FD5-210A21812CE8}"/>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305" name="Text Box 20">
          <a:extLst>
            <a:ext uri="{FF2B5EF4-FFF2-40B4-BE49-F238E27FC236}">
              <a16:creationId xmlns:a16="http://schemas.microsoft.com/office/drawing/2014/main" id="{4BA7E224-9C51-4677-877C-81DC7F467EF1}"/>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306" name="Line 21">
          <a:extLst>
            <a:ext uri="{FF2B5EF4-FFF2-40B4-BE49-F238E27FC236}">
              <a16:creationId xmlns:a16="http://schemas.microsoft.com/office/drawing/2014/main" id="{0373F6E0-403F-446B-9831-5842F98ABB23}"/>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307" name="Text Box 22">
          <a:extLst>
            <a:ext uri="{FF2B5EF4-FFF2-40B4-BE49-F238E27FC236}">
              <a16:creationId xmlns:a16="http://schemas.microsoft.com/office/drawing/2014/main" id="{30EC9B61-06DE-4633-AD4A-0832025AB2EF}"/>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308" name="Line 23">
          <a:extLst>
            <a:ext uri="{FF2B5EF4-FFF2-40B4-BE49-F238E27FC236}">
              <a16:creationId xmlns:a16="http://schemas.microsoft.com/office/drawing/2014/main" id="{73440531-53DC-42DA-BF02-FDEC7F953ACF}"/>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309" name="Text Box 24">
          <a:extLst>
            <a:ext uri="{FF2B5EF4-FFF2-40B4-BE49-F238E27FC236}">
              <a16:creationId xmlns:a16="http://schemas.microsoft.com/office/drawing/2014/main" id="{9BE68A71-D946-4BAD-A3A1-BF213588C2D1}"/>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310" name="Line 25">
          <a:extLst>
            <a:ext uri="{FF2B5EF4-FFF2-40B4-BE49-F238E27FC236}">
              <a16:creationId xmlns:a16="http://schemas.microsoft.com/office/drawing/2014/main" id="{88830D5D-D80B-4A44-B489-151D102A7BE9}"/>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311" name="Text Box 26">
          <a:extLst>
            <a:ext uri="{FF2B5EF4-FFF2-40B4-BE49-F238E27FC236}">
              <a16:creationId xmlns:a16="http://schemas.microsoft.com/office/drawing/2014/main" id="{48110B89-3472-477F-AED3-8C617989E33C}"/>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312" name="Line 27">
          <a:extLst>
            <a:ext uri="{FF2B5EF4-FFF2-40B4-BE49-F238E27FC236}">
              <a16:creationId xmlns:a16="http://schemas.microsoft.com/office/drawing/2014/main" id="{202072D9-EDF1-4CBB-BD3B-590C59F90B3C}"/>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313" name="Text Box 28">
          <a:extLst>
            <a:ext uri="{FF2B5EF4-FFF2-40B4-BE49-F238E27FC236}">
              <a16:creationId xmlns:a16="http://schemas.microsoft.com/office/drawing/2014/main" id="{0985D4F4-0C7D-4FAE-AE5A-79AEFA3F250C}"/>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314" name="Line 1">
          <a:extLst>
            <a:ext uri="{FF2B5EF4-FFF2-40B4-BE49-F238E27FC236}">
              <a16:creationId xmlns:a16="http://schemas.microsoft.com/office/drawing/2014/main" id="{D736A79F-0424-4B3D-9B5F-E9DF5CB19096}"/>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315" name="Text Box 2">
          <a:extLst>
            <a:ext uri="{FF2B5EF4-FFF2-40B4-BE49-F238E27FC236}">
              <a16:creationId xmlns:a16="http://schemas.microsoft.com/office/drawing/2014/main" id="{22B68E65-2D7B-45A4-ADD2-BB6D9DAC2422}"/>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316" name="Line 3">
          <a:extLst>
            <a:ext uri="{FF2B5EF4-FFF2-40B4-BE49-F238E27FC236}">
              <a16:creationId xmlns:a16="http://schemas.microsoft.com/office/drawing/2014/main" id="{097A9256-EB80-4C7D-AF0E-9775503FA95A}"/>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317" name="Text Box 4">
          <a:extLst>
            <a:ext uri="{FF2B5EF4-FFF2-40B4-BE49-F238E27FC236}">
              <a16:creationId xmlns:a16="http://schemas.microsoft.com/office/drawing/2014/main" id="{FEF2863F-6870-4975-89B7-AE5E5D3FAD75}"/>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318" name="Line 5">
          <a:extLst>
            <a:ext uri="{FF2B5EF4-FFF2-40B4-BE49-F238E27FC236}">
              <a16:creationId xmlns:a16="http://schemas.microsoft.com/office/drawing/2014/main" id="{54F3E312-AB0A-459F-B349-8DD344865F04}"/>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319" name="Text Box 6">
          <a:extLst>
            <a:ext uri="{FF2B5EF4-FFF2-40B4-BE49-F238E27FC236}">
              <a16:creationId xmlns:a16="http://schemas.microsoft.com/office/drawing/2014/main" id="{C4162EA7-8620-4167-85F5-A1919DE34533}"/>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320" name="Line 7">
          <a:extLst>
            <a:ext uri="{FF2B5EF4-FFF2-40B4-BE49-F238E27FC236}">
              <a16:creationId xmlns:a16="http://schemas.microsoft.com/office/drawing/2014/main" id="{899CE8F3-C910-408F-A349-DB62A528E5E5}"/>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321" name="Text Box 8">
          <a:extLst>
            <a:ext uri="{FF2B5EF4-FFF2-40B4-BE49-F238E27FC236}">
              <a16:creationId xmlns:a16="http://schemas.microsoft.com/office/drawing/2014/main" id="{98DFA4D1-E2B6-4E5C-B6EA-35C39E2827C7}"/>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322" name="Line 9">
          <a:extLst>
            <a:ext uri="{FF2B5EF4-FFF2-40B4-BE49-F238E27FC236}">
              <a16:creationId xmlns:a16="http://schemas.microsoft.com/office/drawing/2014/main" id="{9CDDB937-BBEC-4ABA-941C-0AFCF78EB4B8}"/>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323" name="Text Box 10">
          <a:extLst>
            <a:ext uri="{FF2B5EF4-FFF2-40B4-BE49-F238E27FC236}">
              <a16:creationId xmlns:a16="http://schemas.microsoft.com/office/drawing/2014/main" id="{B3FE9C08-0FE3-48E9-8756-B062DA46041D}"/>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324" name="Line 11">
          <a:extLst>
            <a:ext uri="{FF2B5EF4-FFF2-40B4-BE49-F238E27FC236}">
              <a16:creationId xmlns:a16="http://schemas.microsoft.com/office/drawing/2014/main" id="{36F3451C-1CC7-464B-BD6C-3C551C5F06C3}"/>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325" name="Text Box 12">
          <a:extLst>
            <a:ext uri="{FF2B5EF4-FFF2-40B4-BE49-F238E27FC236}">
              <a16:creationId xmlns:a16="http://schemas.microsoft.com/office/drawing/2014/main" id="{5C969693-0516-4B6F-AF0F-E1DFA7FB0809}"/>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326" name="Line 13">
          <a:extLst>
            <a:ext uri="{FF2B5EF4-FFF2-40B4-BE49-F238E27FC236}">
              <a16:creationId xmlns:a16="http://schemas.microsoft.com/office/drawing/2014/main" id="{96FE3DD5-FAC7-42B4-A621-1BDCA19334CA}"/>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327" name="Text Box 14">
          <a:extLst>
            <a:ext uri="{FF2B5EF4-FFF2-40B4-BE49-F238E27FC236}">
              <a16:creationId xmlns:a16="http://schemas.microsoft.com/office/drawing/2014/main" id="{5384750A-8E35-4D29-8C3D-FB863FD7A202}"/>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328" name="Line 15">
          <a:extLst>
            <a:ext uri="{FF2B5EF4-FFF2-40B4-BE49-F238E27FC236}">
              <a16:creationId xmlns:a16="http://schemas.microsoft.com/office/drawing/2014/main" id="{A5B4C935-EB6C-44CD-A556-9D3BFBC76399}"/>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329" name="Text Box 16">
          <a:extLst>
            <a:ext uri="{FF2B5EF4-FFF2-40B4-BE49-F238E27FC236}">
              <a16:creationId xmlns:a16="http://schemas.microsoft.com/office/drawing/2014/main" id="{804CED31-8631-4ECE-84A7-73884B20458E}"/>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330" name="Line 17">
          <a:extLst>
            <a:ext uri="{FF2B5EF4-FFF2-40B4-BE49-F238E27FC236}">
              <a16:creationId xmlns:a16="http://schemas.microsoft.com/office/drawing/2014/main" id="{0A73E5AF-F0EE-4F95-846D-7EB2E48E0469}"/>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331" name="Text Box 18">
          <a:extLst>
            <a:ext uri="{FF2B5EF4-FFF2-40B4-BE49-F238E27FC236}">
              <a16:creationId xmlns:a16="http://schemas.microsoft.com/office/drawing/2014/main" id="{8810D2A9-1636-4B8E-A3BE-466EAB4B88FF}"/>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332" name="Line 19">
          <a:extLst>
            <a:ext uri="{FF2B5EF4-FFF2-40B4-BE49-F238E27FC236}">
              <a16:creationId xmlns:a16="http://schemas.microsoft.com/office/drawing/2014/main" id="{5A5E7C97-E24A-4C72-AEE9-AD40810B7D92}"/>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333" name="Text Box 20">
          <a:extLst>
            <a:ext uri="{FF2B5EF4-FFF2-40B4-BE49-F238E27FC236}">
              <a16:creationId xmlns:a16="http://schemas.microsoft.com/office/drawing/2014/main" id="{802658BE-060C-47C1-A8D9-9F3F0E9193F1}"/>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334" name="Line 21">
          <a:extLst>
            <a:ext uri="{FF2B5EF4-FFF2-40B4-BE49-F238E27FC236}">
              <a16:creationId xmlns:a16="http://schemas.microsoft.com/office/drawing/2014/main" id="{2713CCDF-AB1C-44C0-893C-8A975107F306}"/>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335" name="Text Box 22">
          <a:extLst>
            <a:ext uri="{FF2B5EF4-FFF2-40B4-BE49-F238E27FC236}">
              <a16:creationId xmlns:a16="http://schemas.microsoft.com/office/drawing/2014/main" id="{35A190AF-21CC-4905-AB7A-DFF0DBB27E34}"/>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336" name="Line 23">
          <a:extLst>
            <a:ext uri="{FF2B5EF4-FFF2-40B4-BE49-F238E27FC236}">
              <a16:creationId xmlns:a16="http://schemas.microsoft.com/office/drawing/2014/main" id="{41289701-FEAD-4098-87EE-355AD78EFC73}"/>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337" name="Text Box 24">
          <a:extLst>
            <a:ext uri="{FF2B5EF4-FFF2-40B4-BE49-F238E27FC236}">
              <a16:creationId xmlns:a16="http://schemas.microsoft.com/office/drawing/2014/main" id="{8975FC0A-0112-4D1A-875C-4892036C2D73}"/>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338" name="Line 25">
          <a:extLst>
            <a:ext uri="{FF2B5EF4-FFF2-40B4-BE49-F238E27FC236}">
              <a16:creationId xmlns:a16="http://schemas.microsoft.com/office/drawing/2014/main" id="{95CE5A7E-0E01-4998-B737-177E113886E7}"/>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339" name="Text Box 26">
          <a:extLst>
            <a:ext uri="{FF2B5EF4-FFF2-40B4-BE49-F238E27FC236}">
              <a16:creationId xmlns:a16="http://schemas.microsoft.com/office/drawing/2014/main" id="{5EB424D9-78C5-4F4F-9C8D-C6A8D7FC7281}"/>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340" name="Line 27">
          <a:extLst>
            <a:ext uri="{FF2B5EF4-FFF2-40B4-BE49-F238E27FC236}">
              <a16:creationId xmlns:a16="http://schemas.microsoft.com/office/drawing/2014/main" id="{B620E91F-54FF-4754-AAD9-670C0CA2664B}"/>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341" name="Text Box 28">
          <a:extLst>
            <a:ext uri="{FF2B5EF4-FFF2-40B4-BE49-F238E27FC236}">
              <a16:creationId xmlns:a16="http://schemas.microsoft.com/office/drawing/2014/main" id="{531C63D0-1312-4B5A-AD3C-B0F34ABAA824}"/>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90</xdr:row>
      <xdr:rowOff>0</xdr:rowOff>
    </xdr:from>
    <xdr:to>
      <xdr:col>8</xdr:col>
      <xdr:colOff>0</xdr:colOff>
      <xdr:row>90</xdr:row>
      <xdr:rowOff>0</xdr:rowOff>
    </xdr:to>
    <xdr:sp macro="" textlink="">
      <xdr:nvSpPr>
        <xdr:cNvPr id="342" name="Line 1">
          <a:extLst>
            <a:ext uri="{FF2B5EF4-FFF2-40B4-BE49-F238E27FC236}">
              <a16:creationId xmlns:a16="http://schemas.microsoft.com/office/drawing/2014/main" id="{665E9CE9-17EA-46A4-AD76-1F3EABE11CEB}"/>
            </a:ext>
          </a:extLst>
        </xdr:cNvPr>
        <xdr:cNvSpPr>
          <a:spLocks noChangeShapeType="1"/>
        </xdr:cNvSpPr>
      </xdr:nvSpPr>
      <xdr:spPr bwMode="auto">
        <a:xfrm>
          <a:off x="9906000" y="195072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90</xdr:row>
      <xdr:rowOff>0</xdr:rowOff>
    </xdr:from>
    <xdr:to>
      <xdr:col>8</xdr:col>
      <xdr:colOff>0</xdr:colOff>
      <xdr:row>90</xdr:row>
      <xdr:rowOff>0</xdr:rowOff>
    </xdr:to>
    <xdr:sp macro="" textlink="">
      <xdr:nvSpPr>
        <xdr:cNvPr id="343" name="Text Box 2">
          <a:extLst>
            <a:ext uri="{FF2B5EF4-FFF2-40B4-BE49-F238E27FC236}">
              <a16:creationId xmlns:a16="http://schemas.microsoft.com/office/drawing/2014/main" id="{990B4BF0-0139-43D5-8C3D-9107ECB29529}"/>
            </a:ext>
          </a:extLst>
        </xdr:cNvPr>
        <xdr:cNvSpPr txBox="1">
          <a:spLocks noChangeArrowheads="1"/>
        </xdr:cNvSpPr>
      </xdr:nvSpPr>
      <xdr:spPr bwMode="auto">
        <a:xfrm>
          <a:off x="9906000" y="195072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90</xdr:row>
      <xdr:rowOff>0</xdr:rowOff>
    </xdr:from>
    <xdr:to>
      <xdr:col>8</xdr:col>
      <xdr:colOff>0</xdr:colOff>
      <xdr:row>90</xdr:row>
      <xdr:rowOff>0</xdr:rowOff>
    </xdr:to>
    <xdr:sp macro="" textlink="">
      <xdr:nvSpPr>
        <xdr:cNvPr id="344" name="Line 3">
          <a:extLst>
            <a:ext uri="{FF2B5EF4-FFF2-40B4-BE49-F238E27FC236}">
              <a16:creationId xmlns:a16="http://schemas.microsoft.com/office/drawing/2014/main" id="{C6BB0D12-152C-493E-B930-D0AC8DF7BCBF}"/>
            </a:ext>
          </a:extLst>
        </xdr:cNvPr>
        <xdr:cNvSpPr>
          <a:spLocks noChangeShapeType="1"/>
        </xdr:cNvSpPr>
      </xdr:nvSpPr>
      <xdr:spPr bwMode="auto">
        <a:xfrm>
          <a:off x="9906000" y="195072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90</xdr:row>
      <xdr:rowOff>0</xdr:rowOff>
    </xdr:from>
    <xdr:to>
      <xdr:col>8</xdr:col>
      <xdr:colOff>0</xdr:colOff>
      <xdr:row>90</xdr:row>
      <xdr:rowOff>0</xdr:rowOff>
    </xdr:to>
    <xdr:sp macro="" textlink="">
      <xdr:nvSpPr>
        <xdr:cNvPr id="345" name="Text Box 4">
          <a:extLst>
            <a:ext uri="{FF2B5EF4-FFF2-40B4-BE49-F238E27FC236}">
              <a16:creationId xmlns:a16="http://schemas.microsoft.com/office/drawing/2014/main" id="{31857BD2-52F3-4A58-A004-A4B104824521}"/>
            </a:ext>
          </a:extLst>
        </xdr:cNvPr>
        <xdr:cNvSpPr txBox="1">
          <a:spLocks noChangeArrowheads="1"/>
        </xdr:cNvSpPr>
      </xdr:nvSpPr>
      <xdr:spPr bwMode="auto">
        <a:xfrm>
          <a:off x="9906000" y="195072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90</xdr:row>
      <xdr:rowOff>0</xdr:rowOff>
    </xdr:from>
    <xdr:to>
      <xdr:col>8</xdr:col>
      <xdr:colOff>0</xdr:colOff>
      <xdr:row>90</xdr:row>
      <xdr:rowOff>0</xdr:rowOff>
    </xdr:to>
    <xdr:sp macro="" textlink="">
      <xdr:nvSpPr>
        <xdr:cNvPr id="346" name="Line 5">
          <a:extLst>
            <a:ext uri="{FF2B5EF4-FFF2-40B4-BE49-F238E27FC236}">
              <a16:creationId xmlns:a16="http://schemas.microsoft.com/office/drawing/2014/main" id="{31C85489-7CCE-4E8F-8093-E658F42285A0}"/>
            </a:ext>
          </a:extLst>
        </xdr:cNvPr>
        <xdr:cNvSpPr>
          <a:spLocks noChangeShapeType="1"/>
        </xdr:cNvSpPr>
      </xdr:nvSpPr>
      <xdr:spPr bwMode="auto">
        <a:xfrm>
          <a:off x="9906000" y="195072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90</xdr:row>
      <xdr:rowOff>0</xdr:rowOff>
    </xdr:from>
    <xdr:to>
      <xdr:col>8</xdr:col>
      <xdr:colOff>0</xdr:colOff>
      <xdr:row>90</xdr:row>
      <xdr:rowOff>0</xdr:rowOff>
    </xdr:to>
    <xdr:sp macro="" textlink="">
      <xdr:nvSpPr>
        <xdr:cNvPr id="347" name="Text Box 6">
          <a:extLst>
            <a:ext uri="{FF2B5EF4-FFF2-40B4-BE49-F238E27FC236}">
              <a16:creationId xmlns:a16="http://schemas.microsoft.com/office/drawing/2014/main" id="{6B3C5BBC-FD35-43FB-826C-26F1343885AE}"/>
            </a:ext>
          </a:extLst>
        </xdr:cNvPr>
        <xdr:cNvSpPr txBox="1">
          <a:spLocks noChangeArrowheads="1"/>
        </xdr:cNvSpPr>
      </xdr:nvSpPr>
      <xdr:spPr bwMode="auto">
        <a:xfrm>
          <a:off x="9906000" y="195072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90</xdr:row>
      <xdr:rowOff>0</xdr:rowOff>
    </xdr:from>
    <xdr:to>
      <xdr:col>8</xdr:col>
      <xdr:colOff>0</xdr:colOff>
      <xdr:row>90</xdr:row>
      <xdr:rowOff>0</xdr:rowOff>
    </xdr:to>
    <xdr:sp macro="" textlink="">
      <xdr:nvSpPr>
        <xdr:cNvPr id="348" name="Line 7">
          <a:extLst>
            <a:ext uri="{FF2B5EF4-FFF2-40B4-BE49-F238E27FC236}">
              <a16:creationId xmlns:a16="http://schemas.microsoft.com/office/drawing/2014/main" id="{231AE7D4-DF04-48C8-87F9-09EAC2D044D7}"/>
            </a:ext>
          </a:extLst>
        </xdr:cNvPr>
        <xdr:cNvSpPr>
          <a:spLocks noChangeShapeType="1"/>
        </xdr:cNvSpPr>
      </xdr:nvSpPr>
      <xdr:spPr bwMode="auto">
        <a:xfrm>
          <a:off x="9906000" y="195072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90</xdr:row>
      <xdr:rowOff>0</xdr:rowOff>
    </xdr:from>
    <xdr:to>
      <xdr:col>8</xdr:col>
      <xdr:colOff>0</xdr:colOff>
      <xdr:row>90</xdr:row>
      <xdr:rowOff>0</xdr:rowOff>
    </xdr:to>
    <xdr:sp macro="" textlink="">
      <xdr:nvSpPr>
        <xdr:cNvPr id="349" name="Text Box 8">
          <a:extLst>
            <a:ext uri="{FF2B5EF4-FFF2-40B4-BE49-F238E27FC236}">
              <a16:creationId xmlns:a16="http://schemas.microsoft.com/office/drawing/2014/main" id="{215C8DC0-3724-4DDF-86D2-3987AFCBD449}"/>
            </a:ext>
          </a:extLst>
        </xdr:cNvPr>
        <xdr:cNvSpPr txBox="1">
          <a:spLocks noChangeArrowheads="1"/>
        </xdr:cNvSpPr>
      </xdr:nvSpPr>
      <xdr:spPr bwMode="auto">
        <a:xfrm>
          <a:off x="9906000" y="195072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90</xdr:row>
      <xdr:rowOff>0</xdr:rowOff>
    </xdr:from>
    <xdr:to>
      <xdr:col>8</xdr:col>
      <xdr:colOff>0</xdr:colOff>
      <xdr:row>90</xdr:row>
      <xdr:rowOff>0</xdr:rowOff>
    </xdr:to>
    <xdr:sp macro="" textlink="">
      <xdr:nvSpPr>
        <xdr:cNvPr id="350" name="Line 9">
          <a:extLst>
            <a:ext uri="{FF2B5EF4-FFF2-40B4-BE49-F238E27FC236}">
              <a16:creationId xmlns:a16="http://schemas.microsoft.com/office/drawing/2014/main" id="{B70E53ED-A2F1-46AA-9821-0C773E443C24}"/>
            </a:ext>
          </a:extLst>
        </xdr:cNvPr>
        <xdr:cNvSpPr>
          <a:spLocks noChangeShapeType="1"/>
        </xdr:cNvSpPr>
      </xdr:nvSpPr>
      <xdr:spPr bwMode="auto">
        <a:xfrm>
          <a:off x="9906000" y="195072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90</xdr:row>
      <xdr:rowOff>0</xdr:rowOff>
    </xdr:from>
    <xdr:to>
      <xdr:col>8</xdr:col>
      <xdr:colOff>0</xdr:colOff>
      <xdr:row>90</xdr:row>
      <xdr:rowOff>0</xdr:rowOff>
    </xdr:to>
    <xdr:sp macro="" textlink="">
      <xdr:nvSpPr>
        <xdr:cNvPr id="351" name="Text Box 10">
          <a:extLst>
            <a:ext uri="{FF2B5EF4-FFF2-40B4-BE49-F238E27FC236}">
              <a16:creationId xmlns:a16="http://schemas.microsoft.com/office/drawing/2014/main" id="{E9CE0246-3C13-433D-8F75-EEEBA3C19E9E}"/>
            </a:ext>
          </a:extLst>
        </xdr:cNvPr>
        <xdr:cNvSpPr txBox="1">
          <a:spLocks noChangeArrowheads="1"/>
        </xdr:cNvSpPr>
      </xdr:nvSpPr>
      <xdr:spPr bwMode="auto">
        <a:xfrm>
          <a:off x="9906000" y="195072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90</xdr:row>
      <xdr:rowOff>0</xdr:rowOff>
    </xdr:from>
    <xdr:to>
      <xdr:col>8</xdr:col>
      <xdr:colOff>0</xdr:colOff>
      <xdr:row>90</xdr:row>
      <xdr:rowOff>0</xdr:rowOff>
    </xdr:to>
    <xdr:sp macro="" textlink="">
      <xdr:nvSpPr>
        <xdr:cNvPr id="352" name="Line 11">
          <a:extLst>
            <a:ext uri="{FF2B5EF4-FFF2-40B4-BE49-F238E27FC236}">
              <a16:creationId xmlns:a16="http://schemas.microsoft.com/office/drawing/2014/main" id="{B4990CDC-359A-4027-A460-7704938E951D}"/>
            </a:ext>
          </a:extLst>
        </xdr:cNvPr>
        <xdr:cNvSpPr>
          <a:spLocks noChangeShapeType="1"/>
        </xdr:cNvSpPr>
      </xdr:nvSpPr>
      <xdr:spPr bwMode="auto">
        <a:xfrm>
          <a:off x="9906000" y="195072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90</xdr:row>
      <xdr:rowOff>0</xdr:rowOff>
    </xdr:from>
    <xdr:to>
      <xdr:col>8</xdr:col>
      <xdr:colOff>0</xdr:colOff>
      <xdr:row>90</xdr:row>
      <xdr:rowOff>0</xdr:rowOff>
    </xdr:to>
    <xdr:sp macro="" textlink="">
      <xdr:nvSpPr>
        <xdr:cNvPr id="353" name="Text Box 12">
          <a:extLst>
            <a:ext uri="{FF2B5EF4-FFF2-40B4-BE49-F238E27FC236}">
              <a16:creationId xmlns:a16="http://schemas.microsoft.com/office/drawing/2014/main" id="{2315973B-B53B-439B-A57E-9B1500DA3837}"/>
            </a:ext>
          </a:extLst>
        </xdr:cNvPr>
        <xdr:cNvSpPr txBox="1">
          <a:spLocks noChangeArrowheads="1"/>
        </xdr:cNvSpPr>
      </xdr:nvSpPr>
      <xdr:spPr bwMode="auto">
        <a:xfrm>
          <a:off x="9906000" y="195072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90</xdr:row>
      <xdr:rowOff>0</xdr:rowOff>
    </xdr:from>
    <xdr:to>
      <xdr:col>8</xdr:col>
      <xdr:colOff>0</xdr:colOff>
      <xdr:row>90</xdr:row>
      <xdr:rowOff>0</xdr:rowOff>
    </xdr:to>
    <xdr:sp macro="" textlink="">
      <xdr:nvSpPr>
        <xdr:cNvPr id="354" name="Line 13">
          <a:extLst>
            <a:ext uri="{FF2B5EF4-FFF2-40B4-BE49-F238E27FC236}">
              <a16:creationId xmlns:a16="http://schemas.microsoft.com/office/drawing/2014/main" id="{90A338C7-F9B6-475F-AE11-2163F47F876D}"/>
            </a:ext>
          </a:extLst>
        </xdr:cNvPr>
        <xdr:cNvSpPr>
          <a:spLocks noChangeShapeType="1"/>
        </xdr:cNvSpPr>
      </xdr:nvSpPr>
      <xdr:spPr bwMode="auto">
        <a:xfrm>
          <a:off x="9906000" y="195072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90</xdr:row>
      <xdr:rowOff>0</xdr:rowOff>
    </xdr:from>
    <xdr:to>
      <xdr:col>8</xdr:col>
      <xdr:colOff>0</xdr:colOff>
      <xdr:row>90</xdr:row>
      <xdr:rowOff>0</xdr:rowOff>
    </xdr:to>
    <xdr:sp macro="" textlink="">
      <xdr:nvSpPr>
        <xdr:cNvPr id="355" name="Text Box 14">
          <a:extLst>
            <a:ext uri="{FF2B5EF4-FFF2-40B4-BE49-F238E27FC236}">
              <a16:creationId xmlns:a16="http://schemas.microsoft.com/office/drawing/2014/main" id="{29A0CF8E-6D56-480F-A085-62EC3856ED43}"/>
            </a:ext>
          </a:extLst>
        </xdr:cNvPr>
        <xdr:cNvSpPr txBox="1">
          <a:spLocks noChangeArrowheads="1"/>
        </xdr:cNvSpPr>
      </xdr:nvSpPr>
      <xdr:spPr bwMode="auto">
        <a:xfrm>
          <a:off x="9906000" y="195072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90</xdr:row>
      <xdr:rowOff>0</xdr:rowOff>
    </xdr:from>
    <xdr:to>
      <xdr:col>8</xdr:col>
      <xdr:colOff>0</xdr:colOff>
      <xdr:row>90</xdr:row>
      <xdr:rowOff>0</xdr:rowOff>
    </xdr:to>
    <xdr:sp macro="" textlink="">
      <xdr:nvSpPr>
        <xdr:cNvPr id="356" name="Line 15">
          <a:extLst>
            <a:ext uri="{FF2B5EF4-FFF2-40B4-BE49-F238E27FC236}">
              <a16:creationId xmlns:a16="http://schemas.microsoft.com/office/drawing/2014/main" id="{5B307BF5-E3D1-491B-A6DD-99F19A02C858}"/>
            </a:ext>
          </a:extLst>
        </xdr:cNvPr>
        <xdr:cNvSpPr>
          <a:spLocks noChangeShapeType="1"/>
        </xdr:cNvSpPr>
      </xdr:nvSpPr>
      <xdr:spPr bwMode="auto">
        <a:xfrm>
          <a:off x="9906000" y="195072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90</xdr:row>
      <xdr:rowOff>0</xdr:rowOff>
    </xdr:from>
    <xdr:to>
      <xdr:col>8</xdr:col>
      <xdr:colOff>0</xdr:colOff>
      <xdr:row>90</xdr:row>
      <xdr:rowOff>0</xdr:rowOff>
    </xdr:to>
    <xdr:sp macro="" textlink="">
      <xdr:nvSpPr>
        <xdr:cNvPr id="357" name="Text Box 16">
          <a:extLst>
            <a:ext uri="{FF2B5EF4-FFF2-40B4-BE49-F238E27FC236}">
              <a16:creationId xmlns:a16="http://schemas.microsoft.com/office/drawing/2014/main" id="{4662CD35-E8C7-4EB4-A730-E14B59EEFFA1}"/>
            </a:ext>
          </a:extLst>
        </xdr:cNvPr>
        <xdr:cNvSpPr txBox="1">
          <a:spLocks noChangeArrowheads="1"/>
        </xdr:cNvSpPr>
      </xdr:nvSpPr>
      <xdr:spPr bwMode="auto">
        <a:xfrm>
          <a:off x="9906000" y="195072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90</xdr:row>
      <xdr:rowOff>0</xdr:rowOff>
    </xdr:from>
    <xdr:to>
      <xdr:col>8</xdr:col>
      <xdr:colOff>0</xdr:colOff>
      <xdr:row>90</xdr:row>
      <xdr:rowOff>0</xdr:rowOff>
    </xdr:to>
    <xdr:sp macro="" textlink="">
      <xdr:nvSpPr>
        <xdr:cNvPr id="358" name="Line 17">
          <a:extLst>
            <a:ext uri="{FF2B5EF4-FFF2-40B4-BE49-F238E27FC236}">
              <a16:creationId xmlns:a16="http://schemas.microsoft.com/office/drawing/2014/main" id="{3BF6905C-8022-4F87-9C33-8506CCF693D3}"/>
            </a:ext>
          </a:extLst>
        </xdr:cNvPr>
        <xdr:cNvSpPr>
          <a:spLocks noChangeShapeType="1"/>
        </xdr:cNvSpPr>
      </xdr:nvSpPr>
      <xdr:spPr bwMode="auto">
        <a:xfrm>
          <a:off x="9906000" y="195072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90</xdr:row>
      <xdr:rowOff>0</xdr:rowOff>
    </xdr:from>
    <xdr:to>
      <xdr:col>8</xdr:col>
      <xdr:colOff>0</xdr:colOff>
      <xdr:row>90</xdr:row>
      <xdr:rowOff>0</xdr:rowOff>
    </xdr:to>
    <xdr:sp macro="" textlink="">
      <xdr:nvSpPr>
        <xdr:cNvPr id="359" name="Text Box 18">
          <a:extLst>
            <a:ext uri="{FF2B5EF4-FFF2-40B4-BE49-F238E27FC236}">
              <a16:creationId xmlns:a16="http://schemas.microsoft.com/office/drawing/2014/main" id="{7F3E041A-0637-46A5-BE40-87D0CBCDCDCD}"/>
            </a:ext>
          </a:extLst>
        </xdr:cNvPr>
        <xdr:cNvSpPr txBox="1">
          <a:spLocks noChangeArrowheads="1"/>
        </xdr:cNvSpPr>
      </xdr:nvSpPr>
      <xdr:spPr bwMode="auto">
        <a:xfrm>
          <a:off x="9906000" y="195072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90</xdr:row>
      <xdr:rowOff>0</xdr:rowOff>
    </xdr:from>
    <xdr:to>
      <xdr:col>8</xdr:col>
      <xdr:colOff>0</xdr:colOff>
      <xdr:row>90</xdr:row>
      <xdr:rowOff>0</xdr:rowOff>
    </xdr:to>
    <xdr:sp macro="" textlink="">
      <xdr:nvSpPr>
        <xdr:cNvPr id="360" name="Line 19">
          <a:extLst>
            <a:ext uri="{FF2B5EF4-FFF2-40B4-BE49-F238E27FC236}">
              <a16:creationId xmlns:a16="http://schemas.microsoft.com/office/drawing/2014/main" id="{4C73053F-D908-4AA6-A0AD-197155357D3B}"/>
            </a:ext>
          </a:extLst>
        </xdr:cNvPr>
        <xdr:cNvSpPr>
          <a:spLocks noChangeShapeType="1"/>
        </xdr:cNvSpPr>
      </xdr:nvSpPr>
      <xdr:spPr bwMode="auto">
        <a:xfrm>
          <a:off x="9906000" y="195072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90</xdr:row>
      <xdr:rowOff>0</xdr:rowOff>
    </xdr:from>
    <xdr:to>
      <xdr:col>8</xdr:col>
      <xdr:colOff>0</xdr:colOff>
      <xdr:row>90</xdr:row>
      <xdr:rowOff>0</xdr:rowOff>
    </xdr:to>
    <xdr:sp macro="" textlink="">
      <xdr:nvSpPr>
        <xdr:cNvPr id="361" name="Text Box 20">
          <a:extLst>
            <a:ext uri="{FF2B5EF4-FFF2-40B4-BE49-F238E27FC236}">
              <a16:creationId xmlns:a16="http://schemas.microsoft.com/office/drawing/2014/main" id="{6D1132E5-4F8A-4C3F-AAF5-22EDB61C3DFE}"/>
            </a:ext>
          </a:extLst>
        </xdr:cNvPr>
        <xdr:cNvSpPr txBox="1">
          <a:spLocks noChangeArrowheads="1"/>
        </xdr:cNvSpPr>
      </xdr:nvSpPr>
      <xdr:spPr bwMode="auto">
        <a:xfrm>
          <a:off x="9906000" y="195072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90</xdr:row>
      <xdr:rowOff>0</xdr:rowOff>
    </xdr:from>
    <xdr:to>
      <xdr:col>8</xdr:col>
      <xdr:colOff>0</xdr:colOff>
      <xdr:row>90</xdr:row>
      <xdr:rowOff>0</xdr:rowOff>
    </xdr:to>
    <xdr:sp macro="" textlink="">
      <xdr:nvSpPr>
        <xdr:cNvPr id="362" name="Line 21">
          <a:extLst>
            <a:ext uri="{FF2B5EF4-FFF2-40B4-BE49-F238E27FC236}">
              <a16:creationId xmlns:a16="http://schemas.microsoft.com/office/drawing/2014/main" id="{79C4C0AA-915F-493E-9ADC-A9F1D29E80A3}"/>
            </a:ext>
          </a:extLst>
        </xdr:cNvPr>
        <xdr:cNvSpPr>
          <a:spLocks noChangeShapeType="1"/>
        </xdr:cNvSpPr>
      </xdr:nvSpPr>
      <xdr:spPr bwMode="auto">
        <a:xfrm>
          <a:off x="9906000" y="195072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90</xdr:row>
      <xdr:rowOff>0</xdr:rowOff>
    </xdr:from>
    <xdr:to>
      <xdr:col>8</xdr:col>
      <xdr:colOff>0</xdr:colOff>
      <xdr:row>90</xdr:row>
      <xdr:rowOff>0</xdr:rowOff>
    </xdr:to>
    <xdr:sp macro="" textlink="">
      <xdr:nvSpPr>
        <xdr:cNvPr id="363" name="Text Box 22">
          <a:extLst>
            <a:ext uri="{FF2B5EF4-FFF2-40B4-BE49-F238E27FC236}">
              <a16:creationId xmlns:a16="http://schemas.microsoft.com/office/drawing/2014/main" id="{DC3F31BC-5B3A-4526-9DE0-2814EB555CC9}"/>
            </a:ext>
          </a:extLst>
        </xdr:cNvPr>
        <xdr:cNvSpPr txBox="1">
          <a:spLocks noChangeArrowheads="1"/>
        </xdr:cNvSpPr>
      </xdr:nvSpPr>
      <xdr:spPr bwMode="auto">
        <a:xfrm>
          <a:off x="9906000" y="195072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90</xdr:row>
      <xdr:rowOff>0</xdr:rowOff>
    </xdr:from>
    <xdr:to>
      <xdr:col>8</xdr:col>
      <xdr:colOff>0</xdr:colOff>
      <xdr:row>90</xdr:row>
      <xdr:rowOff>0</xdr:rowOff>
    </xdr:to>
    <xdr:sp macro="" textlink="">
      <xdr:nvSpPr>
        <xdr:cNvPr id="364" name="Line 23">
          <a:extLst>
            <a:ext uri="{FF2B5EF4-FFF2-40B4-BE49-F238E27FC236}">
              <a16:creationId xmlns:a16="http://schemas.microsoft.com/office/drawing/2014/main" id="{A6AD2276-2143-4735-BD87-820B38B1F927}"/>
            </a:ext>
          </a:extLst>
        </xdr:cNvPr>
        <xdr:cNvSpPr>
          <a:spLocks noChangeShapeType="1"/>
        </xdr:cNvSpPr>
      </xdr:nvSpPr>
      <xdr:spPr bwMode="auto">
        <a:xfrm>
          <a:off x="9906000" y="195072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90</xdr:row>
      <xdr:rowOff>0</xdr:rowOff>
    </xdr:from>
    <xdr:to>
      <xdr:col>8</xdr:col>
      <xdr:colOff>0</xdr:colOff>
      <xdr:row>90</xdr:row>
      <xdr:rowOff>0</xdr:rowOff>
    </xdr:to>
    <xdr:sp macro="" textlink="">
      <xdr:nvSpPr>
        <xdr:cNvPr id="365" name="Text Box 24">
          <a:extLst>
            <a:ext uri="{FF2B5EF4-FFF2-40B4-BE49-F238E27FC236}">
              <a16:creationId xmlns:a16="http://schemas.microsoft.com/office/drawing/2014/main" id="{AA8420F6-AC72-4238-9D4B-AD0C8D02FBA6}"/>
            </a:ext>
          </a:extLst>
        </xdr:cNvPr>
        <xdr:cNvSpPr txBox="1">
          <a:spLocks noChangeArrowheads="1"/>
        </xdr:cNvSpPr>
      </xdr:nvSpPr>
      <xdr:spPr bwMode="auto">
        <a:xfrm>
          <a:off x="9906000" y="195072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90</xdr:row>
      <xdr:rowOff>0</xdr:rowOff>
    </xdr:from>
    <xdr:to>
      <xdr:col>8</xdr:col>
      <xdr:colOff>0</xdr:colOff>
      <xdr:row>90</xdr:row>
      <xdr:rowOff>0</xdr:rowOff>
    </xdr:to>
    <xdr:sp macro="" textlink="">
      <xdr:nvSpPr>
        <xdr:cNvPr id="366" name="Line 25">
          <a:extLst>
            <a:ext uri="{FF2B5EF4-FFF2-40B4-BE49-F238E27FC236}">
              <a16:creationId xmlns:a16="http://schemas.microsoft.com/office/drawing/2014/main" id="{AA2863C2-174D-48E7-8522-5AACB717A0E8}"/>
            </a:ext>
          </a:extLst>
        </xdr:cNvPr>
        <xdr:cNvSpPr>
          <a:spLocks noChangeShapeType="1"/>
        </xdr:cNvSpPr>
      </xdr:nvSpPr>
      <xdr:spPr bwMode="auto">
        <a:xfrm>
          <a:off x="9906000" y="195072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90</xdr:row>
      <xdr:rowOff>0</xdr:rowOff>
    </xdr:from>
    <xdr:to>
      <xdr:col>8</xdr:col>
      <xdr:colOff>0</xdr:colOff>
      <xdr:row>90</xdr:row>
      <xdr:rowOff>0</xdr:rowOff>
    </xdr:to>
    <xdr:sp macro="" textlink="">
      <xdr:nvSpPr>
        <xdr:cNvPr id="367" name="Text Box 26">
          <a:extLst>
            <a:ext uri="{FF2B5EF4-FFF2-40B4-BE49-F238E27FC236}">
              <a16:creationId xmlns:a16="http://schemas.microsoft.com/office/drawing/2014/main" id="{597A27A1-90E0-46BC-BA07-D1101F9A00D4}"/>
            </a:ext>
          </a:extLst>
        </xdr:cNvPr>
        <xdr:cNvSpPr txBox="1">
          <a:spLocks noChangeArrowheads="1"/>
        </xdr:cNvSpPr>
      </xdr:nvSpPr>
      <xdr:spPr bwMode="auto">
        <a:xfrm>
          <a:off x="9906000" y="195072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90</xdr:row>
      <xdr:rowOff>0</xdr:rowOff>
    </xdr:from>
    <xdr:to>
      <xdr:col>8</xdr:col>
      <xdr:colOff>0</xdr:colOff>
      <xdr:row>90</xdr:row>
      <xdr:rowOff>0</xdr:rowOff>
    </xdr:to>
    <xdr:sp macro="" textlink="">
      <xdr:nvSpPr>
        <xdr:cNvPr id="368" name="Line 27">
          <a:extLst>
            <a:ext uri="{FF2B5EF4-FFF2-40B4-BE49-F238E27FC236}">
              <a16:creationId xmlns:a16="http://schemas.microsoft.com/office/drawing/2014/main" id="{0DE1599F-6647-40EB-9544-C443DCE56DE7}"/>
            </a:ext>
          </a:extLst>
        </xdr:cNvPr>
        <xdr:cNvSpPr>
          <a:spLocks noChangeShapeType="1"/>
        </xdr:cNvSpPr>
      </xdr:nvSpPr>
      <xdr:spPr bwMode="auto">
        <a:xfrm>
          <a:off x="9906000" y="195072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90</xdr:row>
      <xdr:rowOff>0</xdr:rowOff>
    </xdr:from>
    <xdr:to>
      <xdr:col>8</xdr:col>
      <xdr:colOff>0</xdr:colOff>
      <xdr:row>90</xdr:row>
      <xdr:rowOff>0</xdr:rowOff>
    </xdr:to>
    <xdr:sp macro="" textlink="">
      <xdr:nvSpPr>
        <xdr:cNvPr id="369" name="Text Box 28">
          <a:extLst>
            <a:ext uri="{FF2B5EF4-FFF2-40B4-BE49-F238E27FC236}">
              <a16:creationId xmlns:a16="http://schemas.microsoft.com/office/drawing/2014/main" id="{70AA3675-1D64-4B73-A346-46999A4C1430}"/>
            </a:ext>
          </a:extLst>
        </xdr:cNvPr>
        <xdr:cNvSpPr txBox="1">
          <a:spLocks noChangeArrowheads="1"/>
        </xdr:cNvSpPr>
      </xdr:nvSpPr>
      <xdr:spPr bwMode="auto">
        <a:xfrm>
          <a:off x="9906000" y="195072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370" name="Line 1">
          <a:extLst>
            <a:ext uri="{FF2B5EF4-FFF2-40B4-BE49-F238E27FC236}">
              <a16:creationId xmlns:a16="http://schemas.microsoft.com/office/drawing/2014/main" id="{C4FCFEFF-C6C5-402D-AD51-2636FBBC2572}"/>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371" name="Text Box 2">
          <a:extLst>
            <a:ext uri="{FF2B5EF4-FFF2-40B4-BE49-F238E27FC236}">
              <a16:creationId xmlns:a16="http://schemas.microsoft.com/office/drawing/2014/main" id="{D975E49F-8FF5-4718-928F-0899C8CAA4B3}"/>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372" name="Line 3">
          <a:extLst>
            <a:ext uri="{FF2B5EF4-FFF2-40B4-BE49-F238E27FC236}">
              <a16:creationId xmlns:a16="http://schemas.microsoft.com/office/drawing/2014/main" id="{AEBC71A0-BC40-40CE-B575-B824485F751B}"/>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373" name="Text Box 4">
          <a:extLst>
            <a:ext uri="{FF2B5EF4-FFF2-40B4-BE49-F238E27FC236}">
              <a16:creationId xmlns:a16="http://schemas.microsoft.com/office/drawing/2014/main" id="{D78B9495-6324-457C-B91F-F09DC8496729}"/>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374" name="Line 5">
          <a:extLst>
            <a:ext uri="{FF2B5EF4-FFF2-40B4-BE49-F238E27FC236}">
              <a16:creationId xmlns:a16="http://schemas.microsoft.com/office/drawing/2014/main" id="{03F22AB2-5BC0-4F87-B6CE-81162D69A33E}"/>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375" name="Text Box 6">
          <a:extLst>
            <a:ext uri="{FF2B5EF4-FFF2-40B4-BE49-F238E27FC236}">
              <a16:creationId xmlns:a16="http://schemas.microsoft.com/office/drawing/2014/main" id="{05E1F4D5-568E-457C-83CE-112E73F218EA}"/>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376" name="Line 7">
          <a:extLst>
            <a:ext uri="{FF2B5EF4-FFF2-40B4-BE49-F238E27FC236}">
              <a16:creationId xmlns:a16="http://schemas.microsoft.com/office/drawing/2014/main" id="{18FE4C79-430A-4B0F-99AA-EC9ED049AD80}"/>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377" name="Text Box 8">
          <a:extLst>
            <a:ext uri="{FF2B5EF4-FFF2-40B4-BE49-F238E27FC236}">
              <a16:creationId xmlns:a16="http://schemas.microsoft.com/office/drawing/2014/main" id="{D37DFE8A-BCDF-449E-AFC5-B7BADA0B2736}"/>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378" name="Line 9">
          <a:extLst>
            <a:ext uri="{FF2B5EF4-FFF2-40B4-BE49-F238E27FC236}">
              <a16:creationId xmlns:a16="http://schemas.microsoft.com/office/drawing/2014/main" id="{54777042-FE1E-4DFC-A380-A539A426BC33}"/>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379" name="Text Box 10">
          <a:extLst>
            <a:ext uri="{FF2B5EF4-FFF2-40B4-BE49-F238E27FC236}">
              <a16:creationId xmlns:a16="http://schemas.microsoft.com/office/drawing/2014/main" id="{F86A9B26-2A74-4D1C-9E4D-9E02AC038440}"/>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380" name="Line 11">
          <a:extLst>
            <a:ext uri="{FF2B5EF4-FFF2-40B4-BE49-F238E27FC236}">
              <a16:creationId xmlns:a16="http://schemas.microsoft.com/office/drawing/2014/main" id="{872C1F6F-DA1A-4080-B1AC-49725225DB93}"/>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381" name="Text Box 12">
          <a:extLst>
            <a:ext uri="{FF2B5EF4-FFF2-40B4-BE49-F238E27FC236}">
              <a16:creationId xmlns:a16="http://schemas.microsoft.com/office/drawing/2014/main" id="{95BD65BE-508C-4391-8E54-E9E2E4F7A329}"/>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382" name="Line 13">
          <a:extLst>
            <a:ext uri="{FF2B5EF4-FFF2-40B4-BE49-F238E27FC236}">
              <a16:creationId xmlns:a16="http://schemas.microsoft.com/office/drawing/2014/main" id="{A35A0894-2F8F-4717-B1F8-19C840C0233F}"/>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383" name="Text Box 14">
          <a:extLst>
            <a:ext uri="{FF2B5EF4-FFF2-40B4-BE49-F238E27FC236}">
              <a16:creationId xmlns:a16="http://schemas.microsoft.com/office/drawing/2014/main" id="{9134AE81-42B1-44FB-8831-C00CF51408F3}"/>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384" name="Line 15">
          <a:extLst>
            <a:ext uri="{FF2B5EF4-FFF2-40B4-BE49-F238E27FC236}">
              <a16:creationId xmlns:a16="http://schemas.microsoft.com/office/drawing/2014/main" id="{1F209704-3E7F-44C3-BCC5-669756310858}"/>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385" name="Text Box 16">
          <a:extLst>
            <a:ext uri="{FF2B5EF4-FFF2-40B4-BE49-F238E27FC236}">
              <a16:creationId xmlns:a16="http://schemas.microsoft.com/office/drawing/2014/main" id="{B920496C-3EEF-441E-9145-DED5FB49A760}"/>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386" name="Line 17">
          <a:extLst>
            <a:ext uri="{FF2B5EF4-FFF2-40B4-BE49-F238E27FC236}">
              <a16:creationId xmlns:a16="http://schemas.microsoft.com/office/drawing/2014/main" id="{01482EC4-DC48-4624-9CE7-76C84F99D55D}"/>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387" name="Text Box 18">
          <a:extLst>
            <a:ext uri="{FF2B5EF4-FFF2-40B4-BE49-F238E27FC236}">
              <a16:creationId xmlns:a16="http://schemas.microsoft.com/office/drawing/2014/main" id="{B987774B-E5DF-4EAC-80EA-AF3B67E57103}"/>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388" name="Line 19">
          <a:extLst>
            <a:ext uri="{FF2B5EF4-FFF2-40B4-BE49-F238E27FC236}">
              <a16:creationId xmlns:a16="http://schemas.microsoft.com/office/drawing/2014/main" id="{8C043054-DA68-49C0-AD91-8BA8C1E64159}"/>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389" name="Text Box 20">
          <a:extLst>
            <a:ext uri="{FF2B5EF4-FFF2-40B4-BE49-F238E27FC236}">
              <a16:creationId xmlns:a16="http://schemas.microsoft.com/office/drawing/2014/main" id="{BF97CD90-16AB-41A5-A125-5C5EE25B6F88}"/>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390" name="Line 21">
          <a:extLst>
            <a:ext uri="{FF2B5EF4-FFF2-40B4-BE49-F238E27FC236}">
              <a16:creationId xmlns:a16="http://schemas.microsoft.com/office/drawing/2014/main" id="{9F7F6BAC-7974-468D-9128-3653B6C735C0}"/>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391" name="Text Box 22">
          <a:extLst>
            <a:ext uri="{FF2B5EF4-FFF2-40B4-BE49-F238E27FC236}">
              <a16:creationId xmlns:a16="http://schemas.microsoft.com/office/drawing/2014/main" id="{E61C8592-2933-4064-98C9-53574CD1CBA5}"/>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392" name="Line 23">
          <a:extLst>
            <a:ext uri="{FF2B5EF4-FFF2-40B4-BE49-F238E27FC236}">
              <a16:creationId xmlns:a16="http://schemas.microsoft.com/office/drawing/2014/main" id="{4C89564E-2856-4227-805C-EC035821787D}"/>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393" name="Text Box 24">
          <a:extLst>
            <a:ext uri="{FF2B5EF4-FFF2-40B4-BE49-F238E27FC236}">
              <a16:creationId xmlns:a16="http://schemas.microsoft.com/office/drawing/2014/main" id="{893E8CEE-3F9A-4107-ACB6-AF55F5D2A99E}"/>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394" name="Line 25">
          <a:extLst>
            <a:ext uri="{FF2B5EF4-FFF2-40B4-BE49-F238E27FC236}">
              <a16:creationId xmlns:a16="http://schemas.microsoft.com/office/drawing/2014/main" id="{587D09D8-8D47-4AAE-ACCB-AE568599B0CC}"/>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395" name="Text Box 26">
          <a:extLst>
            <a:ext uri="{FF2B5EF4-FFF2-40B4-BE49-F238E27FC236}">
              <a16:creationId xmlns:a16="http://schemas.microsoft.com/office/drawing/2014/main" id="{00D73E3C-6150-4CDF-BA8C-7FEF6FAEEB36}"/>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396" name="Line 27">
          <a:extLst>
            <a:ext uri="{FF2B5EF4-FFF2-40B4-BE49-F238E27FC236}">
              <a16:creationId xmlns:a16="http://schemas.microsoft.com/office/drawing/2014/main" id="{EA126961-1BFA-4E5B-81F5-6BCFA437814E}"/>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397" name="Text Box 28">
          <a:extLst>
            <a:ext uri="{FF2B5EF4-FFF2-40B4-BE49-F238E27FC236}">
              <a16:creationId xmlns:a16="http://schemas.microsoft.com/office/drawing/2014/main" id="{75EEE886-2A38-49CD-A130-0C42E06200BC}"/>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398" name="Line 1">
          <a:extLst>
            <a:ext uri="{FF2B5EF4-FFF2-40B4-BE49-F238E27FC236}">
              <a16:creationId xmlns:a16="http://schemas.microsoft.com/office/drawing/2014/main" id="{A5DBE5E2-6C70-4015-BE29-B333DA164231}"/>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399" name="Text Box 2">
          <a:extLst>
            <a:ext uri="{FF2B5EF4-FFF2-40B4-BE49-F238E27FC236}">
              <a16:creationId xmlns:a16="http://schemas.microsoft.com/office/drawing/2014/main" id="{46B31705-A97E-43F7-A7B7-FD5AA09CCD01}"/>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400" name="Line 3">
          <a:extLst>
            <a:ext uri="{FF2B5EF4-FFF2-40B4-BE49-F238E27FC236}">
              <a16:creationId xmlns:a16="http://schemas.microsoft.com/office/drawing/2014/main" id="{F68B71DC-1580-4960-A4F0-99ADC6ED77A4}"/>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401" name="Text Box 4">
          <a:extLst>
            <a:ext uri="{FF2B5EF4-FFF2-40B4-BE49-F238E27FC236}">
              <a16:creationId xmlns:a16="http://schemas.microsoft.com/office/drawing/2014/main" id="{5927F34F-6B05-4B63-9047-000D2E2AB2C5}"/>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402" name="Line 5">
          <a:extLst>
            <a:ext uri="{FF2B5EF4-FFF2-40B4-BE49-F238E27FC236}">
              <a16:creationId xmlns:a16="http://schemas.microsoft.com/office/drawing/2014/main" id="{EAF6412F-2827-47FE-AFD4-FC7B3762660C}"/>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403" name="Text Box 6">
          <a:extLst>
            <a:ext uri="{FF2B5EF4-FFF2-40B4-BE49-F238E27FC236}">
              <a16:creationId xmlns:a16="http://schemas.microsoft.com/office/drawing/2014/main" id="{12E08E3E-52B3-402C-87FC-7AE078B4A724}"/>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404" name="Line 7">
          <a:extLst>
            <a:ext uri="{FF2B5EF4-FFF2-40B4-BE49-F238E27FC236}">
              <a16:creationId xmlns:a16="http://schemas.microsoft.com/office/drawing/2014/main" id="{39E1227D-187A-43CA-BE02-DC9BF2AD4EF8}"/>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405" name="Text Box 8">
          <a:extLst>
            <a:ext uri="{FF2B5EF4-FFF2-40B4-BE49-F238E27FC236}">
              <a16:creationId xmlns:a16="http://schemas.microsoft.com/office/drawing/2014/main" id="{8520B6E3-F86C-42A7-ACA7-B00FF775C063}"/>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406" name="Line 9">
          <a:extLst>
            <a:ext uri="{FF2B5EF4-FFF2-40B4-BE49-F238E27FC236}">
              <a16:creationId xmlns:a16="http://schemas.microsoft.com/office/drawing/2014/main" id="{149916FD-8C9B-4E7D-B632-D46B0B912F2F}"/>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407" name="Text Box 10">
          <a:extLst>
            <a:ext uri="{FF2B5EF4-FFF2-40B4-BE49-F238E27FC236}">
              <a16:creationId xmlns:a16="http://schemas.microsoft.com/office/drawing/2014/main" id="{3FA12E8C-4FF4-45C0-BABD-AB4595A0605E}"/>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408" name="Line 11">
          <a:extLst>
            <a:ext uri="{FF2B5EF4-FFF2-40B4-BE49-F238E27FC236}">
              <a16:creationId xmlns:a16="http://schemas.microsoft.com/office/drawing/2014/main" id="{1D2B56FD-780C-4DBA-B9E4-038FAE347E77}"/>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409" name="Text Box 12">
          <a:extLst>
            <a:ext uri="{FF2B5EF4-FFF2-40B4-BE49-F238E27FC236}">
              <a16:creationId xmlns:a16="http://schemas.microsoft.com/office/drawing/2014/main" id="{ED9D9DC0-04F4-4FDA-B86E-BDC00C04DAF5}"/>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410" name="Line 13">
          <a:extLst>
            <a:ext uri="{FF2B5EF4-FFF2-40B4-BE49-F238E27FC236}">
              <a16:creationId xmlns:a16="http://schemas.microsoft.com/office/drawing/2014/main" id="{E6274E90-6AC1-4B84-8135-076F12C905EA}"/>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411" name="Text Box 14">
          <a:extLst>
            <a:ext uri="{FF2B5EF4-FFF2-40B4-BE49-F238E27FC236}">
              <a16:creationId xmlns:a16="http://schemas.microsoft.com/office/drawing/2014/main" id="{D2730211-EAB6-467B-B586-00B9B88D8D9B}"/>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412" name="Line 15">
          <a:extLst>
            <a:ext uri="{FF2B5EF4-FFF2-40B4-BE49-F238E27FC236}">
              <a16:creationId xmlns:a16="http://schemas.microsoft.com/office/drawing/2014/main" id="{AA15C33C-FA43-47CA-83C3-A4BDA2B10AC2}"/>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413" name="Text Box 16">
          <a:extLst>
            <a:ext uri="{FF2B5EF4-FFF2-40B4-BE49-F238E27FC236}">
              <a16:creationId xmlns:a16="http://schemas.microsoft.com/office/drawing/2014/main" id="{65FD4BEE-0A6A-4CDA-8C0D-0F4E3BC700AA}"/>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414" name="Line 17">
          <a:extLst>
            <a:ext uri="{FF2B5EF4-FFF2-40B4-BE49-F238E27FC236}">
              <a16:creationId xmlns:a16="http://schemas.microsoft.com/office/drawing/2014/main" id="{D6510E31-83A6-458E-9933-C0FC99B8F917}"/>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415" name="Text Box 18">
          <a:extLst>
            <a:ext uri="{FF2B5EF4-FFF2-40B4-BE49-F238E27FC236}">
              <a16:creationId xmlns:a16="http://schemas.microsoft.com/office/drawing/2014/main" id="{C8232F24-7855-4833-9854-BD8A25109C59}"/>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416" name="Line 19">
          <a:extLst>
            <a:ext uri="{FF2B5EF4-FFF2-40B4-BE49-F238E27FC236}">
              <a16:creationId xmlns:a16="http://schemas.microsoft.com/office/drawing/2014/main" id="{8FAF53A4-D2D4-41C6-950F-B77E4369D04A}"/>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417" name="Text Box 20">
          <a:extLst>
            <a:ext uri="{FF2B5EF4-FFF2-40B4-BE49-F238E27FC236}">
              <a16:creationId xmlns:a16="http://schemas.microsoft.com/office/drawing/2014/main" id="{97F73C2E-AE72-474F-8FFF-AE6D3378D4BD}"/>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418" name="Line 21">
          <a:extLst>
            <a:ext uri="{FF2B5EF4-FFF2-40B4-BE49-F238E27FC236}">
              <a16:creationId xmlns:a16="http://schemas.microsoft.com/office/drawing/2014/main" id="{543CF737-028C-4042-A909-13A317046368}"/>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419" name="Text Box 22">
          <a:extLst>
            <a:ext uri="{FF2B5EF4-FFF2-40B4-BE49-F238E27FC236}">
              <a16:creationId xmlns:a16="http://schemas.microsoft.com/office/drawing/2014/main" id="{245FAED5-1532-464F-971D-0852AD39C313}"/>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420" name="Line 23">
          <a:extLst>
            <a:ext uri="{FF2B5EF4-FFF2-40B4-BE49-F238E27FC236}">
              <a16:creationId xmlns:a16="http://schemas.microsoft.com/office/drawing/2014/main" id="{4168C59E-1A53-4281-9FB1-CCF473859A9E}"/>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421" name="Text Box 24">
          <a:extLst>
            <a:ext uri="{FF2B5EF4-FFF2-40B4-BE49-F238E27FC236}">
              <a16:creationId xmlns:a16="http://schemas.microsoft.com/office/drawing/2014/main" id="{C46A9E74-12BF-4383-A148-A73F9E3483C5}"/>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422" name="Line 25">
          <a:extLst>
            <a:ext uri="{FF2B5EF4-FFF2-40B4-BE49-F238E27FC236}">
              <a16:creationId xmlns:a16="http://schemas.microsoft.com/office/drawing/2014/main" id="{CC5632D3-8D61-47D8-A6AC-7A6D082DA384}"/>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423" name="Text Box 26">
          <a:extLst>
            <a:ext uri="{FF2B5EF4-FFF2-40B4-BE49-F238E27FC236}">
              <a16:creationId xmlns:a16="http://schemas.microsoft.com/office/drawing/2014/main" id="{7A5DAD94-CA16-42CE-824F-1B74FE5AC713}"/>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424" name="Line 27">
          <a:extLst>
            <a:ext uri="{FF2B5EF4-FFF2-40B4-BE49-F238E27FC236}">
              <a16:creationId xmlns:a16="http://schemas.microsoft.com/office/drawing/2014/main" id="{B5E871BE-E19E-4EBA-98A4-3289078586EE}"/>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425" name="Text Box 28">
          <a:extLst>
            <a:ext uri="{FF2B5EF4-FFF2-40B4-BE49-F238E27FC236}">
              <a16:creationId xmlns:a16="http://schemas.microsoft.com/office/drawing/2014/main" id="{73FFE25A-8B3E-4E08-B550-EA345DDDA5AB}"/>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90</xdr:row>
      <xdr:rowOff>0</xdr:rowOff>
    </xdr:from>
    <xdr:to>
      <xdr:col>8</xdr:col>
      <xdr:colOff>0</xdr:colOff>
      <xdr:row>90</xdr:row>
      <xdr:rowOff>0</xdr:rowOff>
    </xdr:to>
    <xdr:sp macro="" textlink="">
      <xdr:nvSpPr>
        <xdr:cNvPr id="426" name="Line 1">
          <a:extLst>
            <a:ext uri="{FF2B5EF4-FFF2-40B4-BE49-F238E27FC236}">
              <a16:creationId xmlns:a16="http://schemas.microsoft.com/office/drawing/2014/main" id="{53E8A941-6CD3-479E-9D14-CCE38960B3F5}"/>
            </a:ext>
          </a:extLst>
        </xdr:cNvPr>
        <xdr:cNvSpPr>
          <a:spLocks noChangeShapeType="1"/>
        </xdr:cNvSpPr>
      </xdr:nvSpPr>
      <xdr:spPr bwMode="auto">
        <a:xfrm>
          <a:off x="9906000" y="195072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90</xdr:row>
      <xdr:rowOff>0</xdr:rowOff>
    </xdr:from>
    <xdr:to>
      <xdr:col>8</xdr:col>
      <xdr:colOff>0</xdr:colOff>
      <xdr:row>90</xdr:row>
      <xdr:rowOff>0</xdr:rowOff>
    </xdr:to>
    <xdr:sp macro="" textlink="">
      <xdr:nvSpPr>
        <xdr:cNvPr id="427" name="Text Box 2">
          <a:extLst>
            <a:ext uri="{FF2B5EF4-FFF2-40B4-BE49-F238E27FC236}">
              <a16:creationId xmlns:a16="http://schemas.microsoft.com/office/drawing/2014/main" id="{2CC41307-95C1-496A-8664-0C8B2EC4BEA5}"/>
            </a:ext>
          </a:extLst>
        </xdr:cNvPr>
        <xdr:cNvSpPr txBox="1">
          <a:spLocks noChangeArrowheads="1"/>
        </xdr:cNvSpPr>
      </xdr:nvSpPr>
      <xdr:spPr bwMode="auto">
        <a:xfrm>
          <a:off x="9906000" y="195072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90</xdr:row>
      <xdr:rowOff>0</xdr:rowOff>
    </xdr:from>
    <xdr:to>
      <xdr:col>8</xdr:col>
      <xdr:colOff>0</xdr:colOff>
      <xdr:row>90</xdr:row>
      <xdr:rowOff>0</xdr:rowOff>
    </xdr:to>
    <xdr:sp macro="" textlink="">
      <xdr:nvSpPr>
        <xdr:cNvPr id="428" name="Line 3">
          <a:extLst>
            <a:ext uri="{FF2B5EF4-FFF2-40B4-BE49-F238E27FC236}">
              <a16:creationId xmlns:a16="http://schemas.microsoft.com/office/drawing/2014/main" id="{E077AB2C-6B2C-4A76-9F02-844482E1015F}"/>
            </a:ext>
          </a:extLst>
        </xdr:cNvPr>
        <xdr:cNvSpPr>
          <a:spLocks noChangeShapeType="1"/>
        </xdr:cNvSpPr>
      </xdr:nvSpPr>
      <xdr:spPr bwMode="auto">
        <a:xfrm>
          <a:off x="9906000" y="195072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90</xdr:row>
      <xdr:rowOff>0</xdr:rowOff>
    </xdr:from>
    <xdr:to>
      <xdr:col>8</xdr:col>
      <xdr:colOff>0</xdr:colOff>
      <xdr:row>90</xdr:row>
      <xdr:rowOff>0</xdr:rowOff>
    </xdr:to>
    <xdr:sp macro="" textlink="">
      <xdr:nvSpPr>
        <xdr:cNvPr id="429" name="Text Box 4">
          <a:extLst>
            <a:ext uri="{FF2B5EF4-FFF2-40B4-BE49-F238E27FC236}">
              <a16:creationId xmlns:a16="http://schemas.microsoft.com/office/drawing/2014/main" id="{518B667F-881E-4010-8EE1-8CDFD402B68E}"/>
            </a:ext>
          </a:extLst>
        </xdr:cNvPr>
        <xdr:cNvSpPr txBox="1">
          <a:spLocks noChangeArrowheads="1"/>
        </xdr:cNvSpPr>
      </xdr:nvSpPr>
      <xdr:spPr bwMode="auto">
        <a:xfrm>
          <a:off x="9906000" y="195072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90</xdr:row>
      <xdr:rowOff>0</xdr:rowOff>
    </xdr:from>
    <xdr:to>
      <xdr:col>8</xdr:col>
      <xdr:colOff>0</xdr:colOff>
      <xdr:row>90</xdr:row>
      <xdr:rowOff>0</xdr:rowOff>
    </xdr:to>
    <xdr:sp macro="" textlink="">
      <xdr:nvSpPr>
        <xdr:cNvPr id="430" name="Line 5">
          <a:extLst>
            <a:ext uri="{FF2B5EF4-FFF2-40B4-BE49-F238E27FC236}">
              <a16:creationId xmlns:a16="http://schemas.microsoft.com/office/drawing/2014/main" id="{38FD06C7-0148-44AE-8DEB-CB31C834BCF6}"/>
            </a:ext>
          </a:extLst>
        </xdr:cNvPr>
        <xdr:cNvSpPr>
          <a:spLocks noChangeShapeType="1"/>
        </xdr:cNvSpPr>
      </xdr:nvSpPr>
      <xdr:spPr bwMode="auto">
        <a:xfrm>
          <a:off x="9906000" y="195072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90</xdr:row>
      <xdr:rowOff>0</xdr:rowOff>
    </xdr:from>
    <xdr:to>
      <xdr:col>8</xdr:col>
      <xdr:colOff>0</xdr:colOff>
      <xdr:row>90</xdr:row>
      <xdr:rowOff>0</xdr:rowOff>
    </xdr:to>
    <xdr:sp macro="" textlink="">
      <xdr:nvSpPr>
        <xdr:cNvPr id="431" name="Text Box 6">
          <a:extLst>
            <a:ext uri="{FF2B5EF4-FFF2-40B4-BE49-F238E27FC236}">
              <a16:creationId xmlns:a16="http://schemas.microsoft.com/office/drawing/2014/main" id="{868385B4-20A3-47E6-B56E-3597719154A3}"/>
            </a:ext>
          </a:extLst>
        </xdr:cNvPr>
        <xdr:cNvSpPr txBox="1">
          <a:spLocks noChangeArrowheads="1"/>
        </xdr:cNvSpPr>
      </xdr:nvSpPr>
      <xdr:spPr bwMode="auto">
        <a:xfrm>
          <a:off x="9906000" y="195072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90</xdr:row>
      <xdr:rowOff>0</xdr:rowOff>
    </xdr:from>
    <xdr:to>
      <xdr:col>8</xdr:col>
      <xdr:colOff>0</xdr:colOff>
      <xdr:row>90</xdr:row>
      <xdr:rowOff>0</xdr:rowOff>
    </xdr:to>
    <xdr:sp macro="" textlink="">
      <xdr:nvSpPr>
        <xdr:cNvPr id="432" name="Line 7">
          <a:extLst>
            <a:ext uri="{FF2B5EF4-FFF2-40B4-BE49-F238E27FC236}">
              <a16:creationId xmlns:a16="http://schemas.microsoft.com/office/drawing/2014/main" id="{71DB1C5F-0306-4222-824A-B138B9A85E72}"/>
            </a:ext>
          </a:extLst>
        </xdr:cNvPr>
        <xdr:cNvSpPr>
          <a:spLocks noChangeShapeType="1"/>
        </xdr:cNvSpPr>
      </xdr:nvSpPr>
      <xdr:spPr bwMode="auto">
        <a:xfrm>
          <a:off x="9906000" y="195072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90</xdr:row>
      <xdr:rowOff>0</xdr:rowOff>
    </xdr:from>
    <xdr:to>
      <xdr:col>8</xdr:col>
      <xdr:colOff>0</xdr:colOff>
      <xdr:row>90</xdr:row>
      <xdr:rowOff>0</xdr:rowOff>
    </xdr:to>
    <xdr:sp macro="" textlink="">
      <xdr:nvSpPr>
        <xdr:cNvPr id="433" name="Text Box 8">
          <a:extLst>
            <a:ext uri="{FF2B5EF4-FFF2-40B4-BE49-F238E27FC236}">
              <a16:creationId xmlns:a16="http://schemas.microsoft.com/office/drawing/2014/main" id="{666176C3-1FD7-44AC-A57C-40725414D721}"/>
            </a:ext>
          </a:extLst>
        </xdr:cNvPr>
        <xdr:cNvSpPr txBox="1">
          <a:spLocks noChangeArrowheads="1"/>
        </xdr:cNvSpPr>
      </xdr:nvSpPr>
      <xdr:spPr bwMode="auto">
        <a:xfrm>
          <a:off x="9906000" y="195072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90</xdr:row>
      <xdr:rowOff>0</xdr:rowOff>
    </xdr:from>
    <xdr:to>
      <xdr:col>8</xdr:col>
      <xdr:colOff>0</xdr:colOff>
      <xdr:row>90</xdr:row>
      <xdr:rowOff>0</xdr:rowOff>
    </xdr:to>
    <xdr:sp macro="" textlink="">
      <xdr:nvSpPr>
        <xdr:cNvPr id="434" name="Line 9">
          <a:extLst>
            <a:ext uri="{FF2B5EF4-FFF2-40B4-BE49-F238E27FC236}">
              <a16:creationId xmlns:a16="http://schemas.microsoft.com/office/drawing/2014/main" id="{B0CFCD01-CF27-46EE-A8A4-B8A87C05791F}"/>
            </a:ext>
          </a:extLst>
        </xdr:cNvPr>
        <xdr:cNvSpPr>
          <a:spLocks noChangeShapeType="1"/>
        </xdr:cNvSpPr>
      </xdr:nvSpPr>
      <xdr:spPr bwMode="auto">
        <a:xfrm>
          <a:off x="9906000" y="195072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90</xdr:row>
      <xdr:rowOff>0</xdr:rowOff>
    </xdr:from>
    <xdr:to>
      <xdr:col>8</xdr:col>
      <xdr:colOff>0</xdr:colOff>
      <xdr:row>90</xdr:row>
      <xdr:rowOff>0</xdr:rowOff>
    </xdr:to>
    <xdr:sp macro="" textlink="">
      <xdr:nvSpPr>
        <xdr:cNvPr id="435" name="Text Box 10">
          <a:extLst>
            <a:ext uri="{FF2B5EF4-FFF2-40B4-BE49-F238E27FC236}">
              <a16:creationId xmlns:a16="http://schemas.microsoft.com/office/drawing/2014/main" id="{8603EE14-1763-4597-8ED3-5E878D39A958}"/>
            </a:ext>
          </a:extLst>
        </xdr:cNvPr>
        <xdr:cNvSpPr txBox="1">
          <a:spLocks noChangeArrowheads="1"/>
        </xdr:cNvSpPr>
      </xdr:nvSpPr>
      <xdr:spPr bwMode="auto">
        <a:xfrm>
          <a:off x="9906000" y="195072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90</xdr:row>
      <xdr:rowOff>0</xdr:rowOff>
    </xdr:from>
    <xdr:to>
      <xdr:col>8</xdr:col>
      <xdr:colOff>0</xdr:colOff>
      <xdr:row>90</xdr:row>
      <xdr:rowOff>0</xdr:rowOff>
    </xdr:to>
    <xdr:sp macro="" textlink="">
      <xdr:nvSpPr>
        <xdr:cNvPr id="436" name="Line 11">
          <a:extLst>
            <a:ext uri="{FF2B5EF4-FFF2-40B4-BE49-F238E27FC236}">
              <a16:creationId xmlns:a16="http://schemas.microsoft.com/office/drawing/2014/main" id="{22EE2656-33EA-4D85-A8E5-B5E2EB2DF2F3}"/>
            </a:ext>
          </a:extLst>
        </xdr:cNvPr>
        <xdr:cNvSpPr>
          <a:spLocks noChangeShapeType="1"/>
        </xdr:cNvSpPr>
      </xdr:nvSpPr>
      <xdr:spPr bwMode="auto">
        <a:xfrm>
          <a:off x="9906000" y="195072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90</xdr:row>
      <xdr:rowOff>0</xdr:rowOff>
    </xdr:from>
    <xdr:to>
      <xdr:col>8</xdr:col>
      <xdr:colOff>0</xdr:colOff>
      <xdr:row>90</xdr:row>
      <xdr:rowOff>0</xdr:rowOff>
    </xdr:to>
    <xdr:sp macro="" textlink="">
      <xdr:nvSpPr>
        <xdr:cNvPr id="437" name="Text Box 12">
          <a:extLst>
            <a:ext uri="{FF2B5EF4-FFF2-40B4-BE49-F238E27FC236}">
              <a16:creationId xmlns:a16="http://schemas.microsoft.com/office/drawing/2014/main" id="{AEF946B8-32BD-4DBE-85E4-2396325E283A}"/>
            </a:ext>
          </a:extLst>
        </xdr:cNvPr>
        <xdr:cNvSpPr txBox="1">
          <a:spLocks noChangeArrowheads="1"/>
        </xdr:cNvSpPr>
      </xdr:nvSpPr>
      <xdr:spPr bwMode="auto">
        <a:xfrm>
          <a:off x="9906000" y="195072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90</xdr:row>
      <xdr:rowOff>0</xdr:rowOff>
    </xdr:from>
    <xdr:to>
      <xdr:col>8</xdr:col>
      <xdr:colOff>0</xdr:colOff>
      <xdr:row>90</xdr:row>
      <xdr:rowOff>0</xdr:rowOff>
    </xdr:to>
    <xdr:sp macro="" textlink="">
      <xdr:nvSpPr>
        <xdr:cNvPr id="438" name="Line 13">
          <a:extLst>
            <a:ext uri="{FF2B5EF4-FFF2-40B4-BE49-F238E27FC236}">
              <a16:creationId xmlns:a16="http://schemas.microsoft.com/office/drawing/2014/main" id="{9C846389-2DB1-4AD7-91F3-37BBA6EC5261}"/>
            </a:ext>
          </a:extLst>
        </xdr:cNvPr>
        <xdr:cNvSpPr>
          <a:spLocks noChangeShapeType="1"/>
        </xdr:cNvSpPr>
      </xdr:nvSpPr>
      <xdr:spPr bwMode="auto">
        <a:xfrm>
          <a:off x="9906000" y="195072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90</xdr:row>
      <xdr:rowOff>0</xdr:rowOff>
    </xdr:from>
    <xdr:to>
      <xdr:col>8</xdr:col>
      <xdr:colOff>0</xdr:colOff>
      <xdr:row>90</xdr:row>
      <xdr:rowOff>0</xdr:rowOff>
    </xdr:to>
    <xdr:sp macro="" textlink="">
      <xdr:nvSpPr>
        <xdr:cNvPr id="439" name="Text Box 14">
          <a:extLst>
            <a:ext uri="{FF2B5EF4-FFF2-40B4-BE49-F238E27FC236}">
              <a16:creationId xmlns:a16="http://schemas.microsoft.com/office/drawing/2014/main" id="{BF912B1B-919D-4C84-AFBF-087E6E74E19C}"/>
            </a:ext>
          </a:extLst>
        </xdr:cNvPr>
        <xdr:cNvSpPr txBox="1">
          <a:spLocks noChangeArrowheads="1"/>
        </xdr:cNvSpPr>
      </xdr:nvSpPr>
      <xdr:spPr bwMode="auto">
        <a:xfrm>
          <a:off x="9906000" y="195072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90</xdr:row>
      <xdr:rowOff>0</xdr:rowOff>
    </xdr:from>
    <xdr:to>
      <xdr:col>8</xdr:col>
      <xdr:colOff>0</xdr:colOff>
      <xdr:row>90</xdr:row>
      <xdr:rowOff>0</xdr:rowOff>
    </xdr:to>
    <xdr:sp macro="" textlink="">
      <xdr:nvSpPr>
        <xdr:cNvPr id="440" name="Line 15">
          <a:extLst>
            <a:ext uri="{FF2B5EF4-FFF2-40B4-BE49-F238E27FC236}">
              <a16:creationId xmlns:a16="http://schemas.microsoft.com/office/drawing/2014/main" id="{AE7102CB-C9AC-4D05-AC4A-9B2C5074BF4C}"/>
            </a:ext>
          </a:extLst>
        </xdr:cNvPr>
        <xdr:cNvSpPr>
          <a:spLocks noChangeShapeType="1"/>
        </xdr:cNvSpPr>
      </xdr:nvSpPr>
      <xdr:spPr bwMode="auto">
        <a:xfrm>
          <a:off x="9906000" y="195072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90</xdr:row>
      <xdr:rowOff>0</xdr:rowOff>
    </xdr:from>
    <xdr:to>
      <xdr:col>8</xdr:col>
      <xdr:colOff>0</xdr:colOff>
      <xdr:row>90</xdr:row>
      <xdr:rowOff>0</xdr:rowOff>
    </xdr:to>
    <xdr:sp macro="" textlink="">
      <xdr:nvSpPr>
        <xdr:cNvPr id="441" name="Text Box 16">
          <a:extLst>
            <a:ext uri="{FF2B5EF4-FFF2-40B4-BE49-F238E27FC236}">
              <a16:creationId xmlns:a16="http://schemas.microsoft.com/office/drawing/2014/main" id="{9A317C9D-DA32-46A7-B04B-28EEC158E76F}"/>
            </a:ext>
          </a:extLst>
        </xdr:cNvPr>
        <xdr:cNvSpPr txBox="1">
          <a:spLocks noChangeArrowheads="1"/>
        </xdr:cNvSpPr>
      </xdr:nvSpPr>
      <xdr:spPr bwMode="auto">
        <a:xfrm>
          <a:off x="9906000" y="195072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90</xdr:row>
      <xdr:rowOff>0</xdr:rowOff>
    </xdr:from>
    <xdr:to>
      <xdr:col>8</xdr:col>
      <xdr:colOff>0</xdr:colOff>
      <xdr:row>90</xdr:row>
      <xdr:rowOff>0</xdr:rowOff>
    </xdr:to>
    <xdr:sp macro="" textlink="">
      <xdr:nvSpPr>
        <xdr:cNvPr id="442" name="Line 17">
          <a:extLst>
            <a:ext uri="{FF2B5EF4-FFF2-40B4-BE49-F238E27FC236}">
              <a16:creationId xmlns:a16="http://schemas.microsoft.com/office/drawing/2014/main" id="{66B53956-518A-4AC7-8C48-A2D7368C0FFE}"/>
            </a:ext>
          </a:extLst>
        </xdr:cNvPr>
        <xdr:cNvSpPr>
          <a:spLocks noChangeShapeType="1"/>
        </xdr:cNvSpPr>
      </xdr:nvSpPr>
      <xdr:spPr bwMode="auto">
        <a:xfrm>
          <a:off x="9906000" y="195072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90</xdr:row>
      <xdr:rowOff>0</xdr:rowOff>
    </xdr:from>
    <xdr:to>
      <xdr:col>8</xdr:col>
      <xdr:colOff>0</xdr:colOff>
      <xdr:row>90</xdr:row>
      <xdr:rowOff>0</xdr:rowOff>
    </xdr:to>
    <xdr:sp macro="" textlink="">
      <xdr:nvSpPr>
        <xdr:cNvPr id="443" name="Text Box 18">
          <a:extLst>
            <a:ext uri="{FF2B5EF4-FFF2-40B4-BE49-F238E27FC236}">
              <a16:creationId xmlns:a16="http://schemas.microsoft.com/office/drawing/2014/main" id="{EAD675B7-130E-4A03-937E-B0A1E008CCD4}"/>
            </a:ext>
          </a:extLst>
        </xdr:cNvPr>
        <xdr:cNvSpPr txBox="1">
          <a:spLocks noChangeArrowheads="1"/>
        </xdr:cNvSpPr>
      </xdr:nvSpPr>
      <xdr:spPr bwMode="auto">
        <a:xfrm>
          <a:off x="9906000" y="195072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90</xdr:row>
      <xdr:rowOff>0</xdr:rowOff>
    </xdr:from>
    <xdr:to>
      <xdr:col>8</xdr:col>
      <xdr:colOff>0</xdr:colOff>
      <xdr:row>90</xdr:row>
      <xdr:rowOff>0</xdr:rowOff>
    </xdr:to>
    <xdr:sp macro="" textlink="">
      <xdr:nvSpPr>
        <xdr:cNvPr id="444" name="Line 19">
          <a:extLst>
            <a:ext uri="{FF2B5EF4-FFF2-40B4-BE49-F238E27FC236}">
              <a16:creationId xmlns:a16="http://schemas.microsoft.com/office/drawing/2014/main" id="{710518A7-1D00-4160-ABE2-C78FD5E7B515}"/>
            </a:ext>
          </a:extLst>
        </xdr:cNvPr>
        <xdr:cNvSpPr>
          <a:spLocks noChangeShapeType="1"/>
        </xdr:cNvSpPr>
      </xdr:nvSpPr>
      <xdr:spPr bwMode="auto">
        <a:xfrm>
          <a:off x="9906000" y="195072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90</xdr:row>
      <xdr:rowOff>0</xdr:rowOff>
    </xdr:from>
    <xdr:to>
      <xdr:col>8</xdr:col>
      <xdr:colOff>0</xdr:colOff>
      <xdr:row>90</xdr:row>
      <xdr:rowOff>0</xdr:rowOff>
    </xdr:to>
    <xdr:sp macro="" textlink="">
      <xdr:nvSpPr>
        <xdr:cNvPr id="445" name="Text Box 20">
          <a:extLst>
            <a:ext uri="{FF2B5EF4-FFF2-40B4-BE49-F238E27FC236}">
              <a16:creationId xmlns:a16="http://schemas.microsoft.com/office/drawing/2014/main" id="{9384BAFE-E80A-4DFA-B018-A04E993FDA69}"/>
            </a:ext>
          </a:extLst>
        </xdr:cNvPr>
        <xdr:cNvSpPr txBox="1">
          <a:spLocks noChangeArrowheads="1"/>
        </xdr:cNvSpPr>
      </xdr:nvSpPr>
      <xdr:spPr bwMode="auto">
        <a:xfrm>
          <a:off x="9906000" y="195072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90</xdr:row>
      <xdr:rowOff>0</xdr:rowOff>
    </xdr:from>
    <xdr:to>
      <xdr:col>8</xdr:col>
      <xdr:colOff>0</xdr:colOff>
      <xdr:row>90</xdr:row>
      <xdr:rowOff>0</xdr:rowOff>
    </xdr:to>
    <xdr:sp macro="" textlink="">
      <xdr:nvSpPr>
        <xdr:cNvPr id="446" name="Line 21">
          <a:extLst>
            <a:ext uri="{FF2B5EF4-FFF2-40B4-BE49-F238E27FC236}">
              <a16:creationId xmlns:a16="http://schemas.microsoft.com/office/drawing/2014/main" id="{DD3EB3E1-E4D9-4E0D-8CAE-9466425712EC}"/>
            </a:ext>
          </a:extLst>
        </xdr:cNvPr>
        <xdr:cNvSpPr>
          <a:spLocks noChangeShapeType="1"/>
        </xdr:cNvSpPr>
      </xdr:nvSpPr>
      <xdr:spPr bwMode="auto">
        <a:xfrm>
          <a:off x="9906000" y="195072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90</xdr:row>
      <xdr:rowOff>0</xdr:rowOff>
    </xdr:from>
    <xdr:to>
      <xdr:col>8</xdr:col>
      <xdr:colOff>0</xdr:colOff>
      <xdr:row>90</xdr:row>
      <xdr:rowOff>0</xdr:rowOff>
    </xdr:to>
    <xdr:sp macro="" textlink="">
      <xdr:nvSpPr>
        <xdr:cNvPr id="447" name="Text Box 22">
          <a:extLst>
            <a:ext uri="{FF2B5EF4-FFF2-40B4-BE49-F238E27FC236}">
              <a16:creationId xmlns:a16="http://schemas.microsoft.com/office/drawing/2014/main" id="{0BD4BB68-7353-47CB-A0AB-DC6163333222}"/>
            </a:ext>
          </a:extLst>
        </xdr:cNvPr>
        <xdr:cNvSpPr txBox="1">
          <a:spLocks noChangeArrowheads="1"/>
        </xdr:cNvSpPr>
      </xdr:nvSpPr>
      <xdr:spPr bwMode="auto">
        <a:xfrm>
          <a:off x="9906000" y="195072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90</xdr:row>
      <xdr:rowOff>0</xdr:rowOff>
    </xdr:from>
    <xdr:to>
      <xdr:col>8</xdr:col>
      <xdr:colOff>0</xdr:colOff>
      <xdr:row>90</xdr:row>
      <xdr:rowOff>0</xdr:rowOff>
    </xdr:to>
    <xdr:sp macro="" textlink="">
      <xdr:nvSpPr>
        <xdr:cNvPr id="448" name="Line 23">
          <a:extLst>
            <a:ext uri="{FF2B5EF4-FFF2-40B4-BE49-F238E27FC236}">
              <a16:creationId xmlns:a16="http://schemas.microsoft.com/office/drawing/2014/main" id="{39F03398-5DEF-49D9-8C04-D761E589D4FF}"/>
            </a:ext>
          </a:extLst>
        </xdr:cNvPr>
        <xdr:cNvSpPr>
          <a:spLocks noChangeShapeType="1"/>
        </xdr:cNvSpPr>
      </xdr:nvSpPr>
      <xdr:spPr bwMode="auto">
        <a:xfrm>
          <a:off x="9906000" y="195072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90</xdr:row>
      <xdr:rowOff>0</xdr:rowOff>
    </xdr:from>
    <xdr:to>
      <xdr:col>8</xdr:col>
      <xdr:colOff>0</xdr:colOff>
      <xdr:row>90</xdr:row>
      <xdr:rowOff>0</xdr:rowOff>
    </xdr:to>
    <xdr:sp macro="" textlink="">
      <xdr:nvSpPr>
        <xdr:cNvPr id="449" name="Text Box 24">
          <a:extLst>
            <a:ext uri="{FF2B5EF4-FFF2-40B4-BE49-F238E27FC236}">
              <a16:creationId xmlns:a16="http://schemas.microsoft.com/office/drawing/2014/main" id="{A79B1270-9F02-4B7B-8919-9743A9C51DE5}"/>
            </a:ext>
          </a:extLst>
        </xdr:cNvPr>
        <xdr:cNvSpPr txBox="1">
          <a:spLocks noChangeArrowheads="1"/>
        </xdr:cNvSpPr>
      </xdr:nvSpPr>
      <xdr:spPr bwMode="auto">
        <a:xfrm>
          <a:off x="9906000" y="195072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90</xdr:row>
      <xdr:rowOff>0</xdr:rowOff>
    </xdr:from>
    <xdr:to>
      <xdr:col>8</xdr:col>
      <xdr:colOff>0</xdr:colOff>
      <xdr:row>90</xdr:row>
      <xdr:rowOff>0</xdr:rowOff>
    </xdr:to>
    <xdr:sp macro="" textlink="">
      <xdr:nvSpPr>
        <xdr:cNvPr id="450" name="Line 25">
          <a:extLst>
            <a:ext uri="{FF2B5EF4-FFF2-40B4-BE49-F238E27FC236}">
              <a16:creationId xmlns:a16="http://schemas.microsoft.com/office/drawing/2014/main" id="{A8C9C1E9-A189-4C3D-88FB-3F50B2257A59}"/>
            </a:ext>
          </a:extLst>
        </xdr:cNvPr>
        <xdr:cNvSpPr>
          <a:spLocks noChangeShapeType="1"/>
        </xdr:cNvSpPr>
      </xdr:nvSpPr>
      <xdr:spPr bwMode="auto">
        <a:xfrm>
          <a:off x="9906000" y="195072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90</xdr:row>
      <xdr:rowOff>0</xdr:rowOff>
    </xdr:from>
    <xdr:to>
      <xdr:col>8</xdr:col>
      <xdr:colOff>0</xdr:colOff>
      <xdr:row>90</xdr:row>
      <xdr:rowOff>0</xdr:rowOff>
    </xdr:to>
    <xdr:sp macro="" textlink="">
      <xdr:nvSpPr>
        <xdr:cNvPr id="451" name="Text Box 26">
          <a:extLst>
            <a:ext uri="{FF2B5EF4-FFF2-40B4-BE49-F238E27FC236}">
              <a16:creationId xmlns:a16="http://schemas.microsoft.com/office/drawing/2014/main" id="{EDB7D1B4-8672-40CD-B400-E607464AB8D5}"/>
            </a:ext>
          </a:extLst>
        </xdr:cNvPr>
        <xdr:cNvSpPr txBox="1">
          <a:spLocks noChangeArrowheads="1"/>
        </xdr:cNvSpPr>
      </xdr:nvSpPr>
      <xdr:spPr bwMode="auto">
        <a:xfrm>
          <a:off x="9906000" y="195072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90</xdr:row>
      <xdr:rowOff>0</xdr:rowOff>
    </xdr:from>
    <xdr:to>
      <xdr:col>8</xdr:col>
      <xdr:colOff>0</xdr:colOff>
      <xdr:row>90</xdr:row>
      <xdr:rowOff>0</xdr:rowOff>
    </xdr:to>
    <xdr:sp macro="" textlink="">
      <xdr:nvSpPr>
        <xdr:cNvPr id="452" name="Line 27">
          <a:extLst>
            <a:ext uri="{FF2B5EF4-FFF2-40B4-BE49-F238E27FC236}">
              <a16:creationId xmlns:a16="http://schemas.microsoft.com/office/drawing/2014/main" id="{3A9DEC94-ED33-460A-9738-27E33CCA5D50}"/>
            </a:ext>
          </a:extLst>
        </xdr:cNvPr>
        <xdr:cNvSpPr>
          <a:spLocks noChangeShapeType="1"/>
        </xdr:cNvSpPr>
      </xdr:nvSpPr>
      <xdr:spPr bwMode="auto">
        <a:xfrm>
          <a:off x="9906000" y="195072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90</xdr:row>
      <xdr:rowOff>0</xdr:rowOff>
    </xdr:from>
    <xdr:to>
      <xdr:col>8</xdr:col>
      <xdr:colOff>0</xdr:colOff>
      <xdr:row>90</xdr:row>
      <xdr:rowOff>0</xdr:rowOff>
    </xdr:to>
    <xdr:sp macro="" textlink="">
      <xdr:nvSpPr>
        <xdr:cNvPr id="453" name="Text Box 28">
          <a:extLst>
            <a:ext uri="{FF2B5EF4-FFF2-40B4-BE49-F238E27FC236}">
              <a16:creationId xmlns:a16="http://schemas.microsoft.com/office/drawing/2014/main" id="{078AF227-0DEC-405C-A0AB-1E6857939553}"/>
            </a:ext>
          </a:extLst>
        </xdr:cNvPr>
        <xdr:cNvSpPr txBox="1">
          <a:spLocks noChangeArrowheads="1"/>
        </xdr:cNvSpPr>
      </xdr:nvSpPr>
      <xdr:spPr bwMode="auto">
        <a:xfrm>
          <a:off x="9906000" y="195072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24066;&#24029;\&#20849;&#26377;&#26360;&#24235;\Excel_dat\2002&#23448;&#24193;\&#24859;&#30693;&#23376;&#20379;&#12398;&#22269;\&#35373;&#20633;&#35373;&#35336;&#26360;&#12539;&#21407;&#3129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p001d7391fd09\disk1_pt1\samba_cad\2009\&#65378;&#20013;&#22830;&#20816;&#31461;&#39208;&#65379;\&#35373;&#35336;&#26360;\OFM\&#21335;&#20013;&#23398;\Excel_dat\2002&#23448;&#24193;\&#24859;&#30693;&#23376;&#20379;&#12398;&#22269;\&#35373;&#20633;&#35373;&#35336;&#26360;&#12539;&#21407;&#31295;.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d.docs.live.net/&#38651;&#27671;&#35373;&#35336;&#2636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Pc03\e\&#24179;&#37326;\&#24179;&#25104;12&#24180;&#24230;(&#19971;&#21306;&#20998;)\03%20&#24037;&#20107;\&#31309;&#31639;\&#38263;&#23822;&#23567;&#27743;&#12411;&#1236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Pc3\&#26494;&#26412;server\Excel_dat\2002&#23448;&#24193;\&#24859;&#30693;&#23376;&#20379;&#12398;&#22269;\&#35373;&#20633;&#35373;&#35336;&#26360;&#12539;&#21407;&#3129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Ap001d7391fd09\disk1_pt1\samba_cad\2009\&#65378;&#20013;&#22830;&#20816;&#31461;&#39208;&#65379;\&#35373;&#35336;&#26360;\Excel_dat\2006&#23448;&#24193;\&#19968;&#23470;&#28040;&#38450;\&#26368;&#32066;&#35373;&#35336;&#26360;\&#28580;&#30000;&#25972;&#20633;&#24037;&#20107;&#38306;&#36899;\H16&#25972;&#20633;&#24037;&#20107;\&#37326;&#38291;&#22524;&#29305;&#20462;\&#24418;&#21407;&#28207;&#21271;&#27231;&#22120;&#25764;&#21435;.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p001d7391fd09\disk1_pt1\samba_cad\2009\&#65378;&#20013;&#22830;&#20816;&#31461;&#39208;&#65379;\&#35373;&#35336;&#26360;\Excel_dat\2006&#23448;&#24193;\&#19968;&#23470;&#28040;&#38450;\&#26368;&#32066;&#35373;&#35336;&#26360;\&#26397;&#26085;&#23567;&#25552;&#20986;&#29992;\&#26397;&#26085;&#23567;&#23398;&#26657;&#20870;&#24418;&#26657;&#33294;&#23567;&#35215;&#27169;&#25913;&#20462;&#24037;&#20107;\&#35373;&#35336;&#29992;&#32025;(Excel)&#65420;&#65439;&#65432;&#65437;&#65408;&#21517;&#31216;&#12395;&#27880;&#24847;&#12375;&#12390;&#19979;&#12373;&#12356;&#12290;\My%20Documents\&#22793;&#26356;&#32076;&#36027;.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d.docs.live.net/&#33980;&#35373;&#35336;&#65298;/&#34276;&#26354;&#32102;&#27700;/&#21335;&#34276;&#26354;&#22243;&#22320;&#32102;&#27700;&#26045;&#35373;&#35373;&#35336;&#26360;.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Taniguchi\e\&#33980;&#35373;&#35336;&#65298;\&#34276;&#26354;&#32102;&#27700;\&#21335;&#34276;&#26354;&#22243;&#22320;&#32102;&#27700;&#26045;&#35373;&#35373;&#35336;&#26360;.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d.docs.live.net/&#31309;&#31639;/13&#24180;/&#32784;&#38663;&#38306;&#20418;/&#24066;&#20303;&#32784;&#38663;.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Taniguchi\e\&#31309;&#31639;\13&#24180;\&#32784;&#38663;&#38306;&#20418;\&#24066;&#20303;&#32784;&#38663;.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A:\s_data\&#38738;&#12356;&#40165;\&#20869;&#35379;\&#21336;&#20385;&#21335;AC.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Main\data\&#27010;&#31639;&#65305;&#65304;&#65297;&#65296;.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Ap001d7391fd09\disk1_pt1\samba_cad\2009\&#65378;&#20013;&#22830;&#20816;&#31461;&#39208;&#65379;\&#35373;&#35336;&#26360;\Excel_dat\2006&#23448;&#24193;\&#19968;&#23470;&#28040;&#38450;\&#26368;&#32066;&#35373;&#35336;&#26360;\&#65320;13&#24037;&#20107;\&#20234;&#33391;&#28246;\excel\&#20234;&#33391;&#28246;&#23724;&#28783;&#21488;&#24037;&#20107;.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Hpserver\d&#65412;&#65438;&#65431;&#65394;&#65420;&#65438;\&#27010;&#31639;&#65305;&#65304;&#65297;&#65296;.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Ap001d7391fd09\disk1_pt1\samba_cad\2009\&#65378;&#20013;&#22830;&#20816;&#31461;&#39208;&#65379;\&#35373;&#35336;&#26360;\Excel_dat\2006&#23448;&#24193;\&#19968;&#23470;&#28040;&#38450;\&#26368;&#32066;&#35373;&#35336;&#26360;\WINDOWS\&#65411;&#65438;&#65405;&#65400;&#65412;&#65391;&#65420;&#65439;\&#35373;&#35336;&#29992;&#32025;(Excel)&#65420;&#65439;&#65432;&#65437;&#65408;&#21517;&#31216;&#12395;&#27880;&#24847;&#12375;&#12390;&#19979;&#12373;&#12356;&#12290;\My%20Documents\&#22793;&#26356;&#32076;&#36027;.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Y:\&#26045;&#35373;&#35506;\&#26045;&#35373;&#35506;&#21942;&#32341;\&#65298;&#20418;&#20849;&#36890;\&#36960;&#34276;&#20316;&#26989;&#29992;\&#35373;&#35336;&#26360;&#65288;&#23713;&#23822;&#65289;&#12481;&#12455;&#12483;&#12463;&#29992;.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Pc03\e\WINDOWS\&#65411;&#65438;&#65405;&#65400;&#65412;&#65391;&#65420;&#65439;\&#36100;&#28006;&#28207;&#35199;&#38450;&#27874;&#22564;&#28783;&#21488;&#26032;&#35373;&#24037;&#20107;.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s://d.docs.live.net/&#12456;&#12463;&#12475;&#12523;/My%20Documents/&#31309;&#31639;&#36039;&#26009;/&#33980;&#35373;&#35336;/&#24481;&#27583;&#22580;&#24066;&#20108;&#26522;&#27211;&#22243;&#22320;&#32102;&#27700;&#26045;&#35373;.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Taniguchi\e\&#12456;&#12463;&#12475;&#12523;\My%20Documents\&#31309;&#31639;&#36039;&#26009;\&#33980;&#35373;&#35336;\&#24481;&#27583;&#22580;&#24066;&#20108;&#26522;&#27211;&#22243;&#22320;&#32102;&#27700;&#26045;&#35373;.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c03\e\WINDOWS\TEMP\&#22235;&#26085;&#24066;&#26481;&#21335;.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Ap001d7391fd09\disk1_pt1\samba_cad\2009\&#65378;&#20013;&#22830;&#20816;&#31461;&#39208;&#65379;\&#35373;&#35336;&#26360;\Excel_dat\2006&#23448;&#24193;\&#19968;&#23470;&#28040;&#38450;\&#26368;&#32066;&#35373;&#35336;&#26360;\&#65320;&#65305;&#26360;&#39006;\&#31309;&#31639;\&#39321;&#20303;&#21271;&#29305;&#20462;&#31309;&#31639;.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172.16.1.10/scripts/cbag/ag.exe/&#24859;&#30693;&#30476;&#20195;&#20385;&#34920;.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A:\2001&#24180;\&#26481;&#26716;&#20303;&#23429;&#32784;&#38663;&#24037;&#20107;\s_data\&#38738;&#12356;&#40165;\&#20869;&#35379;\&#21336;&#20385;&#21335;AC.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HPSERVER\&#20214;&#21517;\windows\temp\lh_tmp0\&#31282;&#27494;&#24441;&#22580;&#22806;&#27083;&#20869;&#35379;&#65288;&#31282;&#27494;&#65289;.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C:\00&#22823;&#24184;\&#22823;&#34282;&#23567;&#23398;&#26657;&#23627;&#20869;&#36939;&#21205;&#22580;&#31354;&#35519;&#35373;&#20633;&#35373;&#32622;&#24037;&#20107;&#35373;&#35336;&#26989;&#21209;\&#22823;&#24184;&#20869;&#35379;&#26360;\&#22823;&#34282;&#23567;&#23398;&#26657;&#23627;&#20869;&#36939;&#21205;&#22580;&#31354;&#35519;&#35373;&#20633;&#35373;&#32622;&#24037;&#20107;%20&#20869;&#35379;&#26360;%2026.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設備"/>
      <sheetName val="代価"/>
      <sheetName val="複合単価 "/>
      <sheetName val="見積比較表"/>
      <sheetName val="大項目"/>
      <sheetName val="表紙"/>
      <sheetName val="建築"/>
      <sheetName val="仮設・諸経費"/>
    </sheetNames>
    <sheetDataSet>
      <sheetData sheetId="0"/>
      <sheetData sheetId="1"/>
      <sheetData sheetId="2"/>
      <sheetData sheetId="3"/>
      <sheetData sheetId="4"/>
      <sheetData sheetId="5"/>
      <sheetData sheetId="6"/>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建築"/>
    </sheetNames>
    <sheetDataSet>
      <sheetData sheetId="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一位代価"/>
      <sheetName val="予定価格内訳"/>
      <sheetName val="工事総括"/>
      <sheetName val="内訳表紙"/>
      <sheetName val="官給品"/>
      <sheetName val="特定材料"/>
      <sheetName val="工程"/>
      <sheetName val="標識別内訳"/>
      <sheetName val="公開様式"/>
      <sheetName val="計算"/>
      <sheetName val="提出書類"/>
      <sheetName val="重量計算"/>
      <sheetName val="再使用品"/>
    </sheetNames>
    <sheetDataSet>
      <sheetData sheetId="0" refreshError="1">
        <row r="1">
          <cell r="B1" t="str">
            <v>細目</v>
          </cell>
          <cell r="C1" t="str">
            <v>品名</v>
          </cell>
          <cell r="D1" t="str">
            <v>規格</v>
          </cell>
          <cell r="E1" t="str">
            <v>単位</v>
          </cell>
          <cell r="F1" t="str">
            <v>数量</v>
          </cell>
          <cell r="G1" t="str">
            <v>単価</v>
          </cell>
          <cell r="H1" t="str">
            <v>金額</v>
          </cell>
          <cell r="I1" t="str">
            <v>備考</v>
          </cell>
          <cell r="T1" t="str">
            <v>作成順</v>
          </cell>
        </row>
        <row r="2">
          <cell r="A2">
            <v>1</v>
          </cell>
          <cell r="B2" t="str">
            <v>灯器</v>
          </cell>
          <cell r="C2" t="str">
            <v>取付</v>
          </cell>
          <cell r="D2" t="str">
            <v>LEDⅤ型</v>
          </cell>
          <cell r="E2" t="str">
            <v>組</v>
          </cell>
          <cell r="F2">
            <v>1</v>
          </cell>
          <cell r="H2">
            <v>95110.399999999994</v>
          </cell>
          <cell r="I2" t="str">
            <v>電通 P2-29</v>
          </cell>
          <cell r="T2">
            <v>10</v>
          </cell>
        </row>
        <row r="3">
          <cell r="C3" t="str">
            <v>灯器台</v>
          </cell>
          <cell r="D3" t="str">
            <v>SUS304</v>
          </cell>
          <cell r="E3" t="str">
            <v>台</v>
          </cell>
          <cell r="F3">
            <v>1</v>
          </cell>
          <cell r="G3">
            <v>70000</v>
          </cell>
          <cell r="H3">
            <v>70000</v>
          </cell>
          <cell r="I3" t="str">
            <v>市価</v>
          </cell>
        </row>
        <row r="4">
          <cell r="C4" t="str">
            <v>ケミカルアンカー</v>
          </cell>
          <cell r="D4" t="str">
            <v>R16</v>
          </cell>
          <cell r="E4" t="str">
            <v>個</v>
          </cell>
          <cell r="F4">
            <v>4</v>
          </cell>
          <cell r="G4">
            <v>475</v>
          </cell>
          <cell r="H4">
            <v>1900</v>
          </cell>
          <cell r="I4" t="str">
            <v>物 P49</v>
          </cell>
        </row>
        <row r="5">
          <cell r="C5" t="str">
            <v>電工</v>
          </cell>
          <cell r="E5" t="str">
            <v>人</v>
          </cell>
          <cell r="F5">
            <v>0.8</v>
          </cell>
          <cell r="G5">
            <v>16700</v>
          </cell>
          <cell r="H5">
            <v>13360</v>
          </cell>
          <cell r="I5" t="str">
            <v>長崎</v>
          </cell>
        </row>
        <row r="6">
          <cell r="C6" t="str">
            <v>普通作業員</v>
          </cell>
          <cell r="E6" t="str">
            <v>人</v>
          </cell>
          <cell r="F6">
            <v>0.5</v>
          </cell>
          <cell r="G6">
            <v>14000</v>
          </cell>
          <cell r="H6">
            <v>7000</v>
          </cell>
          <cell r="I6" t="str">
            <v>長崎</v>
          </cell>
        </row>
        <row r="7">
          <cell r="C7" t="str">
            <v>その他</v>
          </cell>
          <cell r="D7" t="str">
            <v>（労）×１４％</v>
          </cell>
          <cell r="E7" t="str">
            <v>式</v>
          </cell>
          <cell r="F7">
            <v>1</v>
          </cell>
          <cell r="H7">
            <v>2850.4</v>
          </cell>
          <cell r="I7">
            <v>20360</v>
          </cell>
          <cell r="K7" t="str">
            <v>×</v>
          </cell>
          <cell r="L7">
            <v>0.14000000000000001</v>
          </cell>
        </row>
        <row r="9">
          <cell r="A9">
            <v>2</v>
          </cell>
          <cell r="B9" t="str">
            <v>太陽電池架</v>
          </cell>
          <cell r="C9" t="str">
            <v>取付</v>
          </cell>
          <cell r="D9" t="str">
            <v>12V44W</v>
          </cell>
          <cell r="E9" t="str">
            <v>台</v>
          </cell>
          <cell r="F9">
            <v>1</v>
          </cell>
          <cell r="H9">
            <v>104834.54000000001</v>
          </cell>
          <cell r="I9" t="str">
            <v>電通 P2-30</v>
          </cell>
          <cell r="T9">
            <v>10</v>
          </cell>
        </row>
        <row r="10">
          <cell r="C10" t="str">
            <v>太陽電池架台</v>
          </cell>
          <cell r="D10" t="str">
            <v>SUS304</v>
          </cell>
          <cell r="E10" t="str">
            <v>台</v>
          </cell>
          <cell r="F10">
            <v>1</v>
          </cell>
          <cell r="G10">
            <v>77000</v>
          </cell>
          <cell r="H10">
            <v>77000</v>
          </cell>
          <cell r="I10" t="str">
            <v>市価</v>
          </cell>
        </row>
        <row r="11">
          <cell r="C11" t="str">
            <v>ケミカルアンカー</v>
          </cell>
          <cell r="D11" t="str">
            <v>R16</v>
          </cell>
          <cell r="E11" t="str">
            <v>個</v>
          </cell>
          <cell r="F11">
            <v>4</v>
          </cell>
          <cell r="G11">
            <v>475</v>
          </cell>
          <cell r="H11">
            <v>1900</v>
          </cell>
          <cell r="I11" t="str">
            <v>物 P49</v>
          </cell>
        </row>
        <row r="12">
          <cell r="C12" t="str">
            <v>電工</v>
          </cell>
          <cell r="E12" t="str">
            <v>人</v>
          </cell>
          <cell r="F12">
            <v>0.64800000000000002</v>
          </cell>
          <cell r="G12">
            <v>16700</v>
          </cell>
          <cell r="H12">
            <v>10821.6</v>
          </cell>
          <cell r="I12" t="str">
            <v>長崎</v>
          </cell>
          <cell r="J12">
            <v>1.2E-2</v>
          </cell>
          <cell r="K12" t="str">
            <v>×</v>
          </cell>
          <cell r="L12">
            <v>44</v>
          </cell>
          <cell r="M12" t="str">
            <v>＋</v>
          </cell>
          <cell r="N12">
            <v>0.12</v>
          </cell>
        </row>
        <row r="13">
          <cell r="C13" t="str">
            <v>普通作業員</v>
          </cell>
          <cell r="E13" t="str">
            <v>人</v>
          </cell>
          <cell r="F13">
            <v>0.85199999999999998</v>
          </cell>
          <cell r="G13">
            <v>14000</v>
          </cell>
          <cell r="H13">
            <v>11928</v>
          </cell>
          <cell r="I13" t="str">
            <v>長崎</v>
          </cell>
          <cell r="J13">
            <v>2.3E-2</v>
          </cell>
          <cell r="K13" t="str">
            <v>×</v>
          </cell>
          <cell r="L13">
            <v>44</v>
          </cell>
          <cell r="M13" t="str">
            <v>－</v>
          </cell>
          <cell r="N13">
            <v>0.16</v>
          </cell>
        </row>
        <row r="14">
          <cell r="C14" t="str">
            <v>その他</v>
          </cell>
          <cell r="D14" t="str">
            <v>（労）×１４％</v>
          </cell>
          <cell r="E14" t="str">
            <v>式</v>
          </cell>
          <cell r="F14">
            <v>1</v>
          </cell>
          <cell r="H14">
            <v>3184.94</v>
          </cell>
          <cell r="I14">
            <v>22749.599999999999</v>
          </cell>
          <cell r="K14" t="str">
            <v>×</v>
          </cell>
          <cell r="L14">
            <v>0.14000000000000001</v>
          </cell>
        </row>
        <row r="16">
          <cell r="A16">
            <v>3</v>
          </cell>
          <cell r="B16" t="str">
            <v>太陽電池装置用配電盤</v>
          </cell>
          <cell r="C16" t="str">
            <v>取付</v>
          </cell>
          <cell r="E16" t="str">
            <v>台</v>
          </cell>
          <cell r="F16">
            <v>1</v>
          </cell>
          <cell r="H16">
            <v>39232</v>
          </cell>
          <cell r="I16" t="str">
            <v>電通 P2-30</v>
          </cell>
        </row>
        <row r="17">
          <cell r="C17" t="str">
            <v>ホークアンカーボルト</v>
          </cell>
          <cell r="D17" t="str">
            <v>SUS304 B1070</v>
          </cell>
          <cell r="E17" t="str">
            <v>個</v>
          </cell>
          <cell r="F17">
            <v>4</v>
          </cell>
          <cell r="G17">
            <v>289</v>
          </cell>
          <cell r="H17">
            <v>1156</v>
          </cell>
          <cell r="I17" t="str">
            <v>物 P45</v>
          </cell>
        </row>
        <row r="18">
          <cell r="C18" t="str">
            <v>電工</v>
          </cell>
          <cell r="E18" t="str">
            <v>人</v>
          </cell>
          <cell r="F18">
            <v>2</v>
          </cell>
          <cell r="G18">
            <v>16700</v>
          </cell>
          <cell r="H18">
            <v>33400</v>
          </cell>
          <cell r="I18" t="str">
            <v>長崎</v>
          </cell>
        </row>
        <row r="19">
          <cell r="C19" t="str">
            <v>その他</v>
          </cell>
          <cell r="D19" t="str">
            <v>（労）×１４％</v>
          </cell>
          <cell r="E19" t="str">
            <v>式</v>
          </cell>
          <cell r="F19">
            <v>1</v>
          </cell>
          <cell r="H19">
            <v>4676</v>
          </cell>
          <cell r="I19">
            <v>33400</v>
          </cell>
          <cell r="K19" t="str">
            <v>×</v>
          </cell>
          <cell r="L19">
            <v>0.14000000000000001</v>
          </cell>
        </row>
        <row r="25">
          <cell r="A25">
            <v>4</v>
          </cell>
          <cell r="B25" t="str">
            <v>蓄電池</v>
          </cell>
          <cell r="C25" t="str">
            <v>取付</v>
          </cell>
          <cell r="D25" t="str">
            <v>CS-60-6E</v>
          </cell>
          <cell r="E25" t="str">
            <v>式</v>
          </cell>
          <cell r="F25">
            <v>1</v>
          </cell>
          <cell r="H25">
            <v>12459.6</v>
          </cell>
          <cell r="I25" t="str">
            <v>電通 P2-30</v>
          </cell>
        </row>
        <row r="26">
          <cell r="C26" t="str">
            <v>蓄電池転倒防止ベルト</v>
          </cell>
          <cell r="D26" t="str">
            <v>SUS304</v>
          </cell>
          <cell r="E26" t="str">
            <v>個</v>
          </cell>
          <cell r="F26">
            <v>1</v>
          </cell>
          <cell r="G26">
            <v>5000</v>
          </cell>
          <cell r="H26">
            <v>5000</v>
          </cell>
          <cell r="I26" t="str">
            <v>市価</v>
          </cell>
        </row>
        <row r="27">
          <cell r="C27" t="str">
            <v>ホークアンカーボルト</v>
          </cell>
          <cell r="D27" t="str">
            <v>SUS304 B870</v>
          </cell>
          <cell r="E27" t="str">
            <v>個</v>
          </cell>
          <cell r="F27">
            <v>2</v>
          </cell>
          <cell r="G27">
            <v>230</v>
          </cell>
          <cell r="H27">
            <v>460</v>
          </cell>
          <cell r="I27" t="str">
            <v>物 P45</v>
          </cell>
        </row>
        <row r="28">
          <cell r="C28" t="str">
            <v>電工</v>
          </cell>
          <cell r="E28" t="str">
            <v>人</v>
          </cell>
          <cell r="F28">
            <v>0.2</v>
          </cell>
          <cell r="G28">
            <v>16700</v>
          </cell>
          <cell r="H28">
            <v>3340</v>
          </cell>
          <cell r="I28" t="str">
            <v>長崎</v>
          </cell>
          <cell r="J28">
            <v>0.05</v>
          </cell>
          <cell r="K28" t="str">
            <v>×</v>
          </cell>
          <cell r="L28">
            <v>2</v>
          </cell>
          <cell r="M28" t="str">
            <v>×</v>
          </cell>
          <cell r="N28">
            <v>2</v>
          </cell>
          <cell r="O28" t="str">
            <v>個</v>
          </cell>
        </row>
        <row r="29">
          <cell r="C29" t="str">
            <v>普通作業員</v>
          </cell>
          <cell r="E29" t="str">
            <v>人</v>
          </cell>
          <cell r="F29">
            <v>0.2</v>
          </cell>
          <cell r="G29">
            <v>14000</v>
          </cell>
          <cell r="H29">
            <v>2800</v>
          </cell>
          <cell r="I29" t="str">
            <v>長崎</v>
          </cell>
          <cell r="J29">
            <v>0.05</v>
          </cell>
          <cell r="K29" t="str">
            <v>×</v>
          </cell>
          <cell r="L29">
            <v>2</v>
          </cell>
          <cell r="M29" t="str">
            <v>×</v>
          </cell>
          <cell r="N29">
            <v>2</v>
          </cell>
          <cell r="O29" t="str">
            <v>個</v>
          </cell>
        </row>
        <row r="30">
          <cell r="C30" t="str">
            <v>その他</v>
          </cell>
          <cell r="D30" t="str">
            <v>（労）×１４％</v>
          </cell>
          <cell r="E30" t="str">
            <v>式</v>
          </cell>
          <cell r="F30">
            <v>1</v>
          </cell>
          <cell r="H30">
            <v>859.6</v>
          </cell>
          <cell r="I30">
            <v>6140</v>
          </cell>
          <cell r="K30" t="str">
            <v>×</v>
          </cell>
          <cell r="L30">
            <v>0.14000000000000001</v>
          </cell>
        </row>
        <row r="32">
          <cell r="A32">
            <v>5</v>
          </cell>
          <cell r="B32" t="str">
            <v>電線管</v>
          </cell>
          <cell r="C32" t="str">
            <v>取付</v>
          </cell>
          <cell r="D32" t="str">
            <v>HIVE28</v>
          </cell>
          <cell r="E32" t="str">
            <v>ｍ</v>
          </cell>
          <cell r="F32">
            <v>1</v>
          </cell>
          <cell r="H32">
            <v>1738.78</v>
          </cell>
          <cell r="I32" t="str">
            <v>建 P578</v>
          </cell>
        </row>
        <row r="33">
          <cell r="C33" t="str">
            <v>電線管</v>
          </cell>
          <cell r="D33" t="str">
            <v>HIVE28</v>
          </cell>
          <cell r="E33" t="str">
            <v>ｍ</v>
          </cell>
          <cell r="F33">
            <v>1.1000000000000001</v>
          </cell>
          <cell r="G33">
            <v>177.5</v>
          </cell>
          <cell r="H33">
            <v>195.25</v>
          </cell>
          <cell r="I33" t="str">
            <v>積 P515</v>
          </cell>
          <cell r="L33">
            <v>710</v>
          </cell>
          <cell r="M33" t="str">
            <v>÷</v>
          </cell>
          <cell r="N33">
            <v>4</v>
          </cell>
        </row>
        <row r="34">
          <cell r="C34" t="str">
            <v>付属品</v>
          </cell>
          <cell r="D34" t="str">
            <v>（管）×３０％</v>
          </cell>
          <cell r="E34" t="str">
            <v>式</v>
          </cell>
          <cell r="F34">
            <v>1</v>
          </cell>
          <cell r="H34">
            <v>58.57</v>
          </cell>
          <cell r="I34">
            <v>195.25</v>
          </cell>
          <cell r="K34" t="str">
            <v>×</v>
          </cell>
          <cell r="L34">
            <v>0.3</v>
          </cell>
        </row>
        <row r="35">
          <cell r="C35" t="str">
            <v>雑材料</v>
          </cell>
          <cell r="D35" t="str">
            <v>（材）×５％</v>
          </cell>
          <cell r="E35" t="str">
            <v>式</v>
          </cell>
          <cell r="F35">
            <v>1</v>
          </cell>
          <cell r="H35">
            <v>12.69</v>
          </cell>
          <cell r="I35">
            <v>253.82</v>
          </cell>
          <cell r="K35" t="str">
            <v>×</v>
          </cell>
          <cell r="L35">
            <v>0.05</v>
          </cell>
        </row>
        <row r="36">
          <cell r="C36" t="str">
            <v>電工</v>
          </cell>
          <cell r="E36" t="str">
            <v>人</v>
          </cell>
          <cell r="F36">
            <v>7.5999999999999998E-2</v>
          </cell>
          <cell r="G36">
            <v>16700</v>
          </cell>
          <cell r="H36">
            <v>1269.2</v>
          </cell>
          <cell r="I36" t="str">
            <v>長崎</v>
          </cell>
          <cell r="J36">
            <v>6.4000000000000001E-2</v>
          </cell>
          <cell r="K36" t="str">
            <v>×</v>
          </cell>
          <cell r="L36">
            <v>1.2</v>
          </cell>
        </row>
        <row r="37">
          <cell r="C37" t="str">
            <v>その他</v>
          </cell>
          <cell r="D37" t="str">
            <v>（労）×１６％</v>
          </cell>
          <cell r="E37" t="str">
            <v>式</v>
          </cell>
          <cell r="F37">
            <v>1</v>
          </cell>
          <cell r="H37">
            <v>203.07</v>
          </cell>
          <cell r="I37">
            <v>1269.2</v>
          </cell>
          <cell r="K37" t="str">
            <v>×</v>
          </cell>
          <cell r="L37">
            <v>0.16</v>
          </cell>
        </row>
        <row r="39">
          <cell r="A39">
            <v>6</v>
          </cell>
          <cell r="B39" t="str">
            <v>電線管</v>
          </cell>
          <cell r="C39" t="str">
            <v>取付</v>
          </cell>
          <cell r="D39" t="str">
            <v>PF28（２重管）</v>
          </cell>
          <cell r="E39" t="str">
            <v>ｍ</v>
          </cell>
          <cell r="F39">
            <v>1</v>
          </cell>
          <cell r="H39">
            <v>1414.2400000000002</v>
          </cell>
          <cell r="I39" t="str">
            <v>建 P580</v>
          </cell>
        </row>
        <row r="40">
          <cell r="C40" t="str">
            <v>電線管</v>
          </cell>
          <cell r="D40" t="str">
            <v>PF28（２重管）</v>
          </cell>
          <cell r="E40" t="str">
            <v>ｍ</v>
          </cell>
          <cell r="F40">
            <v>1.1000000000000001</v>
          </cell>
          <cell r="G40">
            <v>152</v>
          </cell>
          <cell r="H40">
            <v>167.2</v>
          </cell>
          <cell r="I40" t="str">
            <v>物 P496・積 P516</v>
          </cell>
        </row>
        <row r="41">
          <cell r="C41" t="str">
            <v>付属品</v>
          </cell>
          <cell r="D41" t="str">
            <v>（管）×２５％</v>
          </cell>
          <cell r="E41" t="str">
            <v>式</v>
          </cell>
          <cell r="F41">
            <v>1</v>
          </cell>
          <cell r="H41">
            <v>41.8</v>
          </cell>
          <cell r="I41">
            <v>167.2</v>
          </cell>
          <cell r="K41" t="str">
            <v>×</v>
          </cell>
          <cell r="L41">
            <v>0.25</v>
          </cell>
        </row>
        <row r="42">
          <cell r="C42" t="str">
            <v>雑材料</v>
          </cell>
          <cell r="D42" t="str">
            <v>（材）×２％</v>
          </cell>
          <cell r="E42" t="str">
            <v>式</v>
          </cell>
          <cell r="F42">
            <v>1</v>
          </cell>
          <cell r="H42">
            <v>4.18</v>
          </cell>
          <cell r="I42">
            <v>209</v>
          </cell>
          <cell r="K42" t="str">
            <v>×</v>
          </cell>
          <cell r="L42">
            <v>0.02</v>
          </cell>
        </row>
        <row r="43">
          <cell r="C43" t="str">
            <v>電工</v>
          </cell>
          <cell r="E43" t="str">
            <v>人</v>
          </cell>
          <cell r="F43">
            <v>6.2E-2</v>
          </cell>
          <cell r="G43">
            <v>16700</v>
          </cell>
          <cell r="H43">
            <v>1035.4000000000001</v>
          </cell>
          <cell r="I43" t="str">
            <v>長崎</v>
          </cell>
          <cell r="J43">
            <v>5.1999999999999998E-2</v>
          </cell>
          <cell r="K43" t="str">
            <v>×</v>
          </cell>
          <cell r="L43">
            <v>1.2</v>
          </cell>
        </row>
        <row r="44">
          <cell r="C44" t="str">
            <v>その他</v>
          </cell>
          <cell r="D44" t="str">
            <v>（労）×１６％</v>
          </cell>
          <cell r="E44" t="str">
            <v>式</v>
          </cell>
          <cell r="F44">
            <v>1</v>
          </cell>
          <cell r="H44">
            <v>165.66</v>
          </cell>
          <cell r="I44">
            <v>1035.4000000000001</v>
          </cell>
          <cell r="K44" t="str">
            <v>×</v>
          </cell>
          <cell r="L44">
            <v>0.16</v>
          </cell>
        </row>
        <row r="48">
          <cell r="A48">
            <v>7</v>
          </cell>
          <cell r="B48" t="str">
            <v>電線管</v>
          </cell>
          <cell r="C48" t="str">
            <v>取付</v>
          </cell>
          <cell r="D48" t="str">
            <v>VE22</v>
          </cell>
          <cell r="E48" t="str">
            <v>ｍ</v>
          </cell>
          <cell r="F48">
            <v>1</v>
          </cell>
          <cell r="H48">
            <v>1337.3899999999999</v>
          </cell>
          <cell r="I48" t="str">
            <v>建 P578</v>
          </cell>
        </row>
        <row r="49">
          <cell r="C49" t="str">
            <v>電線管</v>
          </cell>
          <cell r="D49" t="str">
            <v>VE22</v>
          </cell>
          <cell r="E49" t="str">
            <v>ｍ</v>
          </cell>
          <cell r="F49">
            <v>1.1000000000000001</v>
          </cell>
          <cell r="G49">
            <v>65</v>
          </cell>
          <cell r="H49">
            <v>71.5</v>
          </cell>
          <cell r="I49" t="str">
            <v>積 P515</v>
          </cell>
          <cell r="L49">
            <v>260</v>
          </cell>
          <cell r="M49" t="str">
            <v>÷</v>
          </cell>
          <cell r="N49">
            <v>4</v>
          </cell>
        </row>
        <row r="50">
          <cell r="C50" t="str">
            <v>付属品</v>
          </cell>
          <cell r="D50" t="str">
            <v>（管）×３０％</v>
          </cell>
          <cell r="E50" t="str">
            <v>式</v>
          </cell>
          <cell r="F50">
            <v>1</v>
          </cell>
          <cell r="H50">
            <v>21.45</v>
          </cell>
          <cell r="I50">
            <v>71.5</v>
          </cell>
          <cell r="K50" t="str">
            <v>×</v>
          </cell>
          <cell r="L50">
            <v>0.3</v>
          </cell>
        </row>
        <row r="51">
          <cell r="C51" t="str">
            <v>雑材料</v>
          </cell>
          <cell r="D51" t="str">
            <v>（材）×５％</v>
          </cell>
          <cell r="E51" t="str">
            <v>式</v>
          </cell>
          <cell r="F51">
            <v>1</v>
          </cell>
          <cell r="H51">
            <v>4.6399999999999997</v>
          </cell>
          <cell r="I51">
            <v>92.95</v>
          </cell>
          <cell r="K51" t="str">
            <v>×</v>
          </cell>
          <cell r="L51">
            <v>0.05</v>
          </cell>
        </row>
        <row r="52">
          <cell r="C52" t="str">
            <v>電工</v>
          </cell>
          <cell r="E52" t="str">
            <v>人</v>
          </cell>
          <cell r="F52">
            <v>6.4000000000000001E-2</v>
          </cell>
          <cell r="G52">
            <v>16700</v>
          </cell>
          <cell r="H52">
            <v>1068.8</v>
          </cell>
          <cell r="I52" t="str">
            <v>長崎</v>
          </cell>
          <cell r="J52">
            <v>5.3999999999999999E-2</v>
          </cell>
          <cell r="K52" t="str">
            <v>×</v>
          </cell>
          <cell r="L52">
            <v>1.2</v>
          </cell>
        </row>
        <row r="53">
          <cell r="C53" t="str">
            <v>その他</v>
          </cell>
          <cell r="D53" t="str">
            <v>（労）×１６％</v>
          </cell>
          <cell r="E53" t="str">
            <v>式</v>
          </cell>
          <cell r="F53">
            <v>1</v>
          </cell>
          <cell r="H53">
            <v>171</v>
          </cell>
          <cell r="I53">
            <v>1068.8</v>
          </cell>
          <cell r="K53" t="str">
            <v>×</v>
          </cell>
          <cell r="L53">
            <v>0.16</v>
          </cell>
        </row>
        <row r="55">
          <cell r="A55">
            <v>8</v>
          </cell>
          <cell r="B55" t="str">
            <v>電線</v>
          </cell>
          <cell r="C55" t="str">
            <v>取付</v>
          </cell>
          <cell r="D55" t="str">
            <v>VVR5.5sq×2C</v>
          </cell>
          <cell r="E55" t="str">
            <v>ｍ</v>
          </cell>
          <cell r="F55">
            <v>1</v>
          </cell>
          <cell r="H55">
            <v>524.62</v>
          </cell>
          <cell r="I55" t="str">
            <v>建 P206</v>
          </cell>
          <cell r="T55">
            <v>1</v>
          </cell>
        </row>
        <row r="56">
          <cell r="C56" t="str">
            <v>電線</v>
          </cell>
          <cell r="D56" t="str">
            <v>VVR5.5sq×2C</v>
          </cell>
          <cell r="E56" t="str">
            <v>ｍ</v>
          </cell>
          <cell r="F56">
            <v>1.1000000000000001</v>
          </cell>
          <cell r="G56">
            <v>102</v>
          </cell>
          <cell r="H56">
            <v>112.2</v>
          </cell>
          <cell r="I56" t="str">
            <v>積 P481</v>
          </cell>
        </row>
        <row r="57">
          <cell r="C57" t="str">
            <v>雑材料</v>
          </cell>
          <cell r="D57" t="str">
            <v>（材）×５％</v>
          </cell>
          <cell r="E57" t="str">
            <v>式</v>
          </cell>
          <cell r="F57">
            <v>1</v>
          </cell>
          <cell r="H57">
            <v>5.61</v>
          </cell>
          <cell r="I57">
            <v>112.2</v>
          </cell>
          <cell r="K57" t="str">
            <v>×</v>
          </cell>
          <cell r="L57">
            <v>0.05</v>
          </cell>
        </row>
        <row r="58">
          <cell r="C58" t="str">
            <v>電工</v>
          </cell>
          <cell r="E58" t="str">
            <v>人</v>
          </cell>
          <cell r="F58">
            <v>2.1000000000000001E-2</v>
          </cell>
          <cell r="G58">
            <v>16700</v>
          </cell>
          <cell r="H58">
            <v>350.7</v>
          </cell>
          <cell r="I58" t="str">
            <v>長崎</v>
          </cell>
        </row>
        <row r="59">
          <cell r="C59" t="str">
            <v>その他</v>
          </cell>
          <cell r="D59" t="str">
            <v>（労）×１６％</v>
          </cell>
          <cell r="E59" t="str">
            <v>式</v>
          </cell>
          <cell r="F59">
            <v>1</v>
          </cell>
          <cell r="H59">
            <v>56.11</v>
          </cell>
          <cell r="I59">
            <v>350.7</v>
          </cell>
          <cell r="K59" t="str">
            <v>×</v>
          </cell>
          <cell r="L59">
            <v>0.16</v>
          </cell>
        </row>
        <row r="61">
          <cell r="A61">
            <v>9</v>
          </cell>
          <cell r="B61" t="str">
            <v>配管</v>
          </cell>
          <cell r="C61" t="str">
            <v>取付</v>
          </cell>
          <cell r="D61" t="str">
            <v>引込み</v>
          </cell>
          <cell r="E61" t="str">
            <v>式</v>
          </cell>
          <cell r="F61">
            <v>1</v>
          </cell>
          <cell r="H61">
            <v>61767.32</v>
          </cell>
        </row>
        <row r="62">
          <cell r="C62" t="str">
            <v>電線管</v>
          </cell>
          <cell r="D62" t="str">
            <v>HIVE28</v>
          </cell>
          <cell r="E62" t="str">
            <v>ｍ</v>
          </cell>
          <cell r="F62">
            <v>7.5</v>
          </cell>
          <cell r="G62">
            <v>1738.78</v>
          </cell>
          <cell r="H62">
            <v>13040.85</v>
          </cell>
          <cell r="I62" t="str">
            <v>一位代価5</v>
          </cell>
        </row>
        <row r="63">
          <cell r="C63" t="str">
            <v>電線管</v>
          </cell>
          <cell r="D63" t="str">
            <v>PF28（２重管）</v>
          </cell>
          <cell r="E63" t="str">
            <v>ｍ</v>
          </cell>
          <cell r="F63">
            <v>1.2</v>
          </cell>
          <cell r="G63">
            <v>1414.2400000000002</v>
          </cell>
          <cell r="H63">
            <v>1697.08</v>
          </cell>
          <cell r="I63" t="str">
            <v>一位代価6</v>
          </cell>
        </row>
        <row r="64">
          <cell r="C64" t="str">
            <v>電線管</v>
          </cell>
          <cell r="D64" t="str">
            <v>VE22</v>
          </cell>
          <cell r="E64" t="str">
            <v>ｍ</v>
          </cell>
          <cell r="F64">
            <v>1</v>
          </cell>
          <cell r="G64">
            <v>1337.3899999999999</v>
          </cell>
          <cell r="H64">
            <v>1337.39</v>
          </cell>
          <cell r="I64" t="str">
            <v>一位代価7</v>
          </cell>
        </row>
        <row r="65">
          <cell r="C65" t="str">
            <v>エントランスキャップ</v>
          </cell>
          <cell r="D65" t="str">
            <v>HIVE28用</v>
          </cell>
          <cell r="E65" t="str">
            <v>個</v>
          </cell>
          <cell r="F65">
            <v>1</v>
          </cell>
          <cell r="G65">
            <v>372</v>
          </cell>
          <cell r="H65">
            <v>372</v>
          </cell>
          <cell r="I65" t="str">
            <v>積 P519</v>
          </cell>
        </row>
        <row r="66">
          <cell r="C66" t="str">
            <v>ステンレスサドル</v>
          </cell>
          <cell r="D66" t="str">
            <v>SUS304</v>
          </cell>
          <cell r="E66" t="str">
            <v>個</v>
          </cell>
          <cell r="F66">
            <v>22</v>
          </cell>
          <cell r="G66">
            <v>1600</v>
          </cell>
          <cell r="H66">
            <v>35200</v>
          </cell>
          <cell r="I66" t="str">
            <v>市価</v>
          </cell>
        </row>
        <row r="67">
          <cell r="C67" t="str">
            <v>ホークアンカーボルト</v>
          </cell>
          <cell r="D67" t="str">
            <v>SUS304 B870</v>
          </cell>
          <cell r="E67" t="str">
            <v>個</v>
          </cell>
          <cell r="F67">
            <v>44</v>
          </cell>
          <cell r="G67">
            <v>230</v>
          </cell>
          <cell r="H67">
            <v>10120</v>
          </cell>
          <cell r="I67" t="str">
            <v>物 P45</v>
          </cell>
        </row>
        <row r="71">
          <cell r="A71">
            <v>10</v>
          </cell>
          <cell r="B71" t="str">
            <v>機械はつり</v>
          </cell>
          <cell r="D71" t="str">
            <v>50φ×200mm</v>
          </cell>
          <cell r="E71" t="str">
            <v>箇所</v>
          </cell>
          <cell r="F71">
            <v>1</v>
          </cell>
          <cell r="H71">
            <v>6755.84</v>
          </cell>
          <cell r="I71" t="str">
            <v>建 P428</v>
          </cell>
        </row>
        <row r="72">
          <cell r="C72" t="str">
            <v>特殊作業員</v>
          </cell>
          <cell r="E72" t="str">
            <v>人</v>
          </cell>
          <cell r="F72">
            <v>0.32</v>
          </cell>
          <cell r="G72">
            <v>18200</v>
          </cell>
          <cell r="H72">
            <v>5824</v>
          </cell>
          <cell r="I72" t="str">
            <v>長崎</v>
          </cell>
        </row>
        <row r="73">
          <cell r="C73" t="str">
            <v>その他</v>
          </cell>
          <cell r="D73" t="str">
            <v>（労）×１６％</v>
          </cell>
          <cell r="E73" t="str">
            <v>式</v>
          </cell>
          <cell r="F73">
            <v>1</v>
          </cell>
          <cell r="H73">
            <v>931.84</v>
          </cell>
          <cell r="I73">
            <v>5824</v>
          </cell>
          <cell r="K73" t="str">
            <v>×</v>
          </cell>
          <cell r="L73">
            <v>0.16</v>
          </cell>
        </row>
        <row r="75">
          <cell r="A75">
            <v>11</v>
          </cell>
          <cell r="B75" t="str">
            <v>手摺切断</v>
          </cell>
          <cell r="D75" t="str">
            <v>踊り場手摺</v>
          </cell>
          <cell r="E75" t="str">
            <v>式</v>
          </cell>
          <cell r="F75">
            <v>1</v>
          </cell>
          <cell r="H75">
            <v>4063.44</v>
          </cell>
        </row>
        <row r="76">
          <cell r="C76" t="str">
            <v>予備管用フタ</v>
          </cell>
          <cell r="D76" t="str">
            <v>MFB-22C</v>
          </cell>
          <cell r="E76" t="str">
            <v>個</v>
          </cell>
          <cell r="F76">
            <v>4</v>
          </cell>
          <cell r="G76">
            <v>234</v>
          </cell>
          <cell r="H76">
            <v>936</v>
          </cell>
          <cell r="I76" t="str">
            <v>市価</v>
          </cell>
          <cell r="J76">
            <v>260</v>
          </cell>
          <cell r="L76" t="str">
            <v>×</v>
          </cell>
          <cell r="M76">
            <v>0.9</v>
          </cell>
        </row>
        <row r="77">
          <cell r="C77" t="str">
            <v>予備管用フタ</v>
          </cell>
          <cell r="D77" t="str">
            <v>MFB-36C</v>
          </cell>
          <cell r="E77" t="str">
            <v>個</v>
          </cell>
          <cell r="F77">
            <v>2</v>
          </cell>
          <cell r="G77">
            <v>297</v>
          </cell>
          <cell r="H77">
            <v>594</v>
          </cell>
          <cell r="I77" t="str">
            <v>市価</v>
          </cell>
          <cell r="J77">
            <v>330</v>
          </cell>
          <cell r="L77" t="str">
            <v>×</v>
          </cell>
          <cell r="M77">
            <v>0.9</v>
          </cell>
        </row>
        <row r="78">
          <cell r="C78" t="str">
            <v>特殊作業員</v>
          </cell>
          <cell r="E78" t="str">
            <v>人</v>
          </cell>
          <cell r="F78">
            <v>0.12</v>
          </cell>
          <cell r="G78">
            <v>18200</v>
          </cell>
          <cell r="H78">
            <v>2184</v>
          </cell>
          <cell r="I78" t="str">
            <v>長崎</v>
          </cell>
          <cell r="J78">
            <v>0.02</v>
          </cell>
          <cell r="K78" t="str">
            <v>×</v>
          </cell>
          <cell r="L78">
            <v>6</v>
          </cell>
          <cell r="M78" t="str">
            <v>箇所</v>
          </cell>
        </row>
        <row r="79">
          <cell r="C79" t="str">
            <v>その他</v>
          </cell>
          <cell r="D79" t="str">
            <v>（労）×１６％</v>
          </cell>
          <cell r="E79" t="str">
            <v>式</v>
          </cell>
          <cell r="F79">
            <v>1</v>
          </cell>
          <cell r="H79">
            <v>349.44</v>
          </cell>
          <cell r="I79">
            <v>2184</v>
          </cell>
          <cell r="K79" t="str">
            <v>×</v>
          </cell>
          <cell r="L79">
            <v>0.16</v>
          </cell>
        </row>
        <row r="81">
          <cell r="A81">
            <v>12</v>
          </cell>
          <cell r="B81" t="str">
            <v>灯ろう</v>
          </cell>
          <cell r="C81" t="str">
            <v>整備</v>
          </cell>
          <cell r="D81" t="str">
            <v>300ｍｍ</v>
          </cell>
          <cell r="E81" t="str">
            <v>個</v>
          </cell>
          <cell r="F81">
            <v>1</v>
          </cell>
          <cell r="G81">
            <v>207000</v>
          </cell>
          <cell r="H81">
            <v>207000</v>
          </cell>
          <cell r="I81" t="str">
            <v>市価</v>
          </cell>
        </row>
        <row r="83">
          <cell r="A83">
            <v>13</v>
          </cell>
          <cell r="B83" t="str">
            <v>灯ろう・レンズ</v>
          </cell>
          <cell r="C83" t="str">
            <v>取付</v>
          </cell>
          <cell r="D83" t="str">
            <v>300ｍｍ</v>
          </cell>
          <cell r="E83" t="str">
            <v>式</v>
          </cell>
          <cell r="F83">
            <v>1</v>
          </cell>
          <cell r="H83">
            <v>58938</v>
          </cell>
          <cell r="I83" t="str">
            <v>電通 P2-29</v>
          </cell>
          <cell r="T83">
            <v>6</v>
          </cell>
        </row>
        <row r="84">
          <cell r="C84" t="str">
            <v>電工</v>
          </cell>
          <cell r="E84" t="str">
            <v>人</v>
          </cell>
          <cell r="F84">
            <v>1</v>
          </cell>
          <cell r="G84">
            <v>16700</v>
          </cell>
          <cell r="H84">
            <v>16700</v>
          </cell>
          <cell r="I84" t="str">
            <v>長崎</v>
          </cell>
        </row>
        <row r="85">
          <cell r="C85" t="str">
            <v>普通作業員</v>
          </cell>
          <cell r="E85" t="str">
            <v>人</v>
          </cell>
          <cell r="F85">
            <v>2.5</v>
          </cell>
          <cell r="G85">
            <v>14000</v>
          </cell>
          <cell r="H85">
            <v>35000</v>
          </cell>
          <cell r="I85" t="str">
            <v>長崎</v>
          </cell>
        </row>
        <row r="86">
          <cell r="C86" t="str">
            <v>その他</v>
          </cell>
          <cell r="D86" t="str">
            <v>（労）×１４％</v>
          </cell>
          <cell r="E86" t="str">
            <v>式</v>
          </cell>
          <cell r="F86">
            <v>1</v>
          </cell>
          <cell r="H86">
            <v>7238</v>
          </cell>
          <cell r="I86">
            <v>51700</v>
          </cell>
          <cell r="K86" t="str">
            <v>×</v>
          </cell>
          <cell r="L86">
            <v>0.14000000000000001</v>
          </cell>
        </row>
        <row r="88">
          <cell r="A88">
            <v>14</v>
          </cell>
          <cell r="B88" t="str">
            <v>灯ろう台</v>
          </cell>
          <cell r="C88" t="str">
            <v>取付</v>
          </cell>
          <cell r="D88" t="str">
            <v>300ｍｍ</v>
          </cell>
          <cell r="E88" t="str">
            <v>個</v>
          </cell>
          <cell r="F88">
            <v>1</v>
          </cell>
          <cell r="H88">
            <v>198359</v>
          </cell>
          <cell r="I88" t="str">
            <v>電通 P2-29</v>
          </cell>
        </row>
        <row r="89">
          <cell r="C89" t="str">
            <v>灯ろう台</v>
          </cell>
          <cell r="D89" t="str">
            <v>300ｍｍ</v>
          </cell>
          <cell r="E89" t="str">
            <v>個</v>
          </cell>
          <cell r="F89">
            <v>1</v>
          </cell>
          <cell r="G89">
            <v>163000</v>
          </cell>
          <cell r="H89">
            <v>163000</v>
          </cell>
          <cell r="I89" t="str">
            <v>市価</v>
          </cell>
        </row>
        <row r="90">
          <cell r="C90" t="str">
            <v>ケミカルアンカー</v>
          </cell>
          <cell r="D90" t="str">
            <v>R16</v>
          </cell>
          <cell r="E90" t="str">
            <v>個</v>
          </cell>
          <cell r="F90">
            <v>4</v>
          </cell>
          <cell r="G90">
            <v>475</v>
          </cell>
          <cell r="H90">
            <v>1900</v>
          </cell>
          <cell r="I90" t="str">
            <v>物 P49</v>
          </cell>
        </row>
        <row r="91">
          <cell r="C91" t="str">
            <v>電工</v>
          </cell>
          <cell r="E91" t="str">
            <v>人</v>
          </cell>
          <cell r="F91">
            <v>0.5</v>
          </cell>
          <cell r="G91">
            <v>16700</v>
          </cell>
          <cell r="H91">
            <v>8350</v>
          </cell>
          <cell r="I91" t="str">
            <v>長崎</v>
          </cell>
          <cell r="T91">
            <v>6</v>
          </cell>
        </row>
        <row r="92">
          <cell r="C92" t="str">
            <v>普通作業員</v>
          </cell>
          <cell r="E92" t="str">
            <v>人</v>
          </cell>
          <cell r="F92">
            <v>1.5</v>
          </cell>
          <cell r="G92">
            <v>14000</v>
          </cell>
          <cell r="H92">
            <v>21000</v>
          </cell>
          <cell r="I92" t="str">
            <v>長崎</v>
          </cell>
        </row>
        <row r="93">
          <cell r="C93" t="str">
            <v>その他</v>
          </cell>
          <cell r="D93" t="str">
            <v>（労）×１４％</v>
          </cell>
          <cell r="E93" t="str">
            <v>式</v>
          </cell>
          <cell r="F93">
            <v>1</v>
          </cell>
          <cell r="H93">
            <v>4109</v>
          </cell>
          <cell r="I93">
            <v>29350</v>
          </cell>
          <cell r="K93" t="str">
            <v>×</v>
          </cell>
          <cell r="L93">
            <v>0.14000000000000001</v>
          </cell>
        </row>
        <row r="94">
          <cell r="A94">
            <v>15</v>
          </cell>
          <cell r="B94" t="str">
            <v>碍子</v>
          </cell>
          <cell r="C94" t="str">
            <v>取付</v>
          </cell>
          <cell r="D94" t="str">
            <v>低圧引留</v>
          </cell>
          <cell r="E94" t="str">
            <v>個</v>
          </cell>
          <cell r="F94">
            <v>1</v>
          </cell>
          <cell r="H94">
            <v>2076.14</v>
          </cell>
          <cell r="I94" t="str">
            <v>電通 P2-17</v>
          </cell>
        </row>
        <row r="95">
          <cell r="C95" t="str">
            <v>碍子</v>
          </cell>
          <cell r="D95" t="str">
            <v>低圧引留</v>
          </cell>
          <cell r="E95" t="str">
            <v>個</v>
          </cell>
          <cell r="F95">
            <v>1</v>
          </cell>
          <cell r="G95">
            <v>185</v>
          </cell>
          <cell r="H95">
            <v>185</v>
          </cell>
          <cell r="I95" t="str">
            <v>積 P572</v>
          </cell>
        </row>
        <row r="96">
          <cell r="C96" t="str">
            <v>ストラップ</v>
          </cell>
          <cell r="D96" t="str">
            <v>3t×38×280</v>
          </cell>
          <cell r="E96" t="str">
            <v>個</v>
          </cell>
          <cell r="F96">
            <v>2</v>
          </cell>
          <cell r="G96">
            <v>79</v>
          </cell>
          <cell r="H96">
            <v>158</v>
          </cell>
          <cell r="I96" t="str">
            <v>積 P564</v>
          </cell>
        </row>
        <row r="97">
          <cell r="C97" t="str">
            <v>ボルトナット</v>
          </cell>
          <cell r="D97" t="str">
            <v>M16×120</v>
          </cell>
          <cell r="E97" t="str">
            <v>本</v>
          </cell>
          <cell r="F97">
            <v>2</v>
          </cell>
          <cell r="G97">
            <v>166</v>
          </cell>
          <cell r="H97">
            <v>332</v>
          </cell>
          <cell r="I97" t="str">
            <v>物 P553</v>
          </cell>
        </row>
        <row r="98">
          <cell r="C98" t="str">
            <v>コ型金物</v>
          </cell>
          <cell r="D98" t="str">
            <v>碍子金具</v>
          </cell>
          <cell r="E98" t="str">
            <v>個</v>
          </cell>
          <cell r="F98">
            <v>1</v>
          </cell>
          <cell r="G98">
            <v>670</v>
          </cell>
          <cell r="H98">
            <v>670</v>
          </cell>
          <cell r="I98" t="str">
            <v>積 P566</v>
          </cell>
        </row>
        <row r="99">
          <cell r="C99" t="str">
            <v>バインド線</v>
          </cell>
          <cell r="D99" t="str">
            <v>IV1.6φ</v>
          </cell>
          <cell r="E99" t="str">
            <v>ｍ</v>
          </cell>
          <cell r="F99">
            <v>1.8</v>
          </cell>
          <cell r="G99">
            <v>10.5</v>
          </cell>
          <cell r="H99">
            <v>18.899999999999999</v>
          </cell>
          <cell r="I99" t="str">
            <v>物 P466・積 P479</v>
          </cell>
        </row>
        <row r="100">
          <cell r="C100" t="str">
            <v>電工</v>
          </cell>
          <cell r="E100" t="str">
            <v>人</v>
          </cell>
          <cell r="F100">
            <v>0.02</v>
          </cell>
          <cell r="G100">
            <v>16700</v>
          </cell>
          <cell r="H100">
            <v>334</v>
          </cell>
          <cell r="I100" t="str">
            <v>長崎</v>
          </cell>
        </row>
        <row r="101">
          <cell r="C101" t="str">
            <v>普通作業員</v>
          </cell>
          <cell r="E101" t="str">
            <v>人</v>
          </cell>
          <cell r="F101">
            <v>0.02</v>
          </cell>
          <cell r="G101">
            <v>14000</v>
          </cell>
          <cell r="H101">
            <v>280</v>
          </cell>
          <cell r="I101" t="str">
            <v>長崎</v>
          </cell>
        </row>
        <row r="102">
          <cell r="C102" t="str">
            <v>その他</v>
          </cell>
          <cell r="D102" t="str">
            <v>（労）×１６％</v>
          </cell>
          <cell r="E102" t="str">
            <v>式</v>
          </cell>
          <cell r="F102">
            <v>1</v>
          </cell>
          <cell r="H102">
            <v>98.24</v>
          </cell>
          <cell r="I102">
            <v>614</v>
          </cell>
          <cell r="K102" t="str">
            <v>×</v>
          </cell>
          <cell r="L102">
            <v>0.16</v>
          </cell>
        </row>
        <row r="104">
          <cell r="A104">
            <v>16</v>
          </cell>
          <cell r="B104" t="str">
            <v>碍子</v>
          </cell>
          <cell r="C104" t="str">
            <v>取付</v>
          </cell>
          <cell r="D104" t="str">
            <v>低圧引留</v>
          </cell>
          <cell r="E104" t="str">
            <v>個</v>
          </cell>
          <cell r="F104">
            <v>1</v>
          </cell>
          <cell r="H104">
            <v>2219.54</v>
          </cell>
          <cell r="I104" t="str">
            <v>電通 P2-17</v>
          </cell>
        </row>
        <row r="105">
          <cell r="C105" t="str">
            <v>碍子</v>
          </cell>
          <cell r="D105" t="str">
            <v>低圧引留</v>
          </cell>
          <cell r="E105" t="str">
            <v>個</v>
          </cell>
          <cell r="F105">
            <v>1</v>
          </cell>
          <cell r="G105">
            <v>185</v>
          </cell>
          <cell r="H105">
            <v>185</v>
          </cell>
          <cell r="I105" t="str">
            <v>積 P572</v>
          </cell>
        </row>
        <row r="106">
          <cell r="C106" t="str">
            <v>ストラップ</v>
          </cell>
          <cell r="D106" t="str">
            <v>3t×38×280</v>
          </cell>
          <cell r="E106" t="str">
            <v>個</v>
          </cell>
          <cell r="F106">
            <v>2</v>
          </cell>
          <cell r="G106">
            <v>79</v>
          </cell>
          <cell r="H106">
            <v>158</v>
          </cell>
          <cell r="I106" t="str">
            <v>積 P564</v>
          </cell>
        </row>
        <row r="107">
          <cell r="C107" t="str">
            <v>ボルトナット</v>
          </cell>
          <cell r="D107" t="str">
            <v>M16×120</v>
          </cell>
          <cell r="E107" t="str">
            <v>本</v>
          </cell>
          <cell r="F107">
            <v>2</v>
          </cell>
          <cell r="G107">
            <v>166</v>
          </cell>
          <cell r="H107">
            <v>332</v>
          </cell>
          <cell r="I107" t="str">
            <v>物 P553</v>
          </cell>
        </row>
        <row r="108">
          <cell r="C108" t="str">
            <v>ステンレスボルト</v>
          </cell>
          <cell r="D108" t="str">
            <v>M16×50</v>
          </cell>
          <cell r="E108" t="str">
            <v>本</v>
          </cell>
          <cell r="F108">
            <v>1</v>
          </cell>
          <cell r="G108">
            <v>77.400000000000006</v>
          </cell>
          <cell r="H108">
            <v>77.400000000000006</v>
          </cell>
          <cell r="I108" t="str">
            <v>物 P53</v>
          </cell>
        </row>
        <row r="109">
          <cell r="C109" t="str">
            <v>ステンレスナット</v>
          </cell>
          <cell r="D109" t="str">
            <v>M16</v>
          </cell>
          <cell r="E109" t="str">
            <v>個</v>
          </cell>
          <cell r="F109">
            <v>2</v>
          </cell>
          <cell r="G109">
            <v>28.1</v>
          </cell>
          <cell r="H109">
            <v>56.2</v>
          </cell>
          <cell r="I109" t="str">
            <v>積 P53</v>
          </cell>
        </row>
        <row r="110">
          <cell r="C110" t="str">
            <v>ステンレス座金</v>
          </cell>
          <cell r="D110" t="str">
            <v>M16</v>
          </cell>
          <cell r="E110" t="str">
            <v>枚</v>
          </cell>
          <cell r="F110">
            <v>1</v>
          </cell>
          <cell r="G110">
            <v>9.8000000000000007</v>
          </cell>
          <cell r="H110">
            <v>9.8000000000000007</v>
          </cell>
          <cell r="I110" t="str">
            <v>積 P53</v>
          </cell>
        </row>
        <row r="111">
          <cell r="C111" t="str">
            <v>コ型金物</v>
          </cell>
          <cell r="D111" t="str">
            <v>碍子金具</v>
          </cell>
          <cell r="E111" t="str">
            <v>個</v>
          </cell>
          <cell r="F111">
            <v>1</v>
          </cell>
          <cell r="G111">
            <v>670</v>
          </cell>
          <cell r="H111">
            <v>670</v>
          </cell>
          <cell r="I111" t="str">
            <v>積 P566</v>
          </cell>
        </row>
        <row r="112">
          <cell r="C112" t="str">
            <v>バインド線</v>
          </cell>
          <cell r="D112" t="str">
            <v>IV1.6φ</v>
          </cell>
          <cell r="E112" t="str">
            <v>ｍ</v>
          </cell>
          <cell r="F112">
            <v>1.8</v>
          </cell>
          <cell r="G112">
            <v>10.5</v>
          </cell>
          <cell r="H112">
            <v>18.899999999999999</v>
          </cell>
          <cell r="I112" t="str">
            <v>物 P466・積 P479</v>
          </cell>
        </row>
        <row r="113">
          <cell r="C113" t="str">
            <v>電工</v>
          </cell>
          <cell r="E113" t="str">
            <v>人</v>
          </cell>
          <cell r="F113">
            <v>0.02</v>
          </cell>
          <cell r="G113">
            <v>16700</v>
          </cell>
          <cell r="H113">
            <v>334</v>
          </cell>
          <cell r="I113" t="str">
            <v>長崎</v>
          </cell>
        </row>
        <row r="114">
          <cell r="C114" t="str">
            <v>普通作業員</v>
          </cell>
          <cell r="E114" t="str">
            <v>人</v>
          </cell>
          <cell r="F114">
            <v>0.02</v>
          </cell>
          <cell r="G114">
            <v>14000</v>
          </cell>
          <cell r="H114">
            <v>280</v>
          </cell>
          <cell r="I114" t="str">
            <v>長崎</v>
          </cell>
        </row>
        <row r="115">
          <cell r="C115" t="str">
            <v>その他</v>
          </cell>
          <cell r="D115" t="str">
            <v>（労）×１６％</v>
          </cell>
          <cell r="E115" t="str">
            <v>式</v>
          </cell>
          <cell r="F115">
            <v>1</v>
          </cell>
          <cell r="H115">
            <v>98.24</v>
          </cell>
          <cell r="I115">
            <v>614</v>
          </cell>
          <cell r="K115" t="str">
            <v>×</v>
          </cell>
          <cell r="L115">
            <v>0.16</v>
          </cell>
        </row>
        <row r="117">
          <cell r="A117">
            <v>17</v>
          </cell>
          <cell r="B117" t="str">
            <v>電線管</v>
          </cell>
          <cell r="C117" t="str">
            <v>補修</v>
          </cell>
          <cell r="E117" t="str">
            <v>式</v>
          </cell>
          <cell r="F117">
            <v>1</v>
          </cell>
          <cell r="H117">
            <v>794.24</v>
          </cell>
        </row>
        <row r="118">
          <cell r="C118" t="str">
            <v>エントランスキャップ</v>
          </cell>
          <cell r="D118" t="str">
            <v>HIVE28用</v>
          </cell>
          <cell r="E118" t="str">
            <v>個</v>
          </cell>
          <cell r="F118">
            <v>1</v>
          </cell>
          <cell r="G118">
            <v>372</v>
          </cell>
          <cell r="H118">
            <v>372</v>
          </cell>
          <cell r="I118" t="str">
            <v>積 P519</v>
          </cell>
        </row>
        <row r="119">
          <cell r="C119" t="str">
            <v>特殊作業員</v>
          </cell>
          <cell r="E119" t="str">
            <v>人</v>
          </cell>
          <cell r="F119">
            <v>0.02</v>
          </cell>
          <cell r="G119">
            <v>18200</v>
          </cell>
          <cell r="H119">
            <v>364</v>
          </cell>
          <cell r="I119" t="str">
            <v>長崎</v>
          </cell>
          <cell r="X119">
            <v>255</v>
          </cell>
        </row>
        <row r="120">
          <cell r="C120" t="str">
            <v>その他</v>
          </cell>
          <cell r="D120" t="str">
            <v>（労）×１６％</v>
          </cell>
          <cell r="E120" t="str">
            <v>式</v>
          </cell>
          <cell r="F120">
            <v>1</v>
          </cell>
          <cell r="H120">
            <v>58.24</v>
          </cell>
          <cell r="I120">
            <v>364</v>
          </cell>
          <cell r="K120" t="str">
            <v>×</v>
          </cell>
          <cell r="L120">
            <v>0.16</v>
          </cell>
        </row>
        <row r="122">
          <cell r="A122">
            <v>18</v>
          </cell>
          <cell r="B122" t="str">
            <v>架線</v>
          </cell>
          <cell r="C122" t="str">
            <v>弛度調整</v>
          </cell>
          <cell r="D122" t="str">
            <v>OW5.0φ</v>
          </cell>
          <cell r="E122" t="str">
            <v>ｋｍ</v>
          </cell>
          <cell r="F122">
            <v>1</v>
          </cell>
          <cell r="H122">
            <v>141858.72</v>
          </cell>
          <cell r="I122" t="str">
            <v>電通 P2-17</v>
          </cell>
          <cell r="T122">
            <v>10</v>
          </cell>
        </row>
        <row r="123">
          <cell r="C123" t="str">
            <v>電工</v>
          </cell>
          <cell r="E123" t="str">
            <v>人</v>
          </cell>
          <cell r="F123">
            <v>5.16</v>
          </cell>
          <cell r="G123">
            <v>16700</v>
          </cell>
          <cell r="H123">
            <v>86172</v>
          </cell>
          <cell r="I123" t="str">
            <v>長崎</v>
          </cell>
          <cell r="J123">
            <v>8.6</v>
          </cell>
          <cell r="K123" t="str">
            <v>×</v>
          </cell>
          <cell r="L123">
            <v>0.6</v>
          </cell>
        </row>
        <row r="124">
          <cell r="C124" t="str">
            <v>普通作業員</v>
          </cell>
          <cell r="E124" t="str">
            <v>人</v>
          </cell>
          <cell r="F124">
            <v>2.58</v>
          </cell>
          <cell r="G124">
            <v>14000</v>
          </cell>
          <cell r="H124">
            <v>36120</v>
          </cell>
          <cell r="I124" t="str">
            <v>長崎</v>
          </cell>
          <cell r="J124">
            <v>4.3</v>
          </cell>
          <cell r="K124" t="str">
            <v>×</v>
          </cell>
          <cell r="L124">
            <v>0.6</v>
          </cell>
        </row>
        <row r="125">
          <cell r="C125" t="str">
            <v>その他</v>
          </cell>
          <cell r="D125" t="str">
            <v>（労）×１６％</v>
          </cell>
          <cell r="E125" t="str">
            <v>式</v>
          </cell>
          <cell r="F125">
            <v>1</v>
          </cell>
          <cell r="H125">
            <v>19566.72</v>
          </cell>
          <cell r="I125">
            <v>122292</v>
          </cell>
          <cell r="K125" t="str">
            <v>×</v>
          </cell>
          <cell r="L125">
            <v>0.16</v>
          </cell>
        </row>
        <row r="127">
          <cell r="A127">
            <v>19</v>
          </cell>
          <cell r="B127" t="str">
            <v>架線</v>
          </cell>
          <cell r="C127" t="str">
            <v>弛度調整</v>
          </cell>
          <cell r="D127" t="str">
            <v>OW38sq</v>
          </cell>
          <cell r="E127" t="str">
            <v>ｋｍ</v>
          </cell>
          <cell r="F127">
            <v>1</v>
          </cell>
          <cell r="H127">
            <v>184934.16</v>
          </cell>
          <cell r="I127" t="str">
            <v>電通 P2-17</v>
          </cell>
        </row>
        <row r="128">
          <cell r="C128" t="str">
            <v>電工</v>
          </cell>
          <cell r="E128" t="str">
            <v>人</v>
          </cell>
          <cell r="F128">
            <v>6.78</v>
          </cell>
          <cell r="G128">
            <v>16700</v>
          </cell>
          <cell r="H128">
            <v>113226</v>
          </cell>
          <cell r="I128" t="str">
            <v>長崎</v>
          </cell>
          <cell r="J128">
            <v>11.3</v>
          </cell>
          <cell r="K128" t="str">
            <v>×</v>
          </cell>
          <cell r="L128">
            <v>0.6</v>
          </cell>
        </row>
        <row r="129">
          <cell r="C129" t="str">
            <v>普通作業員</v>
          </cell>
          <cell r="E129" t="str">
            <v>人</v>
          </cell>
          <cell r="F129">
            <v>3.3</v>
          </cell>
          <cell r="G129">
            <v>14000</v>
          </cell>
          <cell r="H129">
            <v>46200</v>
          </cell>
          <cell r="I129" t="str">
            <v>長崎</v>
          </cell>
          <cell r="J129">
            <v>5.5</v>
          </cell>
          <cell r="K129" t="str">
            <v>×</v>
          </cell>
          <cell r="L129">
            <v>0.6</v>
          </cell>
        </row>
        <row r="130">
          <cell r="C130" t="str">
            <v>その他</v>
          </cell>
          <cell r="D130" t="str">
            <v>（労）×１６％</v>
          </cell>
          <cell r="E130" t="str">
            <v>式</v>
          </cell>
          <cell r="F130">
            <v>1</v>
          </cell>
          <cell r="H130">
            <v>25508.16</v>
          </cell>
          <cell r="I130">
            <v>159426</v>
          </cell>
          <cell r="K130" t="str">
            <v>×</v>
          </cell>
          <cell r="L130">
            <v>0.16</v>
          </cell>
        </row>
        <row r="132">
          <cell r="A132">
            <v>20</v>
          </cell>
          <cell r="B132" t="str">
            <v>機械はつり</v>
          </cell>
          <cell r="D132" t="str">
            <v>50φ×250mm</v>
          </cell>
          <cell r="E132" t="str">
            <v>箇所</v>
          </cell>
          <cell r="F132">
            <v>1</v>
          </cell>
          <cell r="H132">
            <v>8444.7999999999993</v>
          </cell>
          <cell r="I132" t="str">
            <v>建 P428</v>
          </cell>
        </row>
        <row r="133">
          <cell r="C133" t="str">
            <v>特殊作業員</v>
          </cell>
          <cell r="E133" t="str">
            <v>人</v>
          </cell>
          <cell r="F133">
            <v>0.4</v>
          </cell>
          <cell r="G133">
            <v>18200</v>
          </cell>
          <cell r="H133">
            <v>7280</v>
          </cell>
          <cell r="I133" t="str">
            <v>長崎</v>
          </cell>
        </row>
        <row r="134">
          <cell r="C134" t="str">
            <v>その他</v>
          </cell>
          <cell r="D134" t="str">
            <v>（労）×１６％</v>
          </cell>
          <cell r="E134" t="str">
            <v>式</v>
          </cell>
          <cell r="F134">
            <v>1</v>
          </cell>
          <cell r="H134">
            <v>1164.8</v>
          </cell>
          <cell r="I134">
            <v>7280</v>
          </cell>
          <cell r="K134" t="str">
            <v>×</v>
          </cell>
          <cell r="L134">
            <v>0.16</v>
          </cell>
        </row>
        <row r="140">
          <cell r="A140">
            <v>21</v>
          </cell>
          <cell r="B140" t="str">
            <v>電線</v>
          </cell>
          <cell r="C140" t="str">
            <v>取付</v>
          </cell>
          <cell r="D140" t="str">
            <v>VVR8.0sq×2C</v>
          </cell>
          <cell r="E140" t="str">
            <v>ｍ</v>
          </cell>
          <cell r="F140">
            <v>1</v>
          </cell>
          <cell r="H140">
            <v>592.23</v>
          </cell>
          <cell r="I140" t="str">
            <v>建 P206</v>
          </cell>
          <cell r="T140">
            <v>1</v>
          </cell>
        </row>
        <row r="141">
          <cell r="C141" t="str">
            <v>電線</v>
          </cell>
          <cell r="D141" t="str">
            <v>VVR8.0sq×2C</v>
          </cell>
          <cell r="E141" t="str">
            <v>ｍ</v>
          </cell>
          <cell r="F141">
            <v>1.1000000000000001</v>
          </cell>
          <cell r="G141">
            <v>127</v>
          </cell>
          <cell r="H141">
            <v>139.69999999999999</v>
          </cell>
          <cell r="I141" t="str">
            <v>積 P481</v>
          </cell>
        </row>
        <row r="142">
          <cell r="C142" t="str">
            <v>雑材料</v>
          </cell>
          <cell r="D142" t="str">
            <v>（材）×５％</v>
          </cell>
          <cell r="E142" t="str">
            <v>式</v>
          </cell>
          <cell r="F142">
            <v>1</v>
          </cell>
          <cell r="H142">
            <v>6.98</v>
          </cell>
          <cell r="I142">
            <v>139.69999999999999</v>
          </cell>
          <cell r="K142" t="str">
            <v>×</v>
          </cell>
          <cell r="L142">
            <v>0.05</v>
          </cell>
        </row>
        <row r="143">
          <cell r="C143" t="str">
            <v>電工</v>
          </cell>
          <cell r="E143" t="str">
            <v>人</v>
          </cell>
          <cell r="F143">
            <v>2.3E-2</v>
          </cell>
          <cell r="G143">
            <v>16700</v>
          </cell>
          <cell r="H143">
            <v>384.1</v>
          </cell>
          <cell r="I143" t="str">
            <v>長崎</v>
          </cell>
        </row>
        <row r="144">
          <cell r="C144" t="str">
            <v>その他</v>
          </cell>
          <cell r="D144" t="str">
            <v>（労）×１６％</v>
          </cell>
          <cell r="E144" t="str">
            <v>式</v>
          </cell>
          <cell r="F144">
            <v>1</v>
          </cell>
          <cell r="H144">
            <v>61.45</v>
          </cell>
          <cell r="I144">
            <v>384.1</v>
          </cell>
          <cell r="K144" t="str">
            <v>×</v>
          </cell>
          <cell r="L144">
            <v>0.16</v>
          </cell>
        </row>
        <row r="146">
          <cell r="A146">
            <v>22</v>
          </cell>
          <cell r="B146" t="str">
            <v>配管</v>
          </cell>
          <cell r="C146" t="str">
            <v>取付</v>
          </cell>
          <cell r="D146" t="str">
            <v>引込み</v>
          </cell>
          <cell r="E146" t="str">
            <v>式</v>
          </cell>
          <cell r="F146">
            <v>1</v>
          </cell>
          <cell r="H146">
            <v>48115.63</v>
          </cell>
          <cell r="X146">
            <v>6</v>
          </cell>
          <cell r="Y146">
            <v>21</v>
          </cell>
        </row>
        <row r="147">
          <cell r="C147" t="str">
            <v>電線管</v>
          </cell>
          <cell r="D147" t="str">
            <v>HIVE28</v>
          </cell>
          <cell r="E147" t="str">
            <v>ｍ</v>
          </cell>
          <cell r="F147">
            <v>7</v>
          </cell>
          <cell r="G147">
            <v>1738.78</v>
          </cell>
          <cell r="H147">
            <v>12171.46</v>
          </cell>
          <cell r="I147" t="str">
            <v>一位代価5</v>
          </cell>
          <cell r="Y147">
            <v>892.5</v>
          </cell>
        </row>
        <row r="148">
          <cell r="C148" t="str">
            <v>電線管</v>
          </cell>
          <cell r="D148" t="str">
            <v>VE22</v>
          </cell>
          <cell r="E148" t="str">
            <v>ｍ</v>
          </cell>
          <cell r="F148">
            <v>3</v>
          </cell>
          <cell r="G148">
            <v>1337.3899999999999</v>
          </cell>
          <cell r="H148">
            <v>4012.17</v>
          </cell>
          <cell r="I148" t="str">
            <v>一位代価7</v>
          </cell>
          <cell r="X148">
            <v>255</v>
          </cell>
        </row>
        <row r="149">
          <cell r="C149" t="str">
            <v>エントランスキャップ</v>
          </cell>
          <cell r="D149" t="str">
            <v>HIVE28用</v>
          </cell>
          <cell r="E149" t="str">
            <v>個</v>
          </cell>
          <cell r="F149">
            <v>1</v>
          </cell>
          <cell r="G149">
            <v>372</v>
          </cell>
          <cell r="H149">
            <v>372</v>
          </cell>
          <cell r="I149" t="str">
            <v>積 P519</v>
          </cell>
        </row>
        <row r="150">
          <cell r="C150" t="str">
            <v>ステンレスサドル</v>
          </cell>
          <cell r="D150" t="str">
            <v>SUS304</v>
          </cell>
          <cell r="E150" t="str">
            <v>個</v>
          </cell>
          <cell r="F150">
            <v>15</v>
          </cell>
          <cell r="G150">
            <v>1600</v>
          </cell>
          <cell r="H150">
            <v>24000</v>
          </cell>
          <cell r="I150" t="str">
            <v>市価</v>
          </cell>
        </row>
        <row r="151">
          <cell r="C151" t="str">
            <v>ホークアンカーボルト</v>
          </cell>
          <cell r="D151" t="str">
            <v>SUS304 B870</v>
          </cell>
          <cell r="E151" t="str">
            <v>個</v>
          </cell>
          <cell r="F151">
            <v>30</v>
          </cell>
          <cell r="G151">
            <v>230</v>
          </cell>
          <cell r="H151">
            <v>6900</v>
          </cell>
          <cell r="I151" t="str">
            <v>物 P45</v>
          </cell>
        </row>
        <row r="152">
          <cell r="C152" t="str">
            <v>プルボックス</v>
          </cell>
          <cell r="D152" t="str">
            <v>樹脂製 150×150×100</v>
          </cell>
          <cell r="E152" t="str">
            <v>個</v>
          </cell>
          <cell r="F152">
            <v>1</v>
          </cell>
          <cell r="G152">
            <v>660</v>
          </cell>
          <cell r="H152">
            <v>660</v>
          </cell>
          <cell r="I152" t="str">
            <v>物 P519</v>
          </cell>
        </row>
        <row r="154">
          <cell r="A154">
            <v>23</v>
          </cell>
          <cell r="B154" t="str">
            <v>架線</v>
          </cell>
          <cell r="C154" t="str">
            <v>弛度調整</v>
          </cell>
          <cell r="D154" t="str">
            <v>DV2.6φ</v>
          </cell>
          <cell r="E154" t="str">
            <v>ｋｍ</v>
          </cell>
          <cell r="F154">
            <v>1</v>
          </cell>
          <cell r="H154">
            <v>105757.2</v>
          </cell>
          <cell r="I154" t="str">
            <v>電通 P2-17</v>
          </cell>
        </row>
        <row r="155">
          <cell r="C155" t="str">
            <v>電工</v>
          </cell>
          <cell r="E155" t="str">
            <v>人</v>
          </cell>
          <cell r="F155">
            <v>3.9</v>
          </cell>
          <cell r="G155">
            <v>16700</v>
          </cell>
          <cell r="H155">
            <v>65130</v>
          </cell>
          <cell r="I155" t="str">
            <v>長崎</v>
          </cell>
          <cell r="J155">
            <v>6.5</v>
          </cell>
          <cell r="K155" t="str">
            <v>×</v>
          </cell>
          <cell r="L155">
            <v>0.6</v>
          </cell>
        </row>
        <row r="156">
          <cell r="C156" t="str">
            <v>普通作業員</v>
          </cell>
          <cell r="E156" t="str">
            <v>人</v>
          </cell>
          <cell r="F156">
            <v>1.86</v>
          </cell>
          <cell r="G156">
            <v>14000</v>
          </cell>
          <cell r="H156">
            <v>26040</v>
          </cell>
          <cell r="I156" t="str">
            <v>長崎</v>
          </cell>
          <cell r="J156">
            <v>3.1</v>
          </cell>
          <cell r="K156" t="str">
            <v>×</v>
          </cell>
          <cell r="L156">
            <v>0.6</v>
          </cell>
        </row>
        <row r="157">
          <cell r="C157" t="str">
            <v>その他</v>
          </cell>
          <cell r="D157" t="str">
            <v>（労）×１６％</v>
          </cell>
          <cell r="E157" t="str">
            <v>式</v>
          </cell>
          <cell r="F157">
            <v>1</v>
          </cell>
          <cell r="H157">
            <v>14587.2</v>
          </cell>
          <cell r="I157">
            <v>91170</v>
          </cell>
          <cell r="K157" t="str">
            <v>×</v>
          </cell>
          <cell r="L157">
            <v>0.16</v>
          </cell>
        </row>
        <row r="159">
          <cell r="A159">
            <v>24</v>
          </cell>
          <cell r="B159" t="str">
            <v>架線</v>
          </cell>
          <cell r="C159" t="str">
            <v>弛度調整</v>
          </cell>
          <cell r="D159" t="str">
            <v>OW5.0φ・DV2.6φ</v>
          </cell>
          <cell r="E159" t="str">
            <v>式</v>
          </cell>
          <cell r="F159">
            <v>1</v>
          </cell>
          <cell r="H159">
            <v>178422.79</v>
          </cell>
        </row>
        <row r="160">
          <cell r="C160" t="str">
            <v>弛度調整</v>
          </cell>
          <cell r="D160" t="str">
            <v>OW5.0φ</v>
          </cell>
          <cell r="E160" t="str">
            <v>km</v>
          </cell>
          <cell r="F160">
            <v>1.232</v>
          </cell>
          <cell r="G160">
            <v>141858.72</v>
          </cell>
          <cell r="H160">
            <v>174769.94</v>
          </cell>
          <cell r="I160" t="str">
            <v>一位代価18</v>
          </cell>
        </row>
        <row r="161">
          <cell r="C161" t="str">
            <v>弛度調整</v>
          </cell>
          <cell r="D161" t="str">
            <v>DV2.6φ</v>
          </cell>
          <cell r="E161" t="str">
            <v>km</v>
          </cell>
          <cell r="F161">
            <v>2.9000000000000001E-2</v>
          </cell>
          <cell r="G161">
            <v>105757.2</v>
          </cell>
          <cell r="H161">
            <v>3066.95</v>
          </cell>
          <cell r="I161" t="str">
            <v>一位代価23</v>
          </cell>
        </row>
        <row r="162">
          <cell r="C162" t="str">
            <v>バインド線</v>
          </cell>
          <cell r="D162" t="str">
            <v>IV1.6φ</v>
          </cell>
          <cell r="E162" t="str">
            <v>ｍ</v>
          </cell>
          <cell r="F162">
            <v>55.8</v>
          </cell>
          <cell r="G162">
            <v>10.5</v>
          </cell>
          <cell r="H162">
            <v>585.9</v>
          </cell>
          <cell r="I162" t="str">
            <v>物 P466・積 P479</v>
          </cell>
        </row>
        <row r="163">
          <cell r="A163">
            <v>25</v>
          </cell>
          <cell r="B163" t="str">
            <v>灯ろう・レンズ</v>
          </cell>
          <cell r="C163" t="str">
            <v>撤去</v>
          </cell>
          <cell r="D163" t="str">
            <v>375ｍｍ</v>
          </cell>
          <cell r="E163" t="str">
            <v>式</v>
          </cell>
          <cell r="F163">
            <v>1</v>
          </cell>
          <cell r="H163">
            <v>19861.650000000001</v>
          </cell>
          <cell r="I163" t="str">
            <v>電通 P2-29</v>
          </cell>
        </row>
        <row r="164">
          <cell r="C164" t="str">
            <v>電工</v>
          </cell>
          <cell r="E164" t="str">
            <v>人</v>
          </cell>
          <cell r="F164">
            <v>0.33</v>
          </cell>
          <cell r="G164">
            <v>16700</v>
          </cell>
          <cell r="H164">
            <v>5511</v>
          </cell>
          <cell r="I164" t="str">
            <v>長崎</v>
          </cell>
          <cell r="J164">
            <v>1.1000000000000001</v>
          </cell>
          <cell r="K164" t="str">
            <v>×</v>
          </cell>
          <cell r="L164">
            <v>0.3</v>
          </cell>
        </row>
        <row r="165">
          <cell r="C165" t="str">
            <v>普通作業員</v>
          </cell>
          <cell r="E165" t="str">
            <v>人</v>
          </cell>
          <cell r="F165">
            <v>0.84</v>
          </cell>
          <cell r="G165">
            <v>14000</v>
          </cell>
          <cell r="H165">
            <v>11760</v>
          </cell>
          <cell r="I165" t="str">
            <v>長崎</v>
          </cell>
          <cell r="J165">
            <v>2.8</v>
          </cell>
          <cell r="K165" t="str">
            <v>×</v>
          </cell>
          <cell r="L165">
            <v>0.3</v>
          </cell>
        </row>
        <row r="166">
          <cell r="C166" t="str">
            <v>その他</v>
          </cell>
          <cell r="D166" t="str">
            <v>（労）×１５％</v>
          </cell>
          <cell r="E166" t="str">
            <v>式</v>
          </cell>
          <cell r="F166">
            <v>1</v>
          </cell>
          <cell r="H166">
            <v>2590.65</v>
          </cell>
          <cell r="I166">
            <v>17271</v>
          </cell>
          <cell r="K166" t="str">
            <v>×</v>
          </cell>
          <cell r="L166">
            <v>0.15</v>
          </cell>
        </row>
        <row r="168">
          <cell r="A168">
            <v>26</v>
          </cell>
          <cell r="B168" t="str">
            <v>灯ろう台</v>
          </cell>
          <cell r="C168" t="str">
            <v>撤去</v>
          </cell>
          <cell r="D168" t="str">
            <v>375ｍｍ</v>
          </cell>
          <cell r="E168" t="str">
            <v>式</v>
          </cell>
          <cell r="F168">
            <v>1</v>
          </cell>
          <cell r="H168">
            <v>12633.9</v>
          </cell>
          <cell r="I168" t="str">
            <v>電通 P2-29</v>
          </cell>
        </row>
        <row r="169">
          <cell r="C169" t="str">
            <v>電工</v>
          </cell>
          <cell r="E169" t="str">
            <v>人</v>
          </cell>
          <cell r="F169">
            <v>0.18</v>
          </cell>
          <cell r="G169">
            <v>16700</v>
          </cell>
          <cell r="H169">
            <v>3006</v>
          </cell>
          <cell r="I169" t="str">
            <v>長崎</v>
          </cell>
          <cell r="J169">
            <v>0.6</v>
          </cell>
          <cell r="K169" t="str">
            <v>×</v>
          </cell>
          <cell r="L169">
            <v>0.3</v>
          </cell>
        </row>
        <row r="170">
          <cell r="C170" t="str">
            <v>普通作業員</v>
          </cell>
          <cell r="E170" t="str">
            <v>人</v>
          </cell>
          <cell r="F170">
            <v>0.56999999999999995</v>
          </cell>
          <cell r="G170">
            <v>14000</v>
          </cell>
          <cell r="H170">
            <v>7980</v>
          </cell>
          <cell r="I170" t="str">
            <v>長崎</v>
          </cell>
          <cell r="J170">
            <v>1.9</v>
          </cell>
          <cell r="K170" t="str">
            <v>×</v>
          </cell>
          <cell r="L170">
            <v>0.3</v>
          </cell>
        </row>
        <row r="171">
          <cell r="C171" t="str">
            <v>その他</v>
          </cell>
          <cell r="D171" t="str">
            <v>（労）×１５％</v>
          </cell>
          <cell r="E171" t="str">
            <v>式</v>
          </cell>
          <cell r="F171">
            <v>1</v>
          </cell>
          <cell r="H171">
            <v>1647.9</v>
          </cell>
          <cell r="I171">
            <v>10986</v>
          </cell>
          <cell r="K171" t="str">
            <v>×</v>
          </cell>
          <cell r="L171">
            <v>0.15</v>
          </cell>
        </row>
        <row r="173">
          <cell r="A173">
            <v>27</v>
          </cell>
          <cell r="B173" t="str">
            <v>管制器</v>
          </cell>
          <cell r="C173" t="str">
            <v>撤去</v>
          </cell>
          <cell r="D173" t="str">
            <v>LD-Ⅱ</v>
          </cell>
          <cell r="E173" t="str">
            <v>台</v>
          </cell>
          <cell r="F173">
            <v>1</v>
          </cell>
          <cell r="H173">
            <v>9904.9500000000007</v>
          </cell>
          <cell r="I173" t="str">
            <v>電通 P2-29</v>
          </cell>
        </row>
        <row r="174">
          <cell r="C174" t="str">
            <v>電工</v>
          </cell>
          <cell r="E174" t="str">
            <v>人</v>
          </cell>
          <cell r="F174">
            <v>0.39</v>
          </cell>
          <cell r="G174">
            <v>16700</v>
          </cell>
          <cell r="H174">
            <v>6513</v>
          </cell>
          <cell r="I174" t="str">
            <v>長崎</v>
          </cell>
          <cell r="J174">
            <v>1.3</v>
          </cell>
          <cell r="K174" t="str">
            <v>×</v>
          </cell>
          <cell r="L174">
            <v>0.3</v>
          </cell>
        </row>
        <row r="175">
          <cell r="C175" t="str">
            <v>普通作業員</v>
          </cell>
          <cell r="E175" t="str">
            <v>人</v>
          </cell>
          <cell r="F175">
            <v>0.15</v>
          </cell>
          <cell r="G175">
            <v>14000</v>
          </cell>
          <cell r="H175">
            <v>2100</v>
          </cell>
          <cell r="I175" t="str">
            <v>長崎</v>
          </cell>
          <cell r="J175">
            <v>0.5</v>
          </cell>
          <cell r="K175" t="str">
            <v>×</v>
          </cell>
          <cell r="L175">
            <v>0.3</v>
          </cell>
        </row>
        <row r="176">
          <cell r="C176" t="str">
            <v>その他</v>
          </cell>
          <cell r="D176" t="str">
            <v>（労）×１５％</v>
          </cell>
          <cell r="E176" t="str">
            <v>式</v>
          </cell>
          <cell r="F176">
            <v>1</v>
          </cell>
          <cell r="H176">
            <v>1291.95</v>
          </cell>
          <cell r="I176">
            <v>8613</v>
          </cell>
          <cell r="K176" t="str">
            <v>×</v>
          </cell>
          <cell r="L176">
            <v>0.15</v>
          </cell>
        </row>
        <row r="178">
          <cell r="A178">
            <v>28</v>
          </cell>
          <cell r="B178" t="str">
            <v>空気電池</v>
          </cell>
          <cell r="C178" t="str">
            <v>撤去</v>
          </cell>
          <cell r="D178" t="str">
            <v>AWZ-2000N</v>
          </cell>
          <cell r="E178" t="str">
            <v>組</v>
          </cell>
          <cell r="F178">
            <v>1</v>
          </cell>
          <cell r="H178">
            <v>5720.67</v>
          </cell>
          <cell r="I178" t="str">
            <v>電通 P2-30</v>
          </cell>
        </row>
        <row r="179">
          <cell r="C179" t="str">
            <v>電工</v>
          </cell>
          <cell r="E179" t="str">
            <v>人</v>
          </cell>
          <cell r="F179">
            <v>0.23499999999999999</v>
          </cell>
          <cell r="G179">
            <v>16700</v>
          </cell>
          <cell r="H179">
            <v>3924.5</v>
          </cell>
          <cell r="I179" t="str">
            <v>長崎</v>
          </cell>
          <cell r="J179">
            <v>0.47</v>
          </cell>
          <cell r="K179" t="str">
            <v>×</v>
          </cell>
          <cell r="L179">
            <v>0.5</v>
          </cell>
        </row>
        <row r="180">
          <cell r="C180" t="str">
            <v>普通作業員</v>
          </cell>
          <cell r="E180" t="str">
            <v>人</v>
          </cell>
          <cell r="F180">
            <v>7.4999999999999997E-2</v>
          </cell>
          <cell r="G180">
            <v>14000</v>
          </cell>
          <cell r="H180">
            <v>1050</v>
          </cell>
          <cell r="I180" t="str">
            <v>長崎</v>
          </cell>
          <cell r="J180">
            <v>0.15</v>
          </cell>
          <cell r="K180" t="str">
            <v>×</v>
          </cell>
          <cell r="L180">
            <v>0.5</v>
          </cell>
        </row>
        <row r="181">
          <cell r="C181" t="str">
            <v>その他</v>
          </cell>
          <cell r="D181" t="str">
            <v>（労）×１５％</v>
          </cell>
          <cell r="E181" t="str">
            <v>式</v>
          </cell>
          <cell r="F181">
            <v>1</v>
          </cell>
          <cell r="H181">
            <v>746.17</v>
          </cell>
          <cell r="I181">
            <v>4974.5</v>
          </cell>
          <cell r="K181" t="str">
            <v>×</v>
          </cell>
          <cell r="L181">
            <v>0.15</v>
          </cell>
        </row>
        <row r="186">
          <cell r="A186">
            <v>29</v>
          </cell>
          <cell r="B186" t="str">
            <v>灯ろう・レンズ</v>
          </cell>
          <cell r="C186" t="str">
            <v>撤去</v>
          </cell>
          <cell r="D186" t="str">
            <v>300ｍｍ</v>
          </cell>
          <cell r="E186" t="str">
            <v>式</v>
          </cell>
          <cell r="F186">
            <v>1</v>
          </cell>
          <cell r="H186">
            <v>17836.5</v>
          </cell>
          <cell r="I186" t="str">
            <v>電通 P2-29</v>
          </cell>
        </row>
        <row r="187">
          <cell r="C187" t="str">
            <v>電工</v>
          </cell>
          <cell r="E187" t="str">
            <v>人</v>
          </cell>
          <cell r="F187">
            <v>0.3</v>
          </cell>
          <cell r="G187">
            <v>16700</v>
          </cell>
          <cell r="H187">
            <v>5010</v>
          </cell>
          <cell r="I187" t="str">
            <v>長崎</v>
          </cell>
          <cell r="J187">
            <v>1</v>
          </cell>
          <cell r="K187" t="str">
            <v>×</v>
          </cell>
          <cell r="L187">
            <v>0.3</v>
          </cell>
        </row>
        <row r="188">
          <cell r="C188" t="str">
            <v>普通作業員</v>
          </cell>
          <cell r="E188" t="str">
            <v>人</v>
          </cell>
          <cell r="F188">
            <v>0.75</v>
          </cell>
          <cell r="G188">
            <v>14000</v>
          </cell>
          <cell r="H188">
            <v>10500</v>
          </cell>
          <cell r="I188" t="str">
            <v>長崎</v>
          </cell>
          <cell r="J188">
            <v>2.5</v>
          </cell>
          <cell r="K188" t="str">
            <v>×</v>
          </cell>
          <cell r="L188">
            <v>0.3</v>
          </cell>
        </row>
        <row r="189">
          <cell r="C189" t="str">
            <v>その他</v>
          </cell>
          <cell r="D189" t="str">
            <v>（労）×１５％</v>
          </cell>
          <cell r="E189" t="str">
            <v>式</v>
          </cell>
          <cell r="F189">
            <v>1</v>
          </cell>
          <cell r="H189">
            <v>2326.5</v>
          </cell>
          <cell r="I189">
            <v>15510</v>
          </cell>
          <cell r="K189" t="str">
            <v>×</v>
          </cell>
          <cell r="L189">
            <v>0.15</v>
          </cell>
        </row>
        <row r="191">
          <cell r="A191">
            <v>30</v>
          </cell>
          <cell r="B191" t="str">
            <v>灯ろう・レンズ</v>
          </cell>
          <cell r="C191" t="str">
            <v>撤去</v>
          </cell>
          <cell r="D191" t="str">
            <v>300ｍｍ</v>
          </cell>
          <cell r="E191" t="str">
            <v>式</v>
          </cell>
          <cell r="F191">
            <v>1</v>
          </cell>
          <cell r="H191">
            <v>29727.5</v>
          </cell>
          <cell r="I191" t="str">
            <v>電通 P2-29</v>
          </cell>
        </row>
        <row r="192">
          <cell r="C192" t="str">
            <v>電工</v>
          </cell>
          <cell r="E192" t="str">
            <v>人</v>
          </cell>
          <cell r="F192">
            <v>0.5</v>
          </cell>
          <cell r="G192">
            <v>16700</v>
          </cell>
          <cell r="H192">
            <v>8350</v>
          </cell>
          <cell r="I192" t="str">
            <v>長崎</v>
          </cell>
          <cell r="J192">
            <v>1</v>
          </cell>
          <cell r="K192" t="str">
            <v>×</v>
          </cell>
          <cell r="L192">
            <v>0.5</v>
          </cell>
        </row>
        <row r="193">
          <cell r="C193" t="str">
            <v>普通作業員</v>
          </cell>
          <cell r="E193" t="str">
            <v>人</v>
          </cell>
          <cell r="F193">
            <v>1.25</v>
          </cell>
          <cell r="G193">
            <v>14000</v>
          </cell>
          <cell r="H193">
            <v>17500</v>
          </cell>
          <cell r="I193" t="str">
            <v>長崎</v>
          </cell>
          <cell r="J193">
            <v>2.5</v>
          </cell>
          <cell r="K193" t="str">
            <v>×</v>
          </cell>
          <cell r="L193">
            <v>0.5</v>
          </cell>
        </row>
        <row r="194">
          <cell r="C194" t="str">
            <v>その他</v>
          </cell>
          <cell r="D194" t="str">
            <v>（労）×１５％</v>
          </cell>
          <cell r="E194" t="str">
            <v>式</v>
          </cell>
          <cell r="F194">
            <v>1</v>
          </cell>
          <cell r="H194">
            <v>3877.5</v>
          </cell>
          <cell r="I194">
            <v>25850</v>
          </cell>
          <cell r="K194" t="str">
            <v>×</v>
          </cell>
          <cell r="L194">
            <v>0.15</v>
          </cell>
        </row>
        <row r="196">
          <cell r="A196">
            <v>31</v>
          </cell>
          <cell r="B196" t="str">
            <v>灯ろう台</v>
          </cell>
          <cell r="C196" t="str">
            <v>撤去</v>
          </cell>
          <cell r="D196" t="str">
            <v>300ｍｍ</v>
          </cell>
          <cell r="E196" t="str">
            <v>個</v>
          </cell>
          <cell r="F196">
            <v>1</v>
          </cell>
          <cell r="H196">
            <v>10125.75</v>
          </cell>
          <cell r="I196" t="str">
            <v>電通 P2-29</v>
          </cell>
        </row>
        <row r="197">
          <cell r="C197" t="str">
            <v>電工</v>
          </cell>
          <cell r="E197" t="str">
            <v>人</v>
          </cell>
          <cell r="F197">
            <v>0.15</v>
          </cell>
          <cell r="G197">
            <v>16700</v>
          </cell>
          <cell r="H197">
            <v>2505</v>
          </cell>
          <cell r="I197" t="str">
            <v>長崎</v>
          </cell>
          <cell r="J197">
            <v>0.5</v>
          </cell>
          <cell r="K197" t="str">
            <v>×</v>
          </cell>
          <cell r="L197">
            <v>0.3</v>
          </cell>
        </row>
        <row r="198">
          <cell r="C198" t="str">
            <v>普通作業員</v>
          </cell>
          <cell r="E198" t="str">
            <v>人</v>
          </cell>
          <cell r="F198">
            <v>0.45</v>
          </cell>
          <cell r="G198">
            <v>14000</v>
          </cell>
          <cell r="H198">
            <v>6300</v>
          </cell>
          <cell r="I198" t="str">
            <v>長崎</v>
          </cell>
          <cell r="J198">
            <v>1.5</v>
          </cell>
          <cell r="K198" t="str">
            <v>×</v>
          </cell>
          <cell r="L198">
            <v>0.3</v>
          </cell>
        </row>
        <row r="199">
          <cell r="C199" t="str">
            <v>その他</v>
          </cell>
          <cell r="D199" t="str">
            <v>（労）×１５％</v>
          </cell>
          <cell r="E199" t="str">
            <v>式</v>
          </cell>
          <cell r="F199">
            <v>1</v>
          </cell>
          <cell r="H199">
            <v>1320.75</v>
          </cell>
          <cell r="I199">
            <v>8805</v>
          </cell>
          <cell r="K199" t="str">
            <v>×</v>
          </cell>
          <cell r="L199">
            <v>0.15</v>
          </cell>
        </row>
        <row r="201">
          <cell r="A201">
            <v>32</v>
          </cell>
          <cell r="B201" t="str">
            <v>電線管</v>
          </cell>
          <cell r="C201" t="str">
            <v>撤去</v>
          </cell>
          <cell r="D201" t="str">
            <v>VE16</v>
          </cell>
          <cell r="E201" t="str">
            <v>ｍ</v>
          </cell>
          <cell r="F201">
            <v>1</v>
          </cell>
          <cell r="H201">
            <v>192.05</v>
          </cell>
          <cell r="I201" t="str">
            <v>建 P578</v>
          </cell>
        </row>
        <row r="202">
          <cell r="C202" t="str">
            <v>電工</v>
          </cell>
          <cell r="E202" t="str">
            <v>人</v>
          </cell>
          <cell r="F202">
            <v>0.01</v>
          </cell>
          <cell r="G202">
            <v>16700</v>
          </cell>
          <cell r="H202">
            <v>167</v>
          </cell>
          <cell r="I202" t="str">
            <v>長崎</v>
          </cell>
          <cell r="J202">
            <v>4.3999999999999997E-2</v>
          </cell>
          <cell r="K202" t="str">
            <v>×</v>
          </cell>
          <cell r="L202">
            <v>1.2</v>
          </cell>
          <cell r="M202" t="str">
            <v>×</v>
          </cell>
          <cell r="N202">
            <v>0.2</v>
          </cell>
        </row>
        <row r="203">
          <cell r="C203" t="str">
            <v>その他</v>
          </cell>
          <cell r="D203" t="str">
            <v>（労）×１５％</v>
          </cell>
          <cell r="E203" t="str">
            <v>式</v>
          </cell>
          <cell r="F203">
            <v>1</v>
          </cell>
          <cell r="H203">
            <v>25.05</v>
          </cell>
          <cell r="I203">
            <v>167</v>
          </cell>
          <cell r="K203" t="str">
            <v>×</v>
          </cell>
          <cell r="L203">
            <v>0.15</v>
          </cell>
        </row>
        <row r="205">
          <cell r="A205">
            <v>33</v>
          </cell>
          <cell r="B205" t="str">
            <v>電線</v>
          </cell>
          <cell r="C205" t="str">
            <v>撤去</v>
          </cell>
          <cell r="D205" t="str">
            <v>2RNCT5.5sq×2C</v>
          </cell>
          <cell r="E205" t="str">
            <v>ｍ</v>
          </cell>
          <cell r="F205">
            <v>1</v>
          </cell>
          <cell r="H205">
            <v>76.819999999999993</v>
          </cell>
          <cell r="I205" t="str">
            <v>建 P206</v>
          </cell>
        </row>
        <row r="206">
          <cell r="C206" t="str">
            <v>電工</v>
          </cell>
          <cell r="E206" t="str">
            <v>人</v>
          </cell>
          <cell r="F206">
            <v>4.0000000000000001E-3</v>
          </cell>
          <cell r="G206">
            <v>16700</v>
          </cell>
          <cell r="H206">
            <v>66.8</v>
          </cell>
          <cell r="I206" t="str">
            <v>長崎</v>
          </cell>
          <cell r="J206">
            <v>2.1000000000000001E-2</v>
          </cell>
          <cell r="K206" t="str">
            <v>×</v>
          </cell>
          <cell r="L206">
            <v>0.2</v>
          </cell>
        </row>
        <row r="207">
          <cell r="C207" t="str">
            <v>その他</v>
          </cell>
          <cell r="D207" t="str">
            <v>（労）×１５％</v>
          </cell>
          <cell r="E207" t="str">
            <v>式</v>
          </cell>
          <cell r="F207">
            <v>1</v>
          </cell>
          <cell r="H207">
            <v>10.02</v>
          </cell>
          <cell r="I207">
            <v>66.8</v>
          </cell>
          <cell r="K207" t="str">
            <v>×</v>
          </cell>
          <cell r="L207">
            <v>0.15</v>
          </cell>
        </row>
        <row r="209">
          <cell r="A209">
            <v>34</v>
          </cell>
          <cell r="B209" t="str">
            <v>電線</v>
          </cell>
          <cell r="C209" t="str">
            <v>撤去</v>
          </cell>
          <cell r="D209" t="str">
            <v>VSRF2.0sq×2C</v>
          </cell>
          <cell r="E209" t="str">
            <v>ｍ</v>
          </cell>
          <cell r="F209">
            <v>1</v>
          </cell>
          <cell r="H209">
            <v>38.409999999999997</v>
          </cell>
          <cell r="I209" t="str">
            <v>建 P206</v>
          </cell>
        </row>
        <row r="210">
          <cell r="C210" t="str">
            <v>電工</v>
          </cell>
          <cell r="E210" t="str">
            <v>人</v>
          </cell>
          <cell r="F210">
            <v>2E-3</v>
          </cell>
          <cell r="G210">
            <v>16700</v>
          </cell>
          <cell r="H210">
            <v>33.4</v>
          </cell>
          <cell r="I210" t="str">
            <v>長崎</v>
          </cell>
          <cell r="J210">
            <v>1.2999999999999999E-2</v>
          </cell>
          <cell r="K210" t="str">
            <v>×</v>
          </cell>
          <cell r="L210">
            <v>0.2</v>
          </cell>
        </row>
        <row r="211">
          <cell r="C211" t="str">
            <v>その他</v>
          </cell>
          <cell r="D211" t="str">
            <v>（労）×１５％</v>
          </cell>
          <cell r="E211" t="str">
            <v>式</v>
          </cell>
          <cell r="F211">
            <v>1</v>
          </cell>
          <cell r="H211">
            <v>5.01</v>
          </cell>
          <cell r="I211">
            <v>33.4</v>
          </cell>
          <cell r="K211" t="str">
            <v>×</v>
          </cell>
          <cell r="L211">
            <v>0.15</v>
          </cell>
        </row>
        <row r="213">
          <cell r="A213">
            <v>35</v>
          </cell>
          <cell r="B213" t="str">
            <v>電線管</v>
          </cell>
          <cell r="C213" t="str">
            <v>撤去</v>
          </cell>
          <cell r="D213" t="str">
            <v>VE22</v>
          </cell>
          <cell r="E213" t="str">
            <v>ｍ</v>
          </cell>
          <cell r="F213">
            <v>1</v>
          </cell>
          <cell r="H213">
            <v>230.46</v>
          </cell>
          <cell r="I213" t="str">
            <v>建 P578</v>
          </cell>
        </row>
        <row r="214">
          <cell r="C214" t="str">
            <v>電工</v>
          </cell>
          <cell r="E214" t="str">
            <v>人</v>
          </cell>
          <cell r="F214">
            <v>1.2E-2</v>
          </cell>
          <cell r="G214">
            <v>16700</v>
          </cell>
          <cell r="H214">
            <v>200.4</v>
          </cell>
          <cell r="I214" t="str">
            <v>長崎</v>
          </cell>
          <cell r="J214">
            <v>5.3999999999999999E-2</v>
          </cell>
          <cell r="K214" t="str">
            <v>×</v>
          </cell>
          <cell r="L214">
            <v>1.2</v>
          </cell>
          <cell r="M214" t="str">
            <v>×</v>
          </cell>
          <cell r="N214">
            <v>0.2</v>
          </cell>
        </row>
        <row r="215">
          <cell r="C215" t="str">
            <v>その他</v>
          </cell>
          <cell r="D215" t="str">
            <v>（労）×１５％</v>
          </cell>
          <cell r="E215" t="str">
            <v>式</v>
          </cell>
          <cell r="F215">
            <v>1</v>
          </cell>
          <cell r="H215">
            <v>30.06</v>
          </cell>
          <cell r="I215">
            <v>200.4</v>
          </cell>
          <cell r="K215" t="str">
            <v>×</v>
          </cell>
          <cell r="L215">
            <v>0.15</v>
          </cell>
        </row>
        <row r="217">
          <cell r="A217">
            <v>36</v>
          </cell>
          <cell r="B217" t="str">
            <v>電線</v>
          </cell>
          <cell r="C217" t="str">
            <v>撤去</v>
          </cell>
          <cell r="D217" t="str">
            <v>VVR8.0sq×2C</v>
          </cell>
          <cell r="E217" t="str">
            <v>ｍ</v>
          </cell>
          <cell r="F217">
            <v>1</v>
          </cell>
          <cell r="H217">
            <v>76.819999999999993</v>
          </cell>
          <cell r="I217" t="str">
            <v>建 P206</v>
          </cell>
        </row>
        <row r="218">
          <cell r="C218" t="str">
            <v>電工</v>
          </cell>
          <cell r="E218" t="str">
            <v>人</v>
          </cell>
          <cell r="F218">
            <v>4.0000000000000001E-3</v>
          </cell>
          <cell r="G218">
            <v>16700</v>
          </cell>
          <cell r="H218">
            <v>66.8</v>
          </cell>
          <cell r="I218" t="str">
            <v>長崎</v>
          </cell>
          <cell r="J218">
            <v>2.3E-2</v>
          </cell>
          <cell r="K218" t="str">
            <v>×</v>
          </cell>
          <cell r="L218">
            <v>0.2</v>
          </cell>
        </row>
        <row r="219">
          <cell r="C219" t="str">
            <v>その他</v>
          </cell>
          <cell r="D219" t="str">
            <v>（労）×１５％</v>
          </cell>
          <cell r="E219" t="str">
            <v>式</v>
          </cell>
          <cell r="F219">
            <v>1</v>
          </cell>
          <cell r="H219">
            <v>10.02</v>
          </cell>
          <cell r="I219">
            <v>66.8</v>
          </cell>
          <cell r="K219" t="str">
            <v>×</v>
          </cell>
          <cell r="L219">
            <v>0.15</v>
          </cell>
        </row>
        <row r="221">
          <cell r="A221">
            <v>37</v>
          </cell>
          <cell r="B221" t="str">
            <v>碍子</v>
          </cell>
          <cell r="C221" t="str">
            <v>撤去</v>
          </cell>
          <cell r="D221" t="str">
            <v>低圧引留</v>
          </cell>
          <cell r="E221" t="str">
            <v>個</v>
          </cell>
          <cell r="F221">
            <v>1</v>
          </cell>
          <cell r="H221">
            <v>564.88</v>
          </cell>
          <cell r="I221" t="str">
            <v>電通 P2-17</v>
          </cell>
        </row>
        <row r="222">
          <cell r="C222" t="str">
            <v>電工</v>
          </cell>
          <cell r="E222" t="str">
            <v>人</v>
          </cell>
          <cell r="F222">
            <v>1.6E-2</v>
          </cell>
          <cell r="G222">
            <v>16700</v>
          </cell>
          <cell r="H222">
            <v>267.2</v>
          </cell>
          <cell r="I222" t="str">
            <v>長崎</v>
          </cell>
          <cell r="J222">
            <v>0.02</v>
          </cell>
          <cell r="K222" t="str">
            <v>×</v>
          </cell>
          <cell r="L222">
            <v>0.8</v>
          </cell>
        </row>
        <row r="223">
          <cell r="C223" t="str">
            <v>普通作業員</v>
          </cell>
          <cell r="E223" t="str">
            <v>人</v>
          </cell>
          <cell r="F223">
            <v>1.6E-2</v>
          </cell>
          <cell r="G223">
            <v>14000</v>
          </cell>
          <cell r="H223">
            <v>224</v>
          </cell>
          <cell r="I223" t="str">
            <v>長崎</v>
          </cell>
          <cell r="J223">
            <v>0.02</v>
          </cell>
          <cell r="K223" t="str">
            <v>×</v>
          </cell>
          <cell r="L223">
            <v>0.8</v>
          </cell>
        </row>
        <row r="224">
          <cell r="C224" t="str">
            <v>その他</v>
          </cell>
          <cell r="D224" t="str">
            <v>（労）×１５％</v>
          </cell>
          <cell r="E224" t="str">
            <v>式</v>
          </cell>
          <cell r="F224">
            <v>1</v>
          </cell>
          <cell r="H224">
            <v>73.680000000000007</v>
          </cell>
          <cell r="I224">
            <v>491.2</v>
          </cell>
          <cell r="K224" t="str">
            <v>×</v>
          </cell>
          <cell r="L224">
            <v>0.15</v>
          </cell>
        </row>
        <row r="226">
          <cell r="A226">
            <v>38</v>
          </cell>
          <cell r="B226" t="str">
            <v>ライトバン</v>
          </cell>
          <cell r="C226" t="str">
            <v>2000CC 94ps</v>
          </cell>
          <cell r="E226" t="str">
            <v>日</v>
          </cell>
          <cell r="F226">
            <v>1</v>
          </cell>
          <cell r="H226">
            <v>3767.13</v>
          </cell>
          <cell r="I226" t="str">
            <v>単 P53</v>
          </cell>
        </row>
        <row r="227">
          <cell r="C227" t="str">
            <v>主燃料</v>
          </cell>
          <cell r="D227" t="str">
            <v>ガソリン</v>
          </cell>
          <cell r="E227" t="str">
            <v>㍑</v>
          </cell>
          <cell r="F227">
            <v>3.5</v>
          </cell>
          <cell r="G227">
            <v>100</v>
          </cell>
          <cell r="H227">
            <v>350</v>
          </cell>
          <cell r="I227" t="str">
            <v>県Ⅰ-1（長崎）・（大瀬戸）</v>
          </cell>
        </row>
        <row r="228">
          <cell r="C228" t="str">
            <v>一般運転手</v>
          </cell>
          <cell r="E228" t="str">
            <v>人</v>
          </cell>
          <cell r="F228">
            <v>0.125</v>
          </cell>
          <cell r="G228">
            <v>16900</v>
          </cell>
          <cell r="H228">
            <v>2112.5</v>
          </cell>
          <cell r="I228" t="str">
            <v>長崎</v>
          </cell>
        </row>
        <row r="229">
          <cell r="C229" t="str">
            <v>損料</v>
          </cell>
          <cell r="D229" t="str">
            <v>運転</v>
          </cell>
          <cell r="E229" t="str">
            <v>時間</v>
          </cell>
          <cell r="F229">
            <v>1</v>
          </cell>
          <cell r="G229">
            <v>230</v>
          </cell>
          <cell r="H229">
            <v>230</v>
          </cell>
          <cell r="I229" t="str">
            <v>損機178</v>
          </cell>
        </row>
        <row r="230">
          <cell r="C230" t="str">
            <v>損料</v>
          </cell>
          <cell r="D230" t="str">
            <v>供用</v>
          </cell>
          <cell r="E230" t="str">
            <v>日</v>
          </cell>
          <cell r="F230">
            <v>1.1299999999999999</v>
          </cell>
          <cell r="G230">
            <v>951</v>
          </cell>
          <cell r="H230">
            <v>1074.6300000000001</v>
          </cell>
          <cell r="I230" t="str">
            <v>損機178</v>
          </cell>
        </row>
        <row r="232">
          <cell r="A232">
            <v>39</v>
          </cell>
          <cell r="B232" t="str">
            <v>交通船</v>
          </cell>
          <cell r="C232" t="str">
            <v>鋼D 50PS 4.9t</v>
          </cell>
          <cell r="E232" t="str">
            <v>日</v>
          </cell>
          <cell r="F232">
            <v>1</v>
          </cell>
          <cell r="H232">
            <v>63539.5</v>
          </cell>
          <cell r="I232" t="str">
            <v>単 P50</v>
          </cell>
        </row>
        <row r="233">
          <cell r="C233" t="str">
            <v>主燃料</v>
          </cell>
          <cell r="D233" t="str">
            <v>重油A</v>
          </cell>
          <cell r="E233" t="str">
            <v>㍑</v>
          </cell>
          <cell r="F233">
            <v>45</v>
          </cell>
          <cell r="G233">
            <v>32</v>
          </cell>
          <cell r="H233">
            <v>1440</v>
          </cell>
          <cell r="I233" t="str">
            <v>県Ⅰ-1（長崎）</v>
          </cell>
        </row>
        <row r="234">
          <cell r="C234" t="str">
            <v>高級船員</v>
          </cell>
          <cell r="E234" t="str">
            <v>人</v>
          </cell>
          <cell r="F234">
            <v>1.2</v>
          </cell>
          <cell r="G234">
            <v>26200</v>
          </cell>
          <cell r="H234">
            <v>31440</v>
          </cell>
          <cell r="I234" t="str">
            <v>長崎</v>
          </cell>
          <cell r="K234" t="str">
            <v>β＝1.2</v>
          </cell>
        </row>
        <row r="235">
          <cell r="C235" t="str">
            <v>普通船員</v>
          </cell>
          <cell r="E235" t="str">
            <v>人</v>
          </cell>
          <cell r="F235">
            <v>1.2</v>
          </cell>
          <cell r="G235">
            <v>19100</v>
          </cell>
          <cell r="H235">
            <v>22920</v>
          </cell>
          <cell r="I235" t="str">
            <v>長崎</v>
          </cell>
          <cell r="K235" t="str">
            <v>β＝1.2</v>
          </cell>
        </row>
        <row r="236">
          <cell r="C236" t="str">
            <v>損料</v>
          </cell>
          <cell r="D236" t="str">
            <v>運転</v>
          </cell>
          <cell r="E236" t="str">
            <v>日</v>
          </cell>
          <cell r="F236">
            <v>1</v>
          </cell>
          <cell r="G236">
            <v>2740</v>
          </cell>
          <cell r="H236">
            <v>2740</v>
          </cell>
          <cell r="I236" t="str">
            <v>損船13</v>
          </cell>
        </row>
        <row r="237">
          <cell r="C237" t="str">
            <v>損料</v>
          </cell>
          <cell r="D237" t="str">
            <v>供用</v>
          </cell>
          <cell r="E237" t="str">
            <v>日</v>
          </cell>
          <cell r="F237">
            <v>1.65</v>
          </cell>
          <cell r="G237">
            <v>3030</v>
          </cell>
          <cell r="H237">
            <v>4999.5</v>
          </cell>
          <cell r="I237" t="str">
            <v>損船13</v>
          </cell>
          <cell r="K237" t="str">
            <v>α＝1.65</v>
          </cell>
        </row>
        <row r="239">
          <cell r="A239">
            <v>40</v>
          </cell>
          <cell r="B239" t="str">
            <v>交通船</v>
          </cell>
          <cell r="C239" t="str">
            <v>船外機船</v>
          </cell>
          <cell r="E239" t="str">
            <v>日</v>
          </cell>
          <cell r="F239">
            <v>1</v>
          </cell>
          <cell r="H239">
            <v>28270.05</v>
          </cell>
          <cell r="I239" t="str">
            <v>単 P51</v>
          </cell>
        </row>
        <row r="240">
          <cell r="C240" t="str">
            <v>主燃料</v>
          </cell>
          <cell r="D240" t="str">
            <v>ガソリン</v>
          </cell>
          <cell r="E240" t="str">
            <v>㍑</v>
          </cell>
          <cell r="F240">
            <v>38</v>
          </cell>
          <cell r="G240">
            <v>100</v>
          </cell>
          <cell r="H240">
            <v>3800</v>
          </cell>
          <cell r="I240" t="str">
            <v>県Ⅰ-1（長崎）</v>
          </cell>
        </row>
        <row r="241">
          <cell r="C241" t="str">
            <v>普通船員</v>
          </cell>
          <cell r="E241" t="str">
            <v>人</v>
          </cell>
          <cell r="F241">
            <v>1.2</v>
          </cell>
          <cell r="G241">
            <v>19100</v>
          </cell>
          <cell r="H241">
            <v>22920</v>
          </cell>
          <cell r="I241" t="str">
            <v>長崎</v>
          </cell>
          <cell r="K241" t="str">
            <v>β＝1.2</v>
          </cell>
        </row>
        <row r="242">
          <cell r="C242" t="str">
            <v>損料</v>
          </cell>
          <cell r="D242" t="str">
            <v>運転</v>
          </cell>
          <cell r="E242" t="str">
            <v>日</v>
          </cell>
          <cell r="F242">
            <v>1</v>
          </cell>
          <cell r="G242">
            <v>466</v>
          </cell>
          <cell r="H242">
            <v>466</v>
          </cell>
          <cell r="I242" t="str">
            <v>損運3</v>
          </cell>
        </row>
        <row r="243">
          <cell r="C243" t="str">
            <v>損料</v>
          </cell>
          <cell r="D243" t="str">
            <v>供用</v>
          </cell>
          <cell r="E243" t="str">
            <v>日</v>
          </cell>
          <cell r="F243">
            <v>1.65</v>
          </cell>
          <cell r="G243">
            <v>657</v>
          </cell>
          <cell r="H243">
            <v>1084.05</v>
          </cell>
          <cell r="I243" t="str">
            <v>損運3</v>
          </cell>
          <cell r="K243" t="str">
            <v>α＝1.65</v>
          </cell>
        </row>
        <row r="245">
          <cell r="A245">
            <v>41</v>
          </cell>
          <cell r="B245" t="str">
            <v>交通船</v>
          </cell>
          <cell r="C245" t="str">
            <v>船外機船</v>
          </cell>
          <cell r="E245" t="str">
            <v>日</v>
          </cell>
          <cell r="F245">
            <v>1</v>
          </cell>
          <cell r="H245">
            <v>30278.6</v>
          </cell>
          <cell r="I245" t="str">
            <v>単 P51</v>
          </cell>
          <cell r="K245" t="str">
            <v>長崎港</v>
          </cell>
        </row>
        <row r="246">
          <cell r="C246" t="str">
            <v>主燃料</v>
          </cell>
          <cell r="D246" t="str">
            <v>ガソリン</v>
          </cell>
          <cell r="E246" t="str">
            <v>㍑</v>
          </cell>
          <cell r="F246">
            <v>38</v>
          </cell>
          <cell r="G246">
            <v>100</v>
          </cell>
          <cell r="H246">
            <v>3800</v>
          </cell>
          <cell r="I246" t="str">
            <v>県Ⅰ-1（長崎）</v>
          </cell>
        </row>
        <row r="247">
          <cell r="C247" t="str">
            <v>普通船員</v>
          </cell>
          <cell r="E247" t="str">
            <v>人</v>
          </cell>
          <cell r="F247">
            <v>1.3</v>
          </cell>
          <cell r="G247">
            <v>19100</v>
          </cell>
          <cell r="H247">
            <v>24830</v>
          </cell>
          <cell r="I247" t="str">
            <v>長崎</v>
          </cell>
          <cell r="K247" t="str">
            <v>β＝1.3</v>
          </cell>
        </row>
        <row r="248">
          <cell r="C248" t="str">
            <v>損料</v>
          </cell>
          <cell r="D248" t="str">
            <v>運転</v>
          </cell>
          <cell r="E248" t="str">
            <v>日</v>
          </cell>
          <cell r="F248">
            <v>1</v>
          </cell>
          <cell r="G248">
            <v>466</v>
          </cell>
          <cell r="H248">
            <v>466</v>
          </cell>
          <cell r="I248" t="str">
            <v>損運3</v>
          </cell>
        </row>
        <row r="249">
          <cell r="C249" t="str">
            <v>損料</v>
          </cell>
          <cell r="D249" t="str">
            <v>供用</v>
          </cell>
          <cell r="E249" t="str">
            <v>日</v>
          </cell>
          <cell r="F249">
            <v>1.8</v>
          </cell>
          <cell r="G249">
            <v>657</v>
          </cell>
          <cell r="H249">
            <v>1182.5999999999999</v>
          </cell>
          <cell r="I249" t="str">
            <v>損運3</v>
          </cell>
          <cell r="K249" t="str">
            <v>α＝1.8</v>
          </cell>
        </row>
        <row r="251">
          <cell r="A251">
            <v>42</v>
          </cell>
          <cell r="B251" t="str">
            <v>産廃処理費</v>
          </cell>
          <cell r="C251" t="str">
            <v>廃棄機器</v>
          </cell>
          <cell r="E251" t="str">
            <v>㎏</v>
          </cell>
          <cell r="F251">
            <v>1</v>
          </cell>
          <cell r="H251">
            <v>20</v>
          </cell>
        </row>
        <row r="252">
          <cell r="C252" t="str">
            <v>産廃処理費</v>
          </cell>
          <cell r="D252" t="str">
            <v>廃棄機器</v>
          </cell>
          <cell r="E252" t="str">
            <v>㎏</v>
          </cell>
          <cell r="F252">
            <v>1</v>
          </cell>
          <cell r="G252">
            <v>20</v>
          </cell>
          <cell r="H252">
            <v>20</v>
          </cell>
          <cell r="I252" t="str">
            <v>市価</v>
          </cell>
        </row>
        <row r="255">
          <cell r="A255">
            <v>43</v>
          </cell>
          <cell r="B255" t="str">
            <v>廃材運搬</v>
          </cell>
          <cell r="C255" t="str">
            <v>　</v>
          </cell>
          <cell r="D255" t="str">
            <v>　</v>
          </cell>
          <cell r="E255" t="str">
            <v>式</v>
          </cell>
          <cell r="F255">
            <v>1</v>
          </cell>
          <cell r="H255">
            <v>3800</v>
          </cell>
        </row>
        <row r="256">
          <cell r="C256" t="str">
            <v>トラック</v>
          </cell>
          <cell r="D256" t="str">
            <v>１t車、10km以内</v>
          </cell>
          <cell r="E256" t="str">
            <v>台</v>
          </cell>
          <cell r="F256">
            <v>1</v>
          </cell>
          <cell r="G256">
            <v>3800</v>
          </cell>
          <cell r="H256">
            <v>3800</v>
          </cell>
          <cell r="I256" t="str">
            <v>物 P853・積 P794九州　端数処理（3,770円）</v>
          </cell>
        </row>
        <row r="258">
          <cell r="A258">
            <v>44</v>
          </cell>
          <cell r="B258" t="str">
            <v>小車運搬</v>
          </cell>
          <cell r="C258" t="str">
            <v>距離100ｍ・二次製品</v>
          </cell>
          <cell r="D258" t="str">
            <v>空気電池(AWZ-2000)</v>
          </cell>
          <cell r="E258" t="str">
            <v>ｔ</v>
          </cell>
          <cell r="F258">
            <v>1</v>
          </cell>
          <cell r="H258">
            <v>2898</v>
          </cell>
          <cell r="I258" t="str">
            <v>建築 P4-13</v>
          </cell>
        </row>
        <row r="259">
          <cell r="C259" t="str">
            <v>普通作業員</v>
          </cell>
          <cell r="E259" t="str">
            <v>人</v>
          </cell>
          <cell r="F259">
            <v>0.18</v>
          </cell>
          <cell r="G259">
            <v>14000</v>
          </cell>
          <cell r="H259">
            <v>2520</v>
          </cell>
          <cell r="I259" t="str">
            <v>長崎</v>
          </cell>
        </row>
        <row r="260">
          <cell r="C260" t="str">
            <v>その他</v>
          </cell>
          <cell r="D260" t="str">
            <v>（労）×１５％</v>
          </cell>
          <cell r="E260" t="str">
            <v>式</v>
          </cell>
          <cell r="F260">
            <v>1</v>
          </cell>
          <cell r="H260">
            <v>378</v>
          </cell>
          <cell r="I260">
            <v>2520</v>
          </cell>
          <cell r="K260" t="str">
            <v>×</v>
          </cell>
          <cell r="L260">
            <v>0.15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設備"/>
      <sheetName val="代価"/>
      <sheetName val="複合単価 "/>
      <sheetName val="見積比較表"/>
      <sheetName val="大項目"/>
      <sheetName val="表紙"/>
      <sheetName val="建築"/>
      <sheetName val="仮設・諸経費"/>
    </sheetNames>
    <sheetDataSet>
      <sheetData sheetId="0"/>
      <sheetData sheetId="1"/>
      <sheetData sheetId="2"/>
      <sheetData sheetId="3"/>
      <sheetData sheetId="4"/>
      <sheetData sheetId="5"/>
      <sheetData sheetId="6"/>
      <sheetData sheetId="7"/>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総括表"/>
      <sheetName val="内訳書"/>
      <sheetName val="一位代価"/>
      <sheetName val="電気数量"/>
    </sheetNames>
    <sheetDataSet>
      <sheetData sheetId="0"/>
      <sheetData sheetId="1"/>
      <sheetData sheetId="2"/>
      <sheetData sheetId="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頭"/>
      <sheetName val="南　建築"/>
      <sheetName val="南　電気"/>
      <sheetName val="南　機械"/>
      <sheetName val="北　建築"/>
      <sheetName val="北　電気"/>
      <sheetName val="北　機械"/>
      <sheetName val="共通仮設"/>
      <sheetName val="諸経費"/>
      <sheetName val="南"/>
      <sheetName val="北"/>
      <sheetName val="変更経費"/>
    </sheetNames>
    <definedNames>
      <definedName name="印刷"/>
    </defined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内訳"/>
      <sheetName val="F-1"/>
      <sheetName val="Ｆ-2"/>
      <sheetName val="単価"/>
      <sheetName val="拾"/>
      <sheetName val="見比"/>
    </sheetNames>
    <sheetDataSet>
      <sheetData sheetId="0"/>
      <sheetData sheetId="1"/>
      <sheetData sheetId="2"/>
      <sheetData sheetId="3"/>
      <sheetData sheetId="4"/>
      <sheetData sheetId="5"/>
      <sheetData sheetId="6"/>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内訳"/>
      <sheetName val="F-1"/>
      <sheetName val="Ｆ-2"/>
      <sheetName val="単価"/>
      <sheetName val="拾"/>
      <sheetName val="見比"/>
    </sheetNames>
    <sheetDataSet>
      <sheetData sheetId="0"/>
      <sheetData sheetId="1"/>
      <sheetData sheetId="2"/>
      <sheetData sheetId="3"/>
      <sheetData sheetId="4"/>
      <sheetData sheetId="5"/>
      <sheetData sheetId="6"/>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3"/>
      <sheetName val="Sheet2"/>
      <sheetName val="市住耐震 (3)"/>
      <sheetName val="市住耐震 (4)"/>
      <sheetName val="市住耐震"/>
      <sheetName val="市住耐震 (2)"/>
      <sheetName val="明々寮ＡＣ"/>
      <sheetName val="明々寮ＢＤ"/>
      <sheetName val="明々廊下"/>
      <sheetName val="AＢＣ案"/>
      <sheetName val="設備"/>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3"/>
      <sheetName val="Sheet2"/>
      <sheetName val="市住耐震 (3)"/>
      <sheetName val="市住耐震 (4)"/>
      <sheetName val="市住耐震"/>
      <sheetName val="市住耐震 (2)"/>
      <sheetName val="明々寮ＡＣ"/>
      <sheetName val="明々寮ＢＤ"/>
      <sheetName val="明々廊下"/>
      <sheetName val="AＢＣ案"/>
      <sheetName val="設備"/>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書式"/>
      <sheetName val="機器"/>
      <sheetName val="吹出ダンパ"/>
      <sheetName val="設定"/>
      <sheetName val="配管保温塗装"/>
      <sheetName val="VE"/>
      <sheetName val="ダクト保温"/>
      <sheetName val="集計表（新設）"/>
      <sheetName val="仮設拾書（新設）"/>
      <sheetName val="く体拾書（新設） "/>
      <sheetName val="鉄筋拾書（新設）"/>
      <sheetName val="外部仕上拾書（新設）"/>
      <sheetName val="内部仕上拾書（新設）"/>
      <sheetName val="建具拾書（新設）"/>
      <sheetName val="木材拾書（新設）"/>
      <sheetName val="集計表（改修）"/>
      <sheetName val="仮設拾書（改修）"/>
      <sheetName val="内部仕上拾書（改修）"/>
      <sheetName val="建具拾書（改修）"/>
      <sheetName val="塗装改修ｼ-ﾄ（改修）"/>
      <sheetName val="撤去拾書（改修）"/>
      <sheetName val="集計表（既存撤去）"/>
      <sheetName val="撤去拾書（既存撤去）"/>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大項目"/>
    </sheetNames>
    <sheetDataSet>
      <sheetData sheetId="0" refreshError="1"/>
      <sheetData sheetId="1" refreshError="1">
        <row r="3">
          <cell r="E3" t="str">
            <v>名　　　　　　　称</v>
          </cell>
          <cell r="G3" t="str">
            <v>規 格 ・ 寸 法</v>
          </cell>
          <cell r="H3" t="str">
            <v>数　　量</v>
          </cell>
          <cell r="I3" t="str">
            <v>単位</v>
          </cell>
          <cell r="J3" t="str">
            <v>単　　価</v>
          </cell>
          <cell r="K3" t="str">
            <v>金　　　額</v>
          </cell>
          <cell r="M3" t="str">
            <v xml:space="preserve">    摘　　　　要</v>
          </cell>
        </row>
        <row r="5">
          <cell r="E5" t="str">
            <v>旭町総合福祉センター（仮称）</v>
          </cell>
          <cell r="G5" t="str">
            <v>建設工事</v>
          </cell>
        </row>
        <row r="9">
          <cell r="C9" t="str">
            <v>Ａ</v>
          </cell>
          <cell r="E9" t="str">
            <v>総合福祉センター建設工事</v>
          </cell>
          <cell r="H9">
            <v>1</v>
          </cell>
          <cell r="I9" t="str">
            <v>式</v>
          </cell>
          <cell r="K9">
            <v>425000000</v>
          </cell>
        </row>
        <row r="11">
          <cell r="C11" t="str">
            <v>Ｂ</v>
          </cell>
          <cell r="E11" t="str">
            <v>車庫建設工事</v>
          </cell>
          <cell r="H11">
            <v>1</v>
          </cell>
          <cell r="I11" t="str">
            <v>式</v>
          </cell>
          <cell r="K11">
            <v>20000000</v>
          </cell>
        </row>
        <row r="13">
          <cell r="C13" t="str">
            <v>Ｃ</v>
          </cell>
          <cell r="E13" t="str">
            <v>外　 構　 工　 事</v>
          </cell>
          <cell r="H13">
            <v>1</v>
          </cell>
          <cell r="I13" t="str">
            <v>式</v>
          </cell>
          <cell r="K13">
            <v>21000000</v>
          </cell>
        </row>
        <row r="15">
          <cell r="C15" t="str">
            <v>Ｄ</v>
          </cell>
          <cell r="E15" t="str">
            <v>温泉中継タンク設置工事</v>
          </cell>
          <cell r="H15">
            <v>1</v>
          </cell>
          <cell r="I15" t="str">
            <v>式</v>
          </cell>
          <cell r="K15">
            <v>10000000</v>
          </cell>
          <cell r="M15">
            <v>51000000</v>
          </cell>
        </row>
        <row r="23">
          <cell r="E23" t="str">
            <v>小　　　　　　計</v>
          </cell>
          <cell r="K23">
            <v>476000000</v>
          </cell>
        </row>
        <row r="25">
          <cell r="K25">
            <v>0</v>
          </cell>
        </row>
        <row r="27">
          <cell r="C27" t="str">
            <v>Ｇ</v>
          </cell>
          <cell r="E27" t="str">
            <v>消 費 税 相 当 額</v>
          </cell>
          <cell r="H27">
            <v>1</v>
          </cell>
          <cell r="I27" t="str">
            <v>式</v>
          </cell>
          <cell r="K27">
            <v>23800000</v>
          </cell>
        </row>
        <row r="33">
          <cell r="E33" t="str">
            <v>合　　　　　　計</v>
          </cell>
          <cell r="K33">
            <v>499800000</v>
          </cell>
        </row>
        <row r="40">
          <cell r="B40" t="str">
            <v xml:space="preserve">(株) 黒 川 建 築 事 務 所      </v>
          </cell>
          <cell r="M40" t="str">
            <v>ＮO－1</v>
          </cell>
        </row>
        <row r="43">
          <cell r="E43" t="str">
            <v>名　　　　　　　称</v>
          </cell>
          <cell r="G43" t="str">
            <v>規 格 ・ 寸 法</v>
          </cell>
          <cell r="H43" t="str">
            <v>数　　量</v>
          </cell>
          <cell r="I43" t="str">
            <v>単位</v>
          </cell>
          <cell r="J43" t="str">
            <v>単　　価</v>
          </cell>
          <cell r="K43" t="str">
            <v>金　　　額</v>
          </cell>
          <cell r="M43" t="str">
            <v xml:space="preserve">    摘　　　　要</v>
          </cell>
        </row>
        <row r="45">
          <cell r="E45" t="str">
            <v>旭町総合福祉センター（仮称）</v>
          </cell>
          <cell r="G45" t="str">
            <v>建設工事</v>
          </cell>
        </row>
        <row r="49">
          <cell r="C49" t="str">
            <v>Ａ</v>
          </cell>
          <cell r="E49" t="str">
            <v>総合福祉センター建設工事</v>
          </cell>
          <cell r="H49">
            <v>1</v>
          </cell>
          <cell r="I49" t="str">
            <v>式</v>
          </cell>
          <cell r="K49">
            <v>461000000</v>
          </cell>
        </row>
        <row r="51">
          <cell r="C51" t="str">
            <v>Ｂ</v>
          </cell>
          <cell r="E51" t="str">
            <v>車庫建設工事</v>
          </cell>
          <cell r="H51">
            <v>1</v>
          </cell>
          <cell r="I51" t="str">
            <v>式</v>
          </cell>
          <cell r="K51">
            <v>20000000</v>
          </cell>
        </row>
        <row r="53">
          <cell r="C53" t="str">
            <v>Ｃ</v>
          </cell>
          <cell r="E53" t="str">
            <v>外　 構　 工　 事</v>
          </cell>
          <cell r="H53">
            <v>1</v>
          </cell>
          <cell r="I53" t="str">
            <v>式</v>
          </cell>
          <cell r="K53">
            <v>21000000</v>
          </cell>
        </row>
        <row r="55">
          <cell r="C55" t="str">
            <v>Ｄ</v>
          </cell>
          <cell r="E55" t="str">
            <v>温泉中継タンク設置工事</v>
          </cell>
          <cell r="H55">
            <v>1</v>
          </cell>
          <cell r="I55" t="str">
            <v>式</v>
          </cell>
          <cell r="K55">
            <v>10000000</v>
          </cell>
          <cell r="M55">
            <v>51000000</v>
          </cell>
        </row>
        <row r="63">
          <cell r="E63" t="str">
            <v>小　　　　　　計</v>
          </cell>
          <cell r="K63">
            <v>512000000</v>
          </cell>
        </row>
        <row r="65">
          <cell r="K65">
            <v>0</v>
          </cell>
        </row>
        <row r="67">
          <cell r="C67" t="str">
            <v>Ｇ</v>
          </cell>
          <cell r="E67" t="str">
            <v>消 費 税 相 当 額</v>
          </cell>
          <cell r="H67">
            <v>1</v>
          </cell>
          <cell r="I67" t="str">
            <v>式</v>
          </cell>
          <cell r="K67">
            <v>25600000</v>
          </cell>
        </row>
        <row r="73">
          <cell r="E73" t="str">
            <v>合　　　　　　計</v>
          </cell>
          <cell r="K73">
            <v>537600000</v>
          </cell>
        </row>
        <row r="80">
          <cell r="B80" t="str">
            <v xml:space="preserve">(株) 黒 川 建 築 事 務 所      </v>
          </cell>
          <cell r="M80" t="str">
            <v>ＮO－1</v>
          </cell>
        </row>
      </sheetData>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工事総括"/>
      <sheetName val="工事費総括表"/>
      <sheetName val="内訳"/>
      <sheetName val="一位代価"/>
      <sheetName val="資材単価"/>
      <sheetName val="市価"/>
      <sheetName val="市価採用根拠"/>
      <sheetName val="数量計算書"/>
      <sheetName val="内訳数量確認"/>
      <sheetName val="日数"/>
      <sheetName val="工程表 "/>
      <sheetName val="運搬算出"/>
      <sheetName val="構造計算 "/>
      <sheetName val="府県別労務"/>
      <sheetName val="損料"/>
      <sheetName val="その他率"/>
      <sheetName val="表紙"/>
      <sheetName val="決議書　1"/>
      <sheetName val="決議書　2"/>
      <sheetName val="検査調書"/>
      <sheetName val="出張計画書"/>
      <sheetName val="監督報告書"/>
      <sheetName val="監督終了報告書"/>
      <sheetName val="労務単価"/>
      <sheetName val="H13労務単価"/>
      <sheetName val="H13技術者単価"/>
      <sheetName val="図面供覧"/>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row r="50">
          <cell r="C50">
            <v>15700</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大項目"/>
    </sheetNames>
    <sheetDataSet>
      <sheetData sheetId="0" refreshError="1"/>
      <sheetData sheetId="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頭"/>
      <sheetName val="南　建築"/>
      <sheetName val="南　電気"/>
      <sheetName val="南　機械"/>
      <sheetName val="北　建築"/>
      <sheetName val="北　電気"/>
      <sheetName val="北　機械"/>
      <sheetName val="共通仮設"/>
      <sheetName val="諸経費"/>
      <sheetName val="南"/>
      <sheetName val="北"/>
      <sheetName val="変更経費"/>
    </sheetNames>
    <definedNames>
      <definedName name="印刷"/>
    </defined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頭"/>
      <sheetName val="Ａ建築"/>
      <sheetName val="A-1"/>
      <sheetName val="A-2"/>
      <sheetName val="A-3 "/>
      <sheetName val="A-4"/>
      <sheetName val="A-5"/>
      <sheetName val="Ｂ機械 (表紙)"/>
      <sheetName val="Ｂ機械 (空調)"/>
      <sheetName val="Ｂ機械 (管)"/>
      <sheetName val="Ｃ電気"/>
      <sheetName val="Ｅ,Ｆ共通費"/>
      <sheetName val="総合発注"/>
      <sheetName val="建築別紙明細"/>
      <sheetName val="建築代価1"/>
      <sheetName val="建築代価2"/>
      <sheetName val="建築代価3"/>
      <sheetName val="機械複合単価 "/>
      <sheetName val="機械配管単価"/>
      <sheetName val="機械代価表（１）"/>
      <sheetName val="機械代価表（２） "/>
      <sheetName val="機械機器重量"/>
      <sheetName val="機械別紙明細表"/>
      <sheetName val="機械見積比較表"/>
      <sheetName val="電気代価表"/>
      <sheetName val="電気拾い"/>
      <sheetName val="電気複合単価表"/>
      <sheetName val="電気分電盤集計表"/>
      <sheetName val="電気見積比較表"/>
      <sheetName val="単独発注"/>
      <sheetName val="新営改修"/>
      <sheetName val="率表"/>
      <sheetName val="共通仮設費"/>
      <sheetName val="諸経費"/>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row r="5">
          <cell r="Q5">
            <v>1</v>
          </cell>
          <cell r="R5">
            <v>22.2</v>
          </cell>
        </row>
        <row r="6">
          <cell r="Q6">
            <v>2</v>
          </cell>
          <cell r="R6">
            <v>20.8</v>
          </cell>
        </row>
        <row r="7">
          <cell r="Q7">
            <v>3</v>
          </cell>
          <cell r="R7">
            <v>19.5</v>
          </cell>
        </row>
        <row r="8">
          <cell r="Q8">
            <v>4</v>
          </cell>
          <cell r="R8">
            <v>14.4</v>
          </cell>
        </row>
        <row r="9">
          <cell r="Q9">
            <v>5</v>
          </cell>
          <cell r="R9">
            <v>13.4</v>
          </cell>
        </row>
        <row r="10">
          <cell r="Q10">
            <v>11</v>
          </cell>
          <cell r="R10">
            <v>20</v>
          </cell>
        </row>
        <row r="11">
          <cell r="Q11">
            <v>12</v>
          </cell>
          <cell r="R11">
            <v>17.5</v>
          </cell>
        </row>
        <row r="12">
          <cell r="Q12">
            <v>13</v>
          </cell>
          <cell r="R12">
            <v>17.5</v>
          </cell>
        </row>
        <row r="13">
          <cell r="Q13">
            <v>14</v>
          </cell>
          <cell r="R13">
            <v>20</v>
          </cell>
        </row>
        <row r="14">
          <cell r="Q14">
            <v>15</v>
          </cell>
          <cell r="R14">
            <v>13</v>
          </cell>
        </row>
        <row r="29">
          <cell r="N29">
            <v>1</v>
          </cell>
          <cell r="O29">
            <v>3.9</v>
          </cell>
          <cell r="P29">
            <v>4</v>
          </cell>
          <cell r="Q29">
            <v>4</v>
          </cell>
          <cell r="R29">
            <v>4.0999999999999996</v>
          </cell>
          <cell r="S29">
            <v>4.0999999999999996</v>
          </cell>
          <cell r="T29">
            <v>4.0999999999999996</v>
          </cell>
          <cell r="U29">
            <v>4.0999999999999996</v>
          </cell>
          <cell r="V29">
            <v>4.0999999999999996</v>
          </cell>
          <cell r="W29">
            <v>3.9</v>
          </cell>
        </row>
        <row r="30">
          <cell r="N30">
            <v>2</v>
          </cell>
          <cell r="O30">
            <v>3.6</v>
          </cell>
          <cell r="P30">
            <v>3.8</v>
          </cell>
          <cell r="Q30">
            <v>3.7</v>
          </cell>
          <cell r="R30">
            <v>3.9</v>
          </cell>
          <cell r="S30">
            <v>4</v>
          </cell>
          <cell r="T30">
            <v>4</v>
          </cell>
          <cell r="U30">
            <v>4</v>
          </cell>
          <cell r="V30">
            <v>4</v>
          </cell>
          <cell r="W30">
            <v>3.6</v>
          </cell>
        </row>
        <row r="31">
          <cell r="N31">
            <v>3</v>
          </cell>
          <cell r="O31">
            <v>3.7</v>
          </cell>
          <cell r="P31">
            <v>3.8</v>
          </cell>
          <cell r="Q31">
            <v>3.8</v>
          </cell>
          <cell r="R31">
            <v>3.9</v>
          </cell>
          <cell r="S31">
            <v>3.9</v>
          </cell>
          <cell r="T31">
            <v>3.9</v>
          </cell>
          <cell r="U31">
            <v>3.9</v>
          </cell>
          <cell r="V31">
            <v>3.9</v>
          </cell>
          <cell r="W31">
            <v>3.7</v>
          </cell>
        </row>
        <row r="32">
          <cell r="N32">
            <v>4</v>
          </cell>
          <cell r="O32">
            <v>2.2999999999999998</v>
          </cell>
          <cell r="P32">
            <v>2.8</v>
          </cell>
          <cell r="Q32">
            <v>2.7</v>
          </cell>
          <cell r="R32">
            <v>3</v>
          </cell>
          <cell r="S32">
            <v>3</v>
          </cell>
          <cell r="T32">
            <v>3</v>
          </cell>
          <cell r="U32">
            <v>3</v>
          </cell>
          <cell r="V32">
            <v>3</v>
          </cell>
          <cell r="W32">
            <v>2.2000000000000002</v>
          </cell>
        </row>
        <row r="33">
          <cell r="N33">
            <v>5</v>
          </cell>
          <cell r="O33">
            <v>7.5</v>
          </cell>
          <cell r="P33">
            <v>10.3</v>
          </cell>
          <cell r="Q33">
            <v>9.6999999999999993</v>
          </cell>
          <cell r="R33">
            <v>12.5</v>
          </cell>
          <cell r="S33">
            <v>12.5</v>
          </cell>
          <cell r="T33">
            <v>12.5</v>
          </cell>
          <cell r="U33">
            <v>12.5</v>
          </cell>
          <cell r="V33">
            <v>12.5</v>
          </cell>
          <cell r="W33">
            <v>7.5</v>
          </cell>
        </row>
        <row r="34">
          <cell r="N34">
            <v>11</v>
          </cell>
          <cell r="O34">
            <v>3.4</v>
          </cell>
          <cell r="P34">
            <v>3.4</v>
          </cell>
          <cell r="Q34">
            <v>3.4</v>
          </cell>
          <cell r="R34">
            <v>3.4</v>
          </cell>
          <cell r="S34">
            <v>3.4</v>
          </cell>
          <cell r="T34">
            <v>3.4</v>
          </cell>
          <cell r="U34">
            <v>3.4</v>
          </cell>
          <cell r="V34">
            <v>3.4</v>
          </cell>
          <cell r="W34">
            <v>3.4</v>
          </cell>
        </row>
        <row r="35">
          <cell r="N35">
            <v>12</v>
          </cell>
          <cell r="O35">
            <v>2.2000000000000002</v>
          </cell>
          <cell r="P35">
            <v>2.9</v>
          </cell>
          <cell r="Q35">
            <v>2.7</v>
          </cell>
          <cell r="R35">
            <v>3.6</v>
          </cell>
          <cell r="S35">
            <v>3.8</v>
          </cell>
          <cell r="T35">
            <v>3.8</v>
          </cell>
          <cell r="U35">
            <v>3.8</v>
          </cell>
          <cell r="V35">
            <v>3.8</v>
          </cell>
          <cell r="W35">
            <v>2.1</v>
          </cell>
        </row>
        <row r="36">
          <cell r="N36">
            <v>13</v>
          </cell>
          <cell r="O36">
            <v>2.8</v>
          </cell>
          <cell r="P36">
            <v>3.1</v>
          </cell>
          <cell r="Q36">
            <v>3.1</v>
          </cell>
          <cell r="R36">
            <v>3.5</v>
          </cell>
          <cell r="S36">
            <v>3.6</v>
          </cell>
          <cell r="T36">
            <v>3.6</v>
          </cell>
          <cell r="U36">
            <v>3.6</v>
          </cell>
          <cell r="V36">
            <v>3.6</v>
          </cell>
          <cell r="W36">
            <v>2.7</v>
          </cell>
        </row>
        <row r="37">
          <cell r="N37">
            <v>14</v>
          </cell>
          <cell r="O37">
            <v>3.4</v>
          </cell>
          <cell r="P37">
            <v>3.4</v>
          </cell>
          <cell r="Q37">
            <v>3.4</v>
          </cell>
          <cell r="R37">
            <v>3.4</v>
          </cell>
          <cell r="S37">
            <v>3.4</v>
          </cell>
          <cell r="T37">
            <v>3.4</v>
          </cell>
          <cell r="U37">
            <v>3.4</v>
          </cell>
          <cell r="V37">
            <v>3.4</v>
          </cell>
          <cell r="W37">
            <v>3.4</v>
          </cell>
        </row>
        <row r="38">
          <cell r="N38">
            <v>15</v>
          </cell>
          <cell r="O38">
            <v>1</v>
          </cell>
          <cell r="P38">
            <v>1</v>
          </cell>
          <cell r="Q38">
            <v>1</v>
          </cell>
          <cell r="R38">
            <v>1</v>
          </cell>
          <cell r="S38">
            <v>1</v>
          </cell>
          <cell r="T38">
            <v>1</v>
          </cell>
          <cell r="U38">
            <v>1</v>
          </cell>
          <cell r="V38">
            <v>1</v>
          </cell>
          <cell r="W38">
            <v>1</v>
          </cell>
        </row>
        <row r="87">
          <cell r="N87">
            <v>1</v>
          </cell>
          <cell r="O87">
            <v>19.7</v>
          </cell>
          <cell r="P87">
            <v>21.6</v>
          </cell>
          <cell r="Q87">
            <v>21.2</v>
          </cell>
          <cell r="R87">
            <v>23.1</v>
          </cell>
          <cell r="S87">
            <v>23.1</v>
          </cell>
          <cell r="T87">
            <v>23.1</v>
          </cell>
          <cell r="U87">
            <v>23.1</v>
          </cell>
          <cell r="V87">
            <v>23.1</v>
          </cell>
          <cell r="W87">
            <v>19.2</v>
          </cell>
        </row>
        <row r="88">
          <cell r="N88">
            <v>2</v>
          </cell>
          <cell r="O88">
            <v>16.7</v>
          </cell>
          <cell r="P88">
            <v>19.8</v>
          </cell>
          <cell r="Q88">
            <v>19</v>
          </cell>
          <cell r="R88">
            <v>23.5</v>
          </cell>
          <cell r="S88">
            <v>24.7</v>
          </cell>
          <cell r="T88">
            <v>24.7</v>
          </cell>
          <cell r="U88">
            <v>24.7</v>
          </cell>
          <cell r="V88">
            <v>24.7</v>
          </cell>
          <cell r="W88">
            <v>15.9</v>
          </cell>
        </row>
        <row r="89">
          <cell r="N89">
            <v>3</v>
          </cell>
          <cell r="O89">
            <v>15.8</v>
          </cell>
          <cell r="P89">
            <v>18.5</v>
          </cell>
          <cell r="Q89">
            <v>17.899999999999999</v>
          </cell>
          <cell r="R89">
            <v>21.8</v>
          </cell>
          <cell r="S89">
            <v>22.7</v>
          </cell>
          <cell r="T89">
            <v>22.7</v>
          </cell>
          <cell r="U89">
            <v>22.7</v>
          </cell>
          <cell r="V89">
            <v>22.7</v>
          </cell>
          <cell r="W89">
            <v>15.2</v>
          </cell>
        </row>
        <row r="90">
          <cell r="N90">
            <v>4</v>
          </cell>
          <cell r="O90">
            <v>12</v>
          </cell>
          <cell r="P90">
            <v>13.8</v>
          </cell>
          <cell r="Q90">
            <v>13.4</v>
          </cell>
          <cell r="R90">
            <v>15.3</v>
          </cell>
          <cell r="S90">
            <v>15.6</v>
          </cell>
          <cell r="T90">
            <v>15.6</v>
          </cell>
          <cell r="U90">
            <v>15.6</v>
          </cell>
          <cell r="V90">
            <v>15.6</v>
          </cell>
          <cell r="W90">
            <v>11.6</v>
          </cell>
        </row>
        <row r="91">
          <cell r="N91">
            <v>5</v>
          </cell>
          <cell r="O91">
            <v>12</v>
          </cell>
          <cell r="P91">
            <v>13.3</v>
          </cell>
          <cell r="Q91">
            <v>13.1</v>
          </cell>
          <cell r="R91">
            <v>14</v>
          </cell>
          <cell r="S91">
            <v>14</v>
          </cell>
          <cell r="T91">
            <v>14</v>
          </cell>
          <cell r="U91">
            <v>14</v>
          </cell>
          <cell r="V91">
            <v>14</v>
          </cell>
          <cell r="W91">
            <v>12</v>
          </cell>
        </row>
        <row r="92">
          <cell r="N92">
            <v>11</v>
          </cell>
          <cell r="O92">
            <v>18.100000000000001</v>
          </cell>
          <cell r="P92">
            <v>19.600000000000001</v>
          </cell>
          <cell r="Q92">
            <v>19.3</v>
          </cell>
          <cell r="R92">
            <v>20.7</v>
          </cell>
          <cell r="S92">
            <v>20.7</v>
          </cell>
          <cell r="T92">
            <v>20.7</v>
          </cell>
          <cell r="U92">
            <v>20.7</v>
          </cell>
          <cell r="V92">
            <v>20.7</v>
          </cell>
          <cell r="W92">
            <v>17.8</v>
          </cell>
        </row>
        <row r="93">
          <cell r="N93">
            <v>12</v>
          </cell>
          <cell r="O93">
            <v>14.7</v>
          </cell>
          <cell r="P93">
            <v>16.899999999999999</v>
          </cell>
          <cell r="Q93">
            <v>16.3</v>
          </cell>
          <cell r="R93">
            <v>19.2</v>
          </cell>
          <cell r="S93">
            <v>19.899999999999999</v>
          </cell>
          <cell r="T93">
            <v>19.899999999999999</v>
          </cell>
          <cell r="U93">
            <v>19.899999999999999</v>
          </cell>
          <cell r="V93">
            <v>19.899999999999999</v>
          </cell>
          <cell r="W93">
            <v>14.2</v>
          </cell>
        </row>
        <row r="94">
          <cell r="N94">
            <v>13</v>
          </cell>
          <cell r="O94">
            <v>14.7</v>
          </cell>
          <cell r="P94">
            <v>16.899999999999999</v>
          </cell>
          <cell r="Q94">
            <v>16.3</v>
          </cell>
          <cell r="R94">
            <v>19.2</v>
          </cell>
          <cell r="S94">
            <v>19.899999999999999</v>
          </cell>
          <cell r="T94">
            <v>19.899999999999999</v>
          </cell>
          <cell r="U94">
            <v>19.899999999999999</v>
          </cell>
          <cell r="V94">
            <v>19.899999999999999</v>
          </cell>
          <cell r="W94">
            <v>14.2</v>
          </cell>
        </row>
        <row r="95">
          <cell r="N95">
            <v>14</v>
          </cell>
          <cell r="O95">
            <v>18.100000000000001</v>
          </cell>
          <cell r="P95">
            <v>19.600000000000001</v>
          </cell>
          <cell r="Q95">
            <v>19.3</v>
          </cell>
          <cell r="R95">
            <v>20.7</v>
          </cell>
          <cell r="S95">
            <v>20.7</v>
          </cell>
          <cell r="T95">
            <v>20.7</v>
          </cell>
          <cell r="U95">
            <v>20.7</v>
          </cell>
          <cell r="V95">
            <v>20.7</v>
          </cell>
          <cell r="W95">
            <v>17.8</v>
          </cell>
        </row>
        <row r="96">
          <cell r="N96">
            <v>15</v>
          </cell>
          <cell r="O96">
            <v>12</v>
          </cell>
          <cell r="P96">
            <v>12.8</v>
          </cell>
          <cell r="Q96">
            <v>12.6</v>
          </cell>
          <cell r="R96">
            <v>13.5</v>
          </cell>
          <cell r="S96">
            <v>13.4</v>
          </cell>
          <cell r="T96">
            <v>13.4</v>
          </cell>
          <cell r="U96">
            <v>13.4</v>
          </cell>
          <cell r="V96">
            <v>13.4</v>
          </cell>
          <cell r="W96">
            <v>14.2</v>
          </cell>
        </row>
      </sheetData>
      <sheetData sheetId="33" refreshError="1">
        <row r="4">
          <cell r="A4">
            <v>0</v>
          </cell>
          <cell r="B4">
            <v>4.1399999999999997</v>
          </cell>
          <cell r="E4">
            <v>0</v>
          </cell>
          <cell r="F4">
            <v>4.03</v>
          </cell>
          <cell r="I4">
            <v>0</v>
          </cell>
          <cell r="J4">
            <v>3.99</v>
          </cell>
          <cell r="M4">
            <v>0</v>
          </cell>
          <cell r="N4">
            <v>3.08</v>
          </cell>
          <cell r="Q4">
            <v>0</v>
          </cell>
          <cell r="R4">
            <v>12.5</v>
          </cell>
        </row>
        <row r="5">
          <cell r="A5">
            <v>10</v>
          </cell>
          <cell r="B5">
            <v>4.1399999999999997</v>
          </cell>
          <cell r="C5">
            <v>4.9999999999999819E-3</v>
          </cell>
          <cell r="E5">
            <v>3</v>
          </cell>
          <cell r="F5">
            <v>4.03</v>
          </cell>
          <cell r="G5">
            <v>2.5000000000000133E-2</v>
          </cell>
          <cell r="I5">
            <v>3</v>
          </cell>
          <cell r="J5">
            <v>3.99</v>
          </cell>
          <cell r="K5">
            <v>1.5000000000000124E-2</v>
          </cell>
          <cell r="M5">
            <v>3</v>
          </cell>
          <cell r="N5">
            <v>3.08</v>
          </cell>
          <cell r="O5">
            <v>0</v>
          </cell>
          <cell r="Q5">
            <v>10</v>
          </cell>
          <cell r="R5">
            <v>12.5</v>
          </cell>
          <cell r="S5">
            <v>0.2</v>
          </cell>
        </row>
        <row r="6">
          <cell r="A6">
            <v>20</v>
          </cell>
          <cell r="B6">
            <v>4.09</v>
          </cell>
          <cell r="C6">
            <v>3.0000000000000248E-3</v>
          </cell>
          <cell r="E6">
            <v>5</v>
          </cell>
          <cell r="F6">
            <v>3.98</v>
          </cell>
          <cell r="G6">
            <v>1.6000000000000014E-2</v>
          </cell>
          <cell r="I6">
            <v>5</v>
          </cell>
          <cell r="J6">
            <v>3.96</v>
          </cell>
          <cell r="K6">
            <v>8.0000000000000071E-3</v>
          </cell>
          <cell r="M6">
            <v>5</v>
          </cell>
          <cell r="N6">
            <v>3.08</v>
          </cell>
          <cell r="O6">
            <v>0</v>
          </cell>
          <cell r="Q6">
            <v>20</v>
          </cell>
          <cell r="R6">
            <v>10.5</v>
          </cell>
          <cell r="S6">
            <v>0.05</v>
          </cell>
        </row>
        <row r="7">
          <cell r="A7">
            <v>30</v>
          </cell>
          <cell r="B7">
            <v>4.0599999999999996</v>
          </cell>
          <cell r="C7">
            <v>1.9999999999999575E-3</v>
          </cell>
          <cell r="E7">
            <v>10</v>
          </cell>
          <cell r="F7">
            <v>3.9</v>
          </cell>
          <cell r="G7">
            <v>6.9999999999999837E-3</v>
          </cell>
          <cell r="I7">
            <v>10</v>
          </cell>
          <cell r="J7">
            <v>3.92</v>
          </cell>
          <cell r="K7">
            <v>4.9999999999999819E-3</v>
          </cell>
          <cell r="M7">
            <v>10</v>
          </cell>
          <cell r="N7">
            <v>3.08</v>
          </cell>
          <cell r="O7">
            <v>2.0999999999999998E-2</v>
          </cell>
          <cell r="Q7">
            <v>50</v>
          </cell>
          <cell r="R7">
            <v>9</v>
          </cell>
          <cell r="S7">
            <v>0.05</v>
          </cell>
        </row>
        <row r="8">
          <cell r="A8">
            <v>40</v>
          </cell>
          <cell r="B8">
            <v>4.04</v>
          </cell>
          <cell r="C8">
            <v>9.9999999999997877E-4</v>
          </cell>
          <cell r="E8">
            <v>20</v>
          </cell>
          <cell r="F8">
            <v>3.83</v>
          </cell>
          <cell r="G8">
            <v>4.0000000000000036E-3</v>
          </cell>
          <cell r="I8">
            <v>20</v>
          </cell>
          <cell r="J8">
            <v>3.87</v>
          </cell>
          <cell r="K8">
            <v>2.0000000000000018E-3</v>
          </cell>
          <cell r="M8">
            <v>20</v>
          </cell>
          <cell r="N8">
            <v>2.87</v>
          </cell>
          <cell r="O8">
            <v>1.2000000000000011E-2</v>
          </cell>
          <cell r="Q8">
            <v>70</v>
          </cell>
          <cell r="R8">
            <v>8</v>
          </cell>
          <cell r="S8">
            <v>1.6666666666666666E-2</v>
          </cell>
        </row>
        <row r="9">
          <cell r="A9">
            <v>50</v>
          </cell>
          <cell r="B9">
            <v>4.03</v>
          </cell>
          <cell r="C9">
            <v>2.000000000000046E-3</v>
          </cell>
          <cell r="E9">
            <v>30</v>
          </cell>
          <cell r="F9">
            <v>3.79</v>
          </cell>
          <cell r="G9">
            <v>3.0000000000000248E-3</v>
          </cell>
          <cell r="I9">
            <v>30</v>
          </cell>
          <cell r="J9">
            <v>3.85</v>
          </cell>
          <cell r="K9">
            <v>2.0000000000000018E-3</v>
          </cell>
          <cell r="M9">
            <v>30</v>
          </cell>
          <cell r="N9">
            <v>2.75</v>
          </cell>
          <cell r="O9">
            <v>8.0000000000000071E-3</v>
          </cell>
          <cell r="Q9">
            <v>100</v>
          </cell>
          <cell r="R9">
            <v>7.5</v>
          </cell>
        </row>
        <row r="10">
          <cell r="A10">
            <v>60</v>
          </cell>
          <cell r="B10">
            <v>4.01</v>
          </cell>
          <cell r="C10">
            <v>9.9999999999997877E-4</v>
          </cell>
          <cell r="E10">
            <v>40</v>
          </cell>
          <cell r="F10">
            <v>3.76</v>
          </cell>
          <cell r="G10">
            <v>1.9999999999999575E-3</v>
          </cell>
          <cell r="I10">
            <v>40</v>
          </cell>
          <cell r="J10">
            <v>3.83</v>
          </cell>
          <cell r="K10">
            <v>1.000000000000023E-3</v>
          </cell>
          <cell r="M10">
            <v>40</v>
          </cell>
          <cell r="N10">
            <v>2.67</v>
          </cell>
          <cell r="O10">
            <v>6.0000000000000053E-3</v>
          </cell>
        </row>
        <row r="11">
          <cell r="A11">
            <v>70</v>
          </cell>
          <cell r="B11">
            <v>4</v>
          </cell>
          <cell r="C11">
            <v>0</v>
          </cell>
          <cell r="E11">
            <v>50</v>
          </cell>
          <cell r="F11">
            <v>3.74</v>
          </cell>
          <cell r="G11">
            <v>2.0000000000000018E-3</v>
          </cell>
          <cell r="I11">
            <v>50</v>
          </cell>
          <cell r="J11">
            <v>3.82</v>
          </cell>
          <cell r="K11">
            <v>9.9999999999997877E-4</v>
          </cell>
          <cell r="M11">
            <v>50</v>
          </cell>
          <cell r="N11">
            <v>2.61</v>
          </cell>
          <cell r="O11">
            <v>4.0000000000000036E-3</v>
          </cell>
        </row>
        <row r="12">
          <cell r="A12">
            <v>80</v>
          </cell>
          <cell r="B12">
            <v>4</v>
          </cell>
          <cell r="C12">
            <v>9.9999999999997877E-4</v>
          </cell>
          <cell r="E12">
            <v>60</v>
          </cell>
          <cell r="F12">
            <v>3.72</v>
          </cell>
          <cell r="G12">
            <v>2.0000000000000018E-3</v>
          </cell>
          <cell r="I12">
            <v>60</v>
          </cell>
          <cell r="J12">
            <v>3.81</v>
          </cell>
          <cell r="K12">
            <v>1.000000000000023E-3</v>
          </cell>
          <cell r="M12">
            <v>60</v>
          </cell>
          <cell r="N12">
            <v>2.57</v>
          </cell>
          <cell r="O12">
            <v>4.0000000000000036E-3</v>
          </cell>
        </row>
        <row r="13">
          <cell r="A13">
            <v>90</v>
          </cell>
          <cell r="B13">
            <v>3.99</v>
          </cell>
          <cell r="C13">
            <v>1.000000000000023E-3</v>
          </cell>
          <cell r="E13">
            <v>70</v>
          </cell>
          <cell r="F13">
            <v>3.7</v>
          </cell>
          <cell r="G13">
            <v>1.000000000000023E-3</v>
          </cell>
          <cell r="I13">
            <v>70</v>
          </cell>
          <cell r="J13">
            <v>3.8</v>
          </cell>
          <cell r="K13">
            <v>9.9999999999997877E-4</v>
          </cell>
          <cell r="M13">
            <v>70</v>
          </cell>
          <cell r="N13">
            <v>2.5299999999999998</v>
          </cell>
          <cell r="O13">
            <v>3.9999999999999593E-3</v>
          </cell>
        </row>
        <row r="14">
          <cell r="A14">
            <v>100</v>
          </cell>
          <cell r="B14">
            <v>3.98</v>
          </cell>
          <cell r="C14">
            <v>4.9999999999998939E-4</v>
          </cell>
          <cell r="E14">
            <v>80</v>
          </cell>
          <cell r="F14">
            <v>3.69</v>
          </cell>
          <cell r="G14">
            <v>9.9999999999997877E-4</v>
          </cell>
          <cell r="I14">
            <v>80</v>
          </cell>
          <cell r="J14">
            <v>3.79</v>
          </cell>
          <cell r="K14">
            <v>1.000000000000023E-3</v>
          </cell>
          <cell r="M14">
            <v>80</v>
          </cell>
          <cell r="N14">
            <v>2.4900000000000002</v>
          </cell>
          <cell r="O14">
            <v>3.0000000000000248E-3</v>
          </cell>
        </row>
        <row r="15">
          <cell r="A15">
            <v>120</v>
          </cell>
          <cell r="B15">
            <v>3.97</v>
          </cell>
          <cell r="C15">
            <v>5.000000000000115E-4</v>
          </cell>
          <cell r="E15">
            <v>90</v>
          </cell>
          <cell r="F15">
            <v>3.68</v>
          </cell>
          <cell r="G15">
            <v>1.000000000000023E-3</v>
          </cell>
          <cell r="I15">
            <v>90</v>
          </cell>
          <cell r="J15">
            <v>3.78</v>
          </cell>
          <cell r="K15">
            <v>0</v>
          </cell>
          <cell r="M15">
            <v>90</v>
          </cell>
          <cell r="N15">
            <v>2.46</v>
          </cell>
          <cell r="O15">
            <v>2.0000000000000018E-3</v>
          </cell>
        </row>
        <row r="16">
          <cell r="A16">
            <v>140</v>
          </cell>
          <cell r="B16">
            <v>3.96</v>
          </cell>
          <cell r="C16">
            <v>4.9999999999998939E-4</v>
          </cell>
          <cell r="E16">
            <v>100</v>
          </cell>
          <cell r="F16">
            <v>3.67</v>
          </cell>
          <cell r="G16">
            <v>9.9999999999999352E-4</v>
          </cell>
          <cell r="I16">
            <v>100</v>
          </cell>
          <cell r="J16">
            <v>3.78</v>
          </cell>
          <cell r="K16">
            <v>6.6666666666666729E-4</v>
          </cell>
          <cell r="M16">
            <v>100</v>
          </cell>
          <cell r="N16">
            <v>2.44</v>
          </cell>
          <cell r="O16">
            <v>2.3333333333333279E-3</v>
          </cell>
        </row>
        <row r="17">
          <cell r="A17">
            <v>160</v>
          </cell>
          <cell r="B17">
            <v>3.95</v>
          </cell>
          <cell r="C17">
            <v>5.000000000000115E-4</v>
          </cell>
          <cell r="E17">
            <v>130</v>
          </cell>
          <cell r="F17">
            <v>3.64</v>
          </cell>
          <cell r="G17">
            <v>6.6666666666666729E-4</v>
          </cell>
          <cell r="I17">
            <v>130</v>
          </cell>
          <cell r="J17">
            <v>3.76</v>
          </cell>
          <cell r="K17">
            <v>3.3333333333332622E-4</v>
          </cell>
          <cell r="M17">
            <v>130</v>
          </cell>
          <cell r="N17">
            <v>2.37</v>
          </cell>
          <cell r="O17">
            <v>1.6666666666666754E-3</v>
          </cell>
        </row>
        <row r="18">
          <cell r="A18">
            <v>180</v>
          </cell>
          <cell r="B18">
            <v>3.94</v>
          </cell>
          <cell r="C18">
            <v>4.9999999999998939E-4</v>
          </cell>
          <cell r="E18">
            <v>160</v>
          </cell>
          <cell r="F18">
            <v>3.62</v>
          </cell>
          <cell r="G18">
            <v>5.0000000000000044E-4</v>
          </cell>
          <cell r="I18">
            <v>160</v>
          </cell>
          <cell r="J18">
            <v>3.75</v>
          </cell>
          <cell r="K18">
            <v>2.4999999999999469E-4</v>
          </cell>
          <cell r="M18">
            <v>160</v>
          </cell>
          <cell r="N18">
            <v>2.3199999999999998</v>
          </cell>
          <cell r="O18">
            <v>1.2499999999999955E-3</v>
          </cell>
        </row>
        <row r="19">
          <cell r="A19">
            <v>200</v>
          </cell>
          <cell r="B19">
            <v>3.93</v>
          </cell>
          <cell r="C19">
            <v>0</v>
          </cell>
          <cell r="E19">
            <v>200</v>
          </cell>
          <cell r="F19">
            <v>3.6</v>
          </cell>
          <cell r="G19">
            <v>4.0000000000000034E-4</v>
          </cell>
          <cell r="I19">
            <v>200</v>
          </cell>
          <cell r="J19">
            <v>3.74</v>
          </cell>
          <cell r="K19">
            <v>3.0000000000000247E-4</v>
          </cell>
          <cell r="M19">
            <v>200</v>
          </cell>
          <cell r="N19">
            <v>2.27</v>
          </cell>
          <cell r="O19">
            <v>8.9999999999999857E-4</v>
          </cell>
        </row>
        <row r="20">
          <cell r="A20">
            <v>220</v>
          </cell>
          <cell r="B20">
            <v>3.93</v>
          </cell>
          <cell r="C20">
            <v>5.000000000000115E-4</v>
          </cell>
          <cell r="E20">
            <v>300</v>
          </cell>
          <cell r="F20">
            <v>3.56</v>
          </cell>
          <cell r="G20">
            <v>3.0000000000000247E-4</v>
          </cell>
          <cell r="I20">
            <v>300</v>
          </cell>
          <cell r="J20">
            <v>3.71</v>
          </cell>
          <cell r="K20">
            <v>2.0000000000000017E-4</v>
          </cell>
          <cell r="M20">
            <v>300</v>
          </cell>
          <cell r="N20">
            <v>2.1800000000000002</v>
          </cell>
          <cell r="O20">
            <v>7.0000000000000281E-4</v>
          </cell>
        </row>
        <row r="21">
          <cell r="A21">
            <v>240</v>
          </cell>
          <cell r="B21">
            <v>3.92</v>
          </cell>
          <cell r="C21">
            <v>0</v>
          </cell>
          <cell r="E21">
            <v>400</v>
          </cell>
          <cell r="F21">
            <v>3.53</v>
          </cell>
          <cell r="G21">
            <v>2.0000000000000017E-4</v>
          </cell>
          <cell r="I21">
            <v>400</v>
          </cell>
          <cell r="J21">
            <v>3.69</v>
          </cell>
          <cell r="K21">
            <v>9.9999999999997863E-5</v>
          </cell>
          <cell r="M21">
            <v>400</v>
          </cell>
          <cell r="N21">
            <v>2.11</v>
          </cell>
          <cell r="O21">
            <v>4.0000000000000034E-4</v>
          </cell>
        </row>
        <row r="22">
          <cell r="A22">
            <v>260</v>
          </cell>
          <cell r="B22">
            <v>3.92</v>
          </cell>
          <cell r="C22">
            <v>4.9999999999998939E-4</v>
          </cell>
          <cell r="E22">
            <v>500</v>
          </cell>
          <cell r="F22">
            <v>3.51</v>
          </cell>
          <cell r="G22">
            <v>1.3999999999999969E-4</v>
          </cell>
          <cell r="I22">
            <v>500</v>
          </cell>
          <cell r="J22">
            <v>3.68</v>
          </cell>
          <cell r="K22">
            <v>8.0000000000000074E-5</v>
          </cell>
          <cell r="M22">
            <v>500</v>
          </cell>
          <cell r="N22">
            <v>2.0699999999999998</v>
          </cell>
          <cell r="O22">
            <v>0</v>
          </cell>
        </row>
        <row r="23">
          <cell r="A23">
            <v>280</v>
          </cell>
          <cell r="B23">
            <v>3.91</v>
          </cell>
          <cell r="C23">
            <v>0</v>
          </cell>
          <cell r="E23">
            <v>1000</v>
          </cell>
          <cell r="F23">
            <v>3.44</v>
          </cell>
          <cell r="G23">
            <v>6.0000000000000056E-5</v>
          </cell>
          <cell r="I23">
            <v>1000</v>
          </cell>
          <cell r="J23">
            <v>3.64</v>
          </cell>
          <cell r="K23">
            <v>4.0000000000000037E-5</v>
          </cell>
          <cell r="M23">
            <v>1000</v>
          </cell>
          <cell r="N23">
            <v>2.0699999999999998</v>
          </cell>
          <cell r="O23">
            <v>0</v>
          </cell>
        </row>
        <row r="24">
          <cell r="A24">
            <v>300</v>
          </cell>
          <cell r="B24">
            <v>3.91</v>
          </cell>
          <cell r="C24">
            <v>2.0000000000000462E-4</v>
          </cell>
          <cell r="E24">
            <v>2000</v>
          </cell>
          <cell r="F24">
            <v>3.38</v>
          </cell>
          <cell r="G24">
            <v>4.0000000000000037E-5</v>
          </cell>
          <cell r="I24">
            <v>2000</v>
          </cell>
          <cell r="J24">
            <v>3.6</v>
          </cell>
          <cell r="K24">
            <v>2.0000000000000019E-5</v>
          </cell>
          <cell r="M24">
            <v>2000</v>
          </cell>
          <cell r="N24">
            <v>2.0699999999999998</v>
          </cell>
          <cell r="O24">
            <v>0</v>
          </cell>
        </row>
        <row r="25">
          <cell r="A25">
            <v>350</v>
          </cell>
          <cell r="B25">
            <v>3.9</v>
          </cell>
          <cell r="C25">
            <v>1.9999999999999573E-4</v>
          </cell>
          <cell r="E25">
            <v>3000</v>
          </cell>
          <cell r="F25">
            <v>3.34</v>
          </cell>
          <cell r="I25">
            <v>3000</v>
          </cell>
          <cell r="J25">
            <v>3.58</v>
          </cell>
          <cell r="M25">
            <v>3000</v>
          </cell>
          <cell r="N25">
            <v>2.0699999999999998</v>
          </cell>
        </row>
        <row r="26">
          <cell r="A26">
            <v>400</v>
          </cell>
          <cell r="B26">
            <v>3.89</v>
          </cell>
          <cell r="C26">
            <v>2.0000000000000462E-4</v>
          </cell>
        </row>
        <row r="27">
          <cell r="A27">
            <v>450</v>
          </cell>
          <cell r="B27">
            <v>3.88</v>
          </cell>
          <cell r="C27">
            <v>1.9999999999999573E-4</v>
          </cell>
        </row>
        <row r="28">
          <cell r="A28">
            <v>500</v>
          </cell>
          <cell r="B28">
            <v>3.87</v>
          </cell>
          <cell r="C28">
            <v>0</v>
          </cell>
        </row>
        <row r="29">
          <cell r="A29">
            <v>550</v>
          </cell>
          <cell r="B29">
            <v>3.87</v>
          </cell>
          <cell r="C29">
            <v>2.0000000000000462E-4</v>
          </cell>
        </row>
        <row r="30">
          <cell r="A30">
            <v>600</v>
          </cell>
          <cell r="B30">
            <v>3.86</v>
          </cell>
          <cell r="C30">
            <v>0</v>
          </cell>
        </row>
        <row r="31">
          <cell r="A31">
            <v>650</v>
          </cell>
          <cell r="B31">
            <v>3.86</v>
          </cell>
          <cell r="C31">
            <v>1.9999999999999573E-4</v>
          </cell>
        </row>
        <row r="32">
          <cell r="A32">
            <v>700</v>
          </cell>
          <cell r="B32">
            <v>3.85</v>
          </cell>
          <cell r="C32">
            <v>0</v>
          </cell>
        </row>
        <row r="33">
          <cell r="A33">
            <v>750</v>
          </cell>
          <cell r="B33">
            <v>3.85</v>
          </cell>
          <cell r="C33">
            <v>2.0000000000000462E-4</v>
          </cell>
        </row>
        <row r="34">
          <cell r="A34">
            <v>800</v>
          </cell>
          <cell r="B34">
            <v>3.84</v>
          </cell>
          <cell r="C34">
            <v>0</v>
          </cell>
        </row>
        <row r="35">
          <cell r="A35">
            <v>850</v>
          </cell>
          <cell r="B35">
            <v>3.84</v>
          </cell>
          <cell r="C35">
            <v>0</v>
          </cell>
        </row>
        <row r="36">
          <cell r="A36">
            <v>900</v>
          </cell>
          <cell r="B36">
            <v>3.84</v>
          </cell>
          <cell r="C36">
            <v>9.9999999999997863E-5</v>
          </cell>
        </row>
        <row r="37">
          <cell r="A37">
            <v>1000</v>
          </cell>
          <cell r="B37">
            <v>3.83</v>
          </cell>
          <cell r="C37">
            <v>4.0000000000000037E-5</v>
          </cell>
        </row>
        <row r="38">
          <cell r="A38">
            <v>2000</v>
          </cell>
          <cell r="B38">
            <v>3.79</v>
          </cell>
          <cell r="C38">
            <v>3.0000000000000248E-5</v>
          </cell>
        </row>
        <row r="39">
          <cell r="A39">
            <v>3000</v>
          </cell>
          <cell r="B39">
            <v>3.76</v>
          </cell>
          <cell r="C39">
            <v>1.9999999999999575E-5</v>
          </cell>
        </row>
        <row r="40">
          <cell r="A40">
            <v>4000</v>
          </cell>
          <cell r="B40">
            <v>3.74</v>
          </cell>
          <cell r="C40">
            <v>1.0000000000000231E-5</v>
          </cell>
        </row>
        <row r="41">
          <cell r="A41">
            <v>5000</v>
          </cell>
          <cell r="B41">
            <v>3.73</v>
          </cell>
        </row>
        <row r="49">
          <cell r="E49">
            <v>0</v>
          </cell>
          <cell r="F49">
            <v>3.88</v>
          </cell>
          <cell r="I49">
            <v>0</v>
          </cell>
          <cell r="J49">
            <v>3.67</v>
          </cell>
        </row>
        <row r="50">
          <cell r="E50">
            <v>3</v>
          </cell>
          <cell r="F50">
            <v>3.88</v>
          </cell>
          <cell r="G50">
            <v>0.13500000000000001</v>
          </cell>
          <cell r="I50">
            <v>3</v>
          </cell>
          <cell r="J50">
            <v>3.67</v>
          </cell>
          <cell r="K50">
            <v>6.0000000000000053E-2</v>
          </cell>
        </row>
        <row r="51">
          <cell r="E51">
            <v>5</v>
          </cell>
          <cell r="F51">
            <v>3.61</v>
          </cell>
          <cell r="G51">
            <v>6.7999999999999977E-2</v>
          </cell>
          <cell r="I51">
            <v>5</v>
          </cell>
          <cell r="J51">
            <v>3.55</v>
          </cell>
          <cell r="K51">
            <v>3.3999999999999989E-2</v>
          </cell>
        </row>
        <row r="52">
          <cell r="E52">
            <v>10</v>
          </cell>
          <cell r="F52">
            <v>3.27</v>
          </cell>
          <cell r="G52">
            <v>2.9999999999999982E-2</v>
          </cell>
          <cell r="I52">
            <v>10</v>
          </cell>
          <cell r="J52">
            <v>3.38</v>
          </cell>
          <cell r="K52">
            <v>1.5999999999999969E-2</v>
          </cell>
        </row>
        <row r="53">
          <cell r="E53">
            <v>20</v>
          </cell>
          <cell r="F53">
            <v>2.97</v>
          </cell>
          <cell r="G53">
            <v>1.6000000000000014E-2</v>
          </cell>
          <cell r="I53">
            <v>20</v>
          </cell>
          <cell r="J53">
            <v>3.22</v>
          </cell>
          <cell r="K53">
            <v>9.0000000000000305E-3</v>
          </cell>
        </row>
        <row r="54">
          <cell r="E54">
            <v>30</v>
          </cell>
          <cell r="F54">
            <v>2.81</v>
          </cell>
          <cell r="G54">
            <v>1.2000000000000011E-2</v>
          </cell>
          <cell r="I54">
            <v>30</v>
          </cell>
          <cell r="J54">
            <v>3.13</v>
          </cell>
          <cell r="K54">
            <v>6.0000000000000053E-3</v>
          </cell>
        </row>
        <row r="55">
          <cell r="E55">
            <v>40</v>
          </cell>
          <cell r="F55">
            <v>2.69</v>
          </cell>
          <cell r="G55">
            <v>8.0000000000000071E-3</v>
          </cell>
          <cell r="I55">
            <v>40</v>
          </cell>
          <cell r="J55">
            <v>3.07</v>
          </cell>
          <cell r="K55">
            <v>4.0000000000000036E-3</v>
          </cell>
        </row>
        <row r="56">
          <cell r="E56">
            <v>50</v>
          </cell>
          <cell r="F56">
            <v>2.61</v>
          </cell>
          <cell r="G56">
            <v>6.0000000000000053E-3</v>
          </cell>
          <cell r="I56">
            <v>50</v>
          </cell>
          <cell r="J56">
            <v>3.03</v>
          </cell>
          <cell r="K56">
            <v>3.9999999999999593E-3</v>
          </cell>
        </row>
        <row r="57">
          <cell r="E57">
            <v>60</v>
          </cell>
          <cell r="F57">
            <v>2.5499999999999998</v>
          </cell>
          <cell r="G57">
            <v>5.9999999999999611E-3</v>
          </cell>
          <cell r="I57">
            <v>60</v>
          </cell>
          <cell r="J57">
            <v>2.99</v>
          </cell>
          <cell r="K57">
            <v>3.0000000000000248E-3</v>
          </cell>
        </row>
        <row r="58">
          <cell r="E58">
            <v>70</v>
          </cell>
          <cell r="F58">
            <v>2.4900000000000002</v>
          </cell>
          <cell r="G58">
            <v>5.000000000000027E-3</v>
          </cell>
          <cell r="I58">
            <v>70</v>
          </cell>
          <cell r="J58">
            <v>2.96</v>
          </cell>
          <cell r="K58">
            <v>2.9999999999999805E-3</v>
          </cell>
        </row>
        <row r="59">
          <cell r="E59">
            <v>80</v>
          </cell>
          <cell r="F59">
            <v>2.44</v>
          </cell>
          <cell r="G59">
            <v>4.0000000000000036E-3</v>
          </cell>
          <cell r="I59">
            <v>80</v>
          </cell>
          <cell r="J59">
            <v>2.93</v>
          </cell>
          <cell r="K59">
            <v>2.0000000000000018E-3</v>
          </cell>
        </row>
        <row r="60">
          <cell r="E60">
            <v>90</v>
          </cell>
          <cell r="F60">
            <v>2.4</v>
          </cell>
          <cell r="G60">
            <v>2.9999999999999805E-3</v>
          </cell>
          <cell r="I60">
            <v>90</v>
          </cell>
          <cell r="J60">
            <v>2.91</v>
          </cell>
          <cell r="K60">
            <v>3.0000000000000248E-3</v>
          </cell>
        </row>
        <row r="61">
          <cell r="E61">
            <v>100</v>
          </cell>
          <cell r="F61">
            <v>2.37</v>
          </cell>
          <cell r="G61">
            <v>3.00000000000001E-3</v>
          </cell>
          <cell r="I61">
            <v>100</v>
          </cell>
          <cell r="J61">
            <v>2.88</v>
          </cell>
          <cell r="K61">
            <v>1.6666666666666607E-3</v>
          </cell>
        </row>
        <row r="62">
          <cell r="E62">
            <v>130</v>
          </cell>
          <cell r="F62">
            <v>2.2799999999999998</v>
          </cell>
          <cell r="G62">
            <v>1.999999999999987E-3</v>
          </cell>
          <cell r="I62">
            <v>130</v>
          </cell>
          <cell r="J62">
            <v>2.83</v>
          </cell>
          <cell r="K62">
            <v>1.3333333333333346E-3</v>
          </cell>
        </row>
        <row r="63">
          <cell r="E63">
            <v>160</v>
          </cell>
          <cell r="F63">
            <v>2.2200000000000002</v>
          </cell>
          <cell r="G63">
            <v>1.7500000000000072E-3</v>
          </cell>
          <cell r="I63">
            <v>160</v>
          </cell>
          <cell r="J63">
            <v>2.79</v>
          </cell>
          <cell r="K63">
            <v>1.0000000000000009E-3</v>
          </cell>
        </row>
        <row r="64">
          <cell r="E64">
            <v>200</v>
          </cell>
          <cell r="F64">
            <v>2.15</v>
          </cell>
          <cell r="G64">
            <v>1.200000000000001E-3</v>
          </cell>
          <cell r="I64">
            <v>200</v>
          </cell>
          <cell r="J64">
            <v>2.75</v>
          </cell>
          <cell r="K64">
            <v>8.0000000000000069E-4</v>
          </cell>
        </row>
        <row r="65">
          <cell r="E65">
            <v>300</v>
          </cell>
          <cell r="F65">
            <v>2.0299999999999998</v>
          </cell>
          <cell r="G65">
            <v>0</v>
          </cell>
          <cell r="I65">
            <v>300</v>
          </cell>
          <cell r="J65">
            <v>2.67</v>
          </cell>
          <cell r="K65">
            <v>0</v>
          </cell>
        </row>
        <row r="66">
          <cell r="E66">
            <v>400</v>
          </cell>
          <cell r="F66">
            <v>2.0299999999999998</v>
          </cell>
          <cell r="G66">
            <v>0</v>
          </cell>
          <cell r="I66">
            <v>400</v>
          </cell>
          <cell r="J66">
            <v>2.67</v>
          </cell>
          <cell r="K66">
            <v>0</v>
          </cell>
        </row>
        <row r="67">
          <cell r="E67">
            <v>500</v>
          </cell>
          <cell r="F67">
            <v>2.0299999999999998</v>
          </cell>
          <cell r="G67">
            <v>0</v>
          </cell>
          <cell r="I67">
            <v>500</v>
          </cell>
          <cell r="J67">
            <v>2.67</v>
          </cell>
          <cell r="K67">
            <v>0</v>
          </cell>
        </row>
        <row r="68">
          <cell r="E68">
            <v>1000</v>
          </cell>
          <cell r="F68">
            <v>2.0299999999999998</v>
          </cell>
          <cell r="G68">
            <v>0</v>
          </cell>
          <cell r="I68">
            <v>1000</v>
          </cell>
          <cell r="J68">
            <v>2.67</v>
          </cell>
          <cell r="K68">
            <v>0</v>
          </cell>
        </row>
        <row r="69">
          <cell r="E69">
            <v>2000</v>
          </cell>
          <cell r="F69">
            <v>2.0299999999999998</v>
          </cell>
          <cell r="G69">
            <v>0</v>
          </cell>
          <cell r="I69">
            <v>2000</v>
          </cell>
          <cell r="J69">
            <v>2.67</v>
          </cell>
          <cell r="K69">
            <v>0</v>
          </cell>
        </row>
        <row r="70">
          <cell r="E70">
            <v>3000</v>
          </cell>
          <cell r="F70">
            <v>2.0299999999999998</v>
          </cell>
          <cell r="I70">
            <v>3000</v>
          </cell>
          <cell r="J70">
            <v>2.67</v>
          </cell>
        </row>
      </sheetData>
      <sheetData sheetId="34" refreshError="1">
        <row r="4">
          <cell r="A4">
            <v>0</v>
          </cell>
          <cell r="B4">
            <v>23.1</v>
          </cell>
          <cell r="E4">
            <v>0</v>
          </cell>
          <cell r="F4">
            <v>20.77</v>
          </cell>
          <cell r="I4">
            <v>0</v>
          </cell>
          <cell r="J4">
            <v>24.73</v>
          </cell>
          <cell r="M4">
            <v>0</v>
          </cell>
          <cell r="N4">
            <v>19.95</v>
          </cell>
          <cell r="Q4">
            <v>0</v>
          </cell>
          <cell r="R4">
            <v>22.77</v>
          </cell>
          <cell r="U4">
            <v>0</v>
          </cell>
          <cell r="V4">
            <v>19.95</v>
          </cell>
          <cell r="Y4">
            <v>0</v>
          </cell>
          <cell r="Z4">
            <v>15.62</v>
          </cell>
          <cell r="AC4">
            <v>0</v>
          </cell>
          <cell r="AD4">
            <v>14</v>
          </cell>
          <cell r="AG4">
            <v>0</v>
          </cell>
          <cell r="AH4">
            <v>13.48</v>
          </cell>
        </row>
        <row r="5">
          <cell r="A5">
            <v>2</v>
          </cell>
          <cell r="B5">
            <v>23.1</v>
          </cell>
          <cell r="C5">
            <v>0</v>
          </cell>
          <cell r="E5">
            <v>2</v>
          </cell>
          <cell r="F5">
            <v>20.77</v>
          </cell>
          <cell r="G5">
            <v>0</v>
          </cell>
          <cell r="I5">
            <v>2</v>
          </cell>
          <cell r="J5">
            <v>24.73</v>
          </cell>
          <cell r="K5">
            <v>0</v>
          </cell>
          <cell r="M5">
            <v>2</v>
          </cell>
          <cell r="N5">
            <v>19.95</v>
          </cell>
          <cell r="O5">
            <v>7.0000000000000284E-2</v>
          </cell>
          <cell r="Q5">
            <v>2</v>
          </cell>
          <cell r="R5">
            <v>22.77</v>
          </cell>
          <cell r="S5">
            <v>0</v>
          </cell>
          <cell r="U5">
            <v>2</v>
          </cell>
          <cell r="V5">
            <v>19.95</v>
          </cell>
          <cell r="W5">
            <v>7.0000000000000284E-2</v>
          </cell>
          <cell r="Y5">
            <v>2</v>
          </cell>
          <cell r="Z5">
            <v>15.62</v>
          </cell>
          <cell r="AA5">
            <v>1.9999999999999574E-2</v>
          </cell>
          <cell r="AC5">
            <v>5</v>
          </cell>
          <cell r="AD5">
            <v>14</v>
          </cell>
          <cell r="AE5">
            <v>9.2000000000000165E-2</v>
          </cell>
          <cell r="AG5">
            <v>2</v>
          </cell>
          <cell r="AH5">
            <v>13.48</v>
          </cell>
          <cell r="AI5">
            <v>0</v>
          </cell>
        </row>
        <row r="6">
          <cell r="A6">
            <v>3</v>
          </cell>
          <cell r="B6">
            <v>23.1</v>
          </cell>
          <cell r="C6">
            <v>0</v>
          </cell>
          <cell r="E6">
            <v>3</v>
          </cell>
          <cell r="F6">
            <v>20.77</v>
          </cell>
          <cell r="G6">
            <v>0</v>
          </cell>
          <cell r="I6">
            <v>3</v>
          </cell>
          <cell r="J6">
            <v>24.73</v>
          </cell>
          <cell r="K6">
            <v>0.83999999999999986</v>
          </cell>
          <cell r="M6">
            <v>3</v>
          </cell>
          <cell r="N6">
            <v>19.88</v>
          </cell>
          <cell r="O6">
            <v>0.44999999999999929</v>
          </cell>
          <cell r="Q6">
            <v>3</v>
          </cell>
          <cell r="R6">
            <v>22.77</v>
          </cell>
          <cell r="S6">
            <v>0.64000000000000057</v>
          </cell>
          <cell r="U6">
            <v>3</v>
          </cell>
          <cell r="V6">
            <v>19.88</v>
          </cell>
          <cell r="W6">
            <v>0.44999999999999929</v>
          </cell>
          <cell r="Y6">
            <v>3</v>
          </cell>
          <cell r="Z6">
            <v>15.6</v>
          </cell>
          <cell r="AA6">
            <v>0.16999999999999993</v>
          </cell>
          <cell r="AC6">
            <v>10</v>
          </cell>
          <cell r="AD6">
            <v>13.54</v>
          </cell>
          <cell r="AE6">
            <v>1.6666666666666666E-2</v>
          </cell>
          <cell r="AG6">
            <v>3</v>
          </cell>
          <cell r="AH6">
            <v>13.48</v>
          </cell>
          <cell r="AI6">
            <v>0</v>
          </cell>
        </row>
        <row r="7">
          <cell r="A7">
            <v>4</v>
          </cell>
          <cell r="B7">
            <v>23.1</v>
          </cell>
          <cell r="C7">
            <v>0</v>
          </cell>
          <cell r="E7">
            <v>4</v>
          </cell>
          <cell r="F7">
            <v>20.77</v>
          </cell>
          <cell r="G7">
            <v>-1.0000000000001563E-2</v>
          </cell>
          <cell r="I7">
            <v>4</v>
          </cell>
          <cell r="J7">
            <v>23.89</v>
          </cell>
          <cell r="K7">
            <v>0.51999999999999957</v>
          </cell>
          <cell r="M7">
            <v>4</v>
          </cell>
          <cell r="N7">
            <v>19.43</v>
          </cell>
          <cell r="O7">
            <v>0.28999999999999915</v>
          </cell>
          <cell r="Q7">
            <v>4</v>
          </cell>
          <cell r="R7">
            <v>22.13</v>
          </cell>
          <cell r="S7">
            <v>0.44999999999999929</v>
          </cell>
          <cell r="U7">
            <v>4</v>
          </cell>
          <cell r="V7">
            <v>19.43</v>
          </cell>
          <cell r="W7">
            <v>0.28999999999999915</v>
          </cell>
          <cell r="Y7">
            <v>4</v>
          </cell>
          <cell r="Z7">
            <v>15.43</v>
          </cell>
          <cell r="AA7">
            <v>8.9999999999999858E-2</v>
          </cell>
          <cell r="AC7">
            <v>40</v>
          </cell>
          <cell r="AD7">
            <v>13.04</v>
          </cell>
          <cell r="AE7">
            <v>8.3333333333333332E-3</v>
          </cell>
          <cell r="AG7">
            <v>4</v>
          </cell>
          <cell r="AH7">
            <v>13.48</v>
          </cell>
          <cell r="AI7">
            <v>-3.9999999999999147E-2</v>
          </cell>
        </row>
        <row r="8">
          <cell r="A8">
            <v>5</v>
          </cell>
          <cell r="B8">
            <v>23.1</v>
          </cell>
          <cell r="C8">
            <v>8.9999999999999858E-2</v>
          </cell>
          <cell r="E8">
            <v>5</v>
          </cell>
          <cell r="F8">
            <v>20.78</v>
          </cell>
          <cell r="G8">
            <v>8.9999999999999858E-2</v>
          </cell>
          <cell r="I8">
            <v>5</v>
          </cell>
          <cell r="J8">
            <v>23.37</v>
          </cell>
          <cell r="K8">
            <v>0.42999999999999972</v>
          </cell>
          <cell r="M8">
            <v>5</v>
          </cell>
          <cell r="N8">
            <v>19.14</v>
          </cell>
          <cell r="O8">
            <v>0.26000000000000156</v>
          </cell>
          <cell r="Q8">
            <v>5</v>
          </cell>
          <cell r="R8">
            <v>21.68</v>
          </cell>
          <cell r="S8">
            <v>0.37999999999999901</v>
          </cell>
          <cell r="U8">
            <v>5</v>
          </cell>
          <cell r="V8">
            <v>19.14</v>
          </cell>
          <cell r="W8">
            <v>0.26000000000000156</v>
          </cell>
          <cell r="Y8">
            <v>5</v>
          </cell>
          <cell r="Z8">
            <v>15.34</v>
          </cell>
          <cell r="AA8">
            <v>0.10999999999999943</v>
          </cell>
          <cell r="AC8">
            <v>100</v>
          </cell>
          <cell r="AD8">
            <v>12.54</v>
          </cell>
          <cell r="AG8">
            <v>5</v>
          </cell>
          <cell r="AH8">
            <v>13.52</v>
          </cell>
          <cell r="AI8">
            <v>8.0000000000000071E-2</v>
          </cell>
        </row>
        <row r="9">
          <cell r="A9">
            <v>6</v>
          </cell>
          <cell r="B9">
            <v>23.01</v>
          </cell>
          <cell r="C9">
            <v>7.5000000000001066E-2</v>
          </cell>
          <cell r="E9">
            <v>6</v>
          </cell>
          <cell r="F9">
            <v>20.69</v>
          </cell>
          <cell r="G9">
            <v>6.5000000000001279E-2</v>
          </cell>
          <cell r="I9">
            <v>6</v>
          </cell>
          <cell r="J9">
            <v>22.94</v>
          </cell>
          <cell r="K9">
            <v>0.38000000000000256</v>
          </cell>
          <cell r="M9">
            <v>6</v>
          </cell>
          <cell r="N9">
            <v>18.88</v>
          </cell>
          <cell r="O9">
            <v>0.23000000000000043</v>
          </cell>
          <cell r="Q9">
            <v>6</v>
          </cell>
          <cell r="R9">
            <v>21.3</v>
          </cell>
          <cell r="S9">
            <v>0.31000000000000227</v>
          </cell>
          <cell r="U9">
            <v>6</v>
          </cell>
          <cell r="V9">
            <v>18.88</v>
          </cell>
          <cell r="W9">
            <v>0.23000000000000043</v>
          </cell>
          <cell r="Y9">
            <v>6</v>
          </cell>
          <cell r="Z9">
            <v>15.23</v>
          </cell>
          <cell r="AA9">
            <v>8.9999999999999858E-2</v>
          </cell>
          <cell r="AG9">
            <v>6</v>
          </cell>
          <cell r="AH9">
            <v>13.44</v>
          </cell>
          <cell r="AI9">
            <v>6.4999999999999503E-2</v>
          </cell>
        </row>
        <row r="10">
          <cell r="A10">
            <v>8</v>
          </cell>
          <cell r="B10">
            <v>22.86</v>
          </cell>
          <cell r="C10">
            <v>5.4999999999999716E-2</v>
          </cell>
          <cell r="E10">
            <v>8</v>
          </cell>
          <cell r="F10">
            <v>20.56</v>
          </cell>
          <cell r="G10">
            <v>5.4999999999999716E-2</v>
          </cell>
          <cell r="I10">
            <v>7</v>
          </cell>
          <cell r="J10">
            <v>22.56</v>
          </cell>
          <cell r="K10">
            <v>0.29999999999999716</v>
          </cell>
          <cell r="M10">
            <v>7</v>
          </cell>
          <cell r="N10">
            <v>18.649999999999999</v>
          </cell>
          <cell r="O10">
            <v>0.19999999999999929</v>
          </cell>
          <cell r="Q10">
            <v>7</v>
          </cell>
          <cell r="R10">
            <v>20.99</v>
          </cell>
          <cell r="S10">
            <v>0.27999999999999758</v>
          </cell>
          <cell r="U10">
            <v>7</v>
          </cell>
          <cell r="V10">
            <v>18.649999999999999</v>
          </cell>
          <cell r="W10">
            <v>0.19999999999999929</v>
          </cell>
          <cell r="Y10">
            <v>7</v>
          </cell>
          <cell r="Z10">
            <v>15.14</v>
          </cell>
          <cell r="AA10">
            <v>8.0000000000000071E-2</v>
          </cell>
          <cell r="AG10">
            <v>8</v>
          </cell>
          <cell r="AH10">
            <v>13.31</v>
          </cell>
          <cell r="AI10">
            <v>5.5000000000000604E-2</v>
          </cell>
        </row>
        <row r="11">
          <cell r="A11">
            <v>10</v>
          </cell>
          <cell r="B11">
            <v>22.75</v>
          </cell>
          <cell r="C11">
            <v>0.10999999999999943</v>
          </cell>
          <cell r="E11">
            <v>10</v>
          </cell>
          <cell r="F11">
            <v>20.45</v>
          </cell>
          <cell r="G11">
            <v>8.4999999999999076E-2</v>
          </cell>
          <cell r="I11">
            <v>8</v>
          </cell>
          <cell r="J11">
            <v>22.26</v>
          </cell>
          <cell r="K11">
            <v>0.27000000000000313</v>
          </cell>
          <cell r="M11">
            <v>8</v>
          </cell>
          <cell r="N11">
            <v>18.45</v>
          </cell>
          <cell r="O11">
            <v>0.16000000000000014</v>
          </cell>
          <cell r="Q11">
            <v>8</v>
          </cell>
          <cell r="R11">
            <v>20.71</v>
          </cell>
          <cell r="S11">
            <v>0.24000000000000199</v>
          </cell>
          <cell r="U11">
            <v>8</v>
          </cell>
          <cell r="V11">
            <v>18.45</v>
          </cell>
          <cell r="W11">
            <v>0.16000000000000014</v>
          </cell>
          <cell r="Y11">
            <v>8</v>
          </cell>
          <cell r="Z11">
            <v>15.06</v>
          </cell>
          <cell r="AA11">
            <v>7.0000000000000284E-2</v>
          </cell>
          <cell r="AG11">
            <v>10</v>
          </cell>
          <cell r="AH11">
            <v>13.2</v>
          </cell>
          <cell r="AI11">
            <v>4.0000000000000036E-2</v>
          </cell>
        </row>
        <row r="12">
          <cell r="A12">
            <v>12</v>
          </cell>
          <cell r="B12">
            <v>22.53</v>
          </cell>
          <cell r="C12">
            <v>0.10000000000000142</v>
          </cell>
          <cell r="E12">
            <v>12</v>
          </cell>
          <cell r="F12">
            <v>20.28</v>
          </cell>
          <cell r="G12">
            <v>7.0000000000000284E-2</v>
          </cell>
          <cell r="I12">
            <v>9</v>
          </cell>
          <cell r="J12">
            <v>21.99</v>
          </cell>
          <cell r="K12">
            <v>0.23999999999999844</v>
          </cell>
          <cell r="M12">
            <v>9</v>
          </cell>
          <cell r="N12">
            <v>18.29</v>
          </cell>
          <cell r="O12">
            <v>0.14999999999999858</v>
          </cell>
          <cell r="Q12">
            <v>9</v>
          </cell>
          <cell r="R12">
            <v>20.47</v>
          </cell>
          <cell r="S12">
            <v>0.2099999999999973</v>
          </cell>
          <cell r="U12">
            <v>9</v>
          </cell>
          <cell r="V12">
            <v>18.29</v>
          </cell>
          <cell r="W12">
            <v>0.14999999999999858</v>
          </cell>
          <cell r="Y12">
            <v>9</v>
          </cell>
          <cell r="Z12">
            <v>14.99</v>
          </cell>
          <cell r="AA12">
            <v>6.0000000000000497E-2</v>
          </cell>
          <cell r="AG12">
            <v>12</v>
          </cell>
          <cell r="AH12">
            <v>13.12</v>
          </cell>
          <cell r="AI12">
            <v>3.4999999999999254E-2</v>
          </cell>
        </row>
        <row r="13">
          <cell r="A13">
            <v>14</v>
          </cell>
          <cell r="B13">
            <v>22.33</v>
          </cell>
          <cell r="C13">
            <v>7.9999999999998295E-2</v>
          </cell>
          <cell r="E13">
            <v>14</v>
          </cell>
          <cell r="F13">
            <v>20.14</v>
          </cell>
          <cell r="G13">
            <v>6.0000000000000497E-2</v>
          </cell>
          <cell r="I13">
            <v>10</v>
          </cell>
          <cell r="J13">
            <v>21.75</v>
          </cell>
          <cell r="K13">
            <v>0.20500000000000007</v>
          </cell>
          <cell r="M13">
            <v>10</v>
          </cell>
          <cell r="N13">
            <v>18.14</v>
          </cell>
          <cell r="O13">
            <v>0.13000000000000078</v>
          </cell>
          <cell r="Q13">
            <v>10</v>
          </cell>
          <cell r="R13">
            <v>20.260000000000002</v>
          </cell>
          <cell r="S13">
            <v>0.17500000000000071</v>
          </cell>
          <cell r="U13">
            <v>10</v>
          </cell>
          <cell r="V13">
            <v>18.14</v>
          </cell>
          <cell r="W13">
            <v>0.13000000000000078</v>
          </cell>
          <cell r="Y13">
            <v>10</v>
          </cell>
          <cell r="Z13">
            <v>14.93</v>
          </cell>
          <cell r="AA13">
            <v>0.11500000000000021</v>
          </cell>
          <cell r="AG13">
            <v>14</v>
          </cell>
          <cell r="AH13">
            <v>13.05</v>
          </cell>
          <cell r="AI13">
            <v>3.0000000000000249E-2</v>
          </cell>
        </row>
        <row r="14">
          <cell r="A14">
            <v>16</v>
          </cell>
          <cell r="B14">
            <v>22.17</v>
          </cell>
          <cell r="C14">
            <v>7.0000000000000284E-2</v>
          </cell>
          <cell r="E14">
            <v>16</v>
          </cell>
          <cell r="F14">
            <v>20.02</v>
          </cell>
          <cell r="G14">
            <v>5.4999999999999716E-2</v>
          </cell>
          <cell r="I14">
            <v>12</v>
          </cell>
          <cell r="J14">
            <v>21.34</v>
          </cell>
          <cell r="K14">
            <v>0.16499999999999915</v>
          </cell>
          <cell r="M14">
            <v>12</v>
          </cell>
          <cell r="N14">
            <v>17.88</v>
          </cell>
          <cell r="O14">
            <v>0.10999999999999943</v>
          </cell>
          <cell r="Q14">
            <v>12</v>
          </cell>
          <cell r="R14">
            <v>19.91</v>
          </cell>
          <cell r="S14">
            <v>0.15000000000000036</v>
          </cell>
          <cell r="U14">
            <v>12</v>
          </cell>
          <cell r="V14">
            <v>17.88</v>
          </cell>
          <cell r="W14">
            <v>0.10999999999999943</v>
          </cell>
          <cell r="Y14">
            <v>12</v>
          </cell>
          <cell r="Z14">
            <v>14.7</v>
          </cell>
          <cell r="AA14">
            <v>8.9999999999999858E-2</v>
          </cell>
          <cell r="AG14">
            <v>16</v>
          </cell>
          <cell r="AH14">
            <v>12.99</v>
          </cell>
          <cell r="AI14">
            <v>2.5000000000000355E-2</v>
          </cell>
        </row>
        <row r="15">
          <cell r="A15">
            <v>18</v>
          </cell>
          <cell r="B15">
            <v>22.03</v>
          </cell>
          <cell r="C15">
            <v>6.0000000000000497E-2</v>
          </cell>
          <cell r="E15">
            <v>18</v>
          </cell>
          <cell r="F15">
            <v>19.91</v>
          </cell>
          <cell r="G15">
            <v>4.4999999999999929E-2</v>
          </cell>
          <cell r="I15">
            <v>14</v>
          </cell>
          <cell r="J15">
            <v>21.01</v>
          </cell>
          <cell r="K15">
            <v>0.15000000000000036</v>
          </cell>
          <cell r="M15">
            <v>14</v>
          </cell>
          <cell r="N15">
            <v>17.66</v>
          </cell>
          <cell r="O15">
            <v>8.9999999999999858E-2</v>
          </cell>
          <cell r="Q15">
            <v>14</v>
          </cell>
          <cell r="R15">
            <v>19.61</v>
          </cell>
          <cell r="S15">
            <v>0.11999999999999922</v>
          </cell>
          <cell r="U15">
            <v>14</v>
          </cell>
          <cell r="V15">
            <v>17.66</v>
          </cell>
          <cell r="W15">
            <v>8.9999999999999858E-2</v>
          </cell>
          <cell r="Y15">
            <v>14</v>
          </cell>
          <cell r="Z15">
            <v>14.52</v>
          </cell>
          <cell r="AA15">
            <v>8.0000000000000071E-2</v>
          </cell>
          <cell r="AG15">
            <v>18</v>
          </cell>
          <cell r="AH15">
            <v>12.94</v>
          </cell>
          <cell r="AI15">
            <v>2.4999999999999467E-2</v>
          </cell>
        </row>
        <row r="16">
          <cell r="A16">
            <v>20</v>
          </cell>
          <cell r="B16">
            <v>21.91</v>
          </cell>
          <cell r="C16">
            <v>6.4999999999999503E-2</v>
          </cell>
          <cell r="E16">
            <v>20</v>
          </cell>
          <cell r="F16">
            <v>19.82</v>
          </cell>
          <cell r="G16">
            <v>3.5000000000000142E-2</v>
          </cell>
          <cell r="I16">
            <v>16</v>
          </cell>
          <cell r="J16">
            <v>20.71</v>
          </cell>
          <cell r="K16">
            <v>0.12000000000000099</v>
          </cell>
          <cell r="M16">
            <v>16</v>
          </cell>
          <cell r="N16">
            <v>17.48</v>
          </cell>
          <cell r="O16">
            <v>8.0000000000000071E-2</v>
          </cell>
          <cell r="Q16">
            <v>16</v>
          </cell>
          <cell r="R16">
            <v>19.37</v>
          </cell>
          <cell r="S16">
            <v>0.11000000000000121</v>
          </cell>
          <cell r="U16">
            <v>16</v>
          </cell>
          <cell r="V16">
            <v>17.48</v>
          </cell>
          <cell r="W16">
            <v>8.0000000000000071E-2</v>
          </cell>
          <cell r="Y16">
            <v>16</v>
          </cell>
          <cell r="Z16">
            <v>14.36</v>
          </cell>
          <cell r="AA16">
            <v>6.9999999999999396E-2</v>
          </cell>
          <cell r="AG16">
            <v>20</v>
          </cell>
          <cell r="AH16">
            <v>12.89</v>
          </cell>
          <cell r="AI16">
            <v>2.0000000000000462E-2</v>
          </cell>
        </row>
        <row r="17">
          <cell r="A17">
            <v>22</v>
          </cell>
          <cell r="B17">
            <v>21.78</v>
          </cell>
          <cell r="C17">
            <v>5.0000000000000711E-2</v>
          </cell>
          <cell r="E17">
            <v>22</v>
          </cell>
          <cell r="F17">
            <v>19.75</v>
          </cell>
          <cell r="G17">
            <v>4.4999999999999929E-2</v>
          </cell>
          <cell r="I17">
            <v>18</v>
          </cell>
          <cell r="J17">
            <v>20.47</v>
          </cell>
          <cell r="K17">
            <v>0.11500000000000021</v>
          </cell>
          <cell r="M17">
            <v>18</v>
          </cell>
          <cell r="N17">
            <v>17.32</v>
          </cell>
          <cell r="O17">
            <v>7.0000000000000284E-2</v>
          </cell>
          <cell r="Q17">
            <v>18</v>
          </cell>
          <cell r="R17">
            <v>19.149999999999999</v>
          </cell>
          <cell r="S17">
            <v>9.9999999999999645E-2</v>
          </cell>
          <cell r="U17">
            <v>18</v>
          </cell>
          <cell r="V17">
            <v>17.32</v>
          </cell>
          <cell r="W17">
            <v>7.0000000000000284E-2</v>
          </cell>
          <cell r="Y17">
            <v>18</v>
          </cell>
          <cell r="Z17">
            <v>14.22</v>
          </cell>
          <cell r="AA17">
            <v>5.5000000000000604E-2</v>
          </cell>
          <cell r="AG17">
            <v>22</v>
          </cell>
          <cell r="AH17">
            <v>12.85</v>
          </cell>
          <cell r="AI17">
            <v>1.9999999999999574E-2</v>
          </cell>
        </row>
        <row r="18">
          <cell r="A18">
            <v>24</v>
          </cell>
          <cell r="B18">
            <v>21.68</v>
          </cell>
          <cell r="C18">
            <v>4.4999999999999929E-2</v>
          </cell>
          <cell r="E18">
            <v>24</v>
          </cell>
          <cell r="F18">
            <v>19.66</v>
          </cell>
          <cell r="G18">
            <v>3.5000000000000142E-2</v>
          </cell>
          <cell r="I18">
            <v>20</v>
          </cell>
          <cell r="J18">
            <v>20.239999999999998</v>
          </cell>
          <cell r="K18">
            <v>9.4999999999998863E-2</v>
          </cell>
          <cell r="M18">
            <v>20</v>
          </cell>
          <cell r="N18">
            <v>17.18</v>
          </cell>
          <cell r="O18">
            <v>6.4999999999999503E-2</v>
          </cell>
          <cell r="Q18">
            <v>20</v>
          </cell>
          <cell r="R18">
            <v>18.95</v>
          </cell>
          <cell r="S18">
            <v>8.4999999999999076E-2</v>
          </cell>
          <cell r="U18">
            <v>20</v>
          </cell>
          <cell r="V18">
            <v>17.18</v>
          </cell>
          <cell r="W18">
            <v>6.4999999999999503E-2</v>
          </cell>
          <cell r="Y18">
            <v>20</v>
          </cell>
          <cell r="Z18">
            <v>14.11</v>
          </cell>
          <cell r="AA18">
            <v>5.4999999999999716E-2</v>
          </cell>
          <cell r="AG18">
            <v>24</v>
          </cell>
          <cell r="AH18">
            <v>12.81</v>
          </cell>
          <cell r="AI18">
            <v>1.5000000000000568E-2</v>
          </cell>
        </row>
        <row r="19">
          <cell r="A19">
            <v>26</v>
          </cell>
          <cell r="B19">
            <v>21.59</v>
          </cell>
          <cell r="C19">
            <v>4.4999999999999929E-2</v>
          </cell>
          <cell r="E19">
            <v>26</v>
          </cell>
          <cell r="F19">
            <v>19.59</v>
          </cell>
          <cell r="G19">
            <v>2.9999999999999361E-2</v>
          </cell>
          <cell r="I19">
            <v>22</v>
          </cell>
          <cell r="J19">
            <v>20.05</v>
          </cell>
          <cell r="K19">
            <v>8.9999999999999858E-2</v>
          </cell>
          <cell r="M19">
            <v>22</v>
          </cell>
          <cell r="N19">
            <v>17.05</v>
          </cell>
          <cell r="O19">
            <v>6.0000000000000497E-2</v>
          </cell>
          <cell r="Q19">
            <v>22</v>
          </cell>
          <cell r="R19">
            <v>18.78</v>
          </cell>
          <cell r="S19">
            <v>8.0000000000000071E-2</v>
          </cell>
          <cell r="U19">
            <v>22</v>
          </cell>
          <cell r="V19">
            <v>17.05</v>
          </cell>
          <cell r="W19">
            <v>6.0000000000000497E-2</v>
          </cell>
          <cell r="Y19">
            <v>22</v>
          </cell>
          <cell r="Z19">
            <v>14</v>
          </cell>
          <cell r="AA19">
            <v>5.4999999999999716E-2</v>
          </cell>
          <cell r="AG19">
            <v>26</v>
          </cell>
          <cell r="AH19">
            <v>12.78</v>
          </cell>
          <cell r="AI19">
            <v>2.4999999999999467E-2</v>
          </cell>
        </row>
        <row r="20">
          <cell r="A20">
            <v>28</v>
          </cell>
          <cell r="B20">
            <v>21.5</v>
          </cell>
          <cell r="C20">
            <v>3.9999999999999147E-2</v>
          </cell>
          <cell r="E20">
            <v>28</v>
          </cell>
          <cell r="F20">
            <v>19.53</v>
          </cell>
          <cell r="G20">
            <v>3.5000000000000142E-2</v>
          </cell>
          <cell r="I20">
            <v>24</v>
          </cell>
          <cell r="J20">
            <v>19.87</v>
          </cell>
          <cell r="K20">
            <v>8.0000000000000071E-2</v>
          </cell>
          <cell r="M20">
            <v>24</v>
          </cell>
          <cell r="N20">
            <v>16.93</v>
          </cell>
          <cell r="O20">
            <v>5.4999999999999716E-2</v>
          </cell>
          <cell r="Q20">
            <v>24</v>
          </cell>
          <cell r="R20">
            <v>18.62</v>
          </cell>
          <cell r="S20">
            <v>7.0000000000000284E-2</v>
          </cell>
          <cell r="U20">
            <v>24</v>
          </cell>
          <cell r="V20">
            <v>16.93</v>
          </cell>
          <cell r="W20">
            <v>5.4999999999999716E-2</v>
          </cell>
          <cell r="Y20">
            <v>24</v>
          </cell>
          <cell r="Z20">
            <v>13.89</v>
          </cell>
          <cell r="AA20">
            <v>4.4999999999999929E-2</v>
          </cell>
          <cell r="AG20">
            <v>28</v>
          </cell>
          <cell r="AH20">
            <v>12.73</v>
          </cell>
          <cell r="AI20">
            <v>1.5000000000000568E-2</v>
          </cell>
        </row>
        <row r="21">
          <cell r="A21">
            <v>30</v>
          </cell>
          <cell r="B21">
            <v>21.42</v>
          </cell>
          <cell r="C21">
            <v>4.5000000000001705E-2</v>
          </cell>
          <cell r="E21">
            <v>30</v>
          </cell>
          <cell r="F21">
            <v>19.46</v>
          </cell>
          <cell r="G21">
            <v>2.5000000000000355E-2</v>
          </cell>
          <cell r="I21">
            <v>26</v>
          </cell>
          <cell r="J21">
            <v>19.71</v>
          </cell>
          <cell r="K21">
            <v>8.0000000000000071E-2</v>
          </cell>
          <cell r="M21">
            <v>26</v>
          </cell>
          <cell r="N21">
            <v>16.82</v>
          </cell>
          <cell r="O21">
            <v>5.0000000000000711E-2</v>
          </cell>
          <cell r="Q21">
            <v>26</v>
          </cell>
          <cell r="R21">
            <v>18.48</v>
          </cell>
          <cell r="S21">
            <v>6.4999999999999503E-2</v>
          </cell>
          <cell r="U21">
            <v>26</v>
          </cell>
          <cell r="V21">
            <v>16.82</v>
          </cell>
          <cell r="W21">
            <v>5.0000000000000711E-2</v>
          </cell>
          <cell r="Y21">
            <v>26</v>
          </cell>
          <cell r="Z21">
            <v>13.8</v>
          </cell>
          <cell r="AA21">
            <v>4.4999999999999929E-2</v>
          </cell>
          <cell r="AG21">
            <v>30</v>
          </cell>
          <cell r="AH21">
            <v>12.7</v>
          </cell>
          <cell r="AI21">
            <v>1.499999999999968E-2</v>
          </cell>
        </row>
        <row r="22">
          <cell r="A22">
            <v>32</v>
          </cell>
          <cell r="B22">
            <v>21.33</v>
          </cell>
          <cell r="C22">
            <v>2.9999999999999361E-2</v>
          </cell>
          <cell r="E22">
            <v>32</v>
          </cell>
          <cell r="F22">
            <v>19.41</v>
          </cell>
          <cell r="G22">
            <v>2.9999999999999361E-2</v>
          </cell>
          <cell r="I22">
            <v>28</v>
          </cell>
          <cell r="J22">
            <v>19.55</v>
          </cell>
          <cell r="K22">
            <v>7.0000000000000284E-2</v>
          </cell>
          <cell r="M22">
            <v>28</v>
          </cell>
          <cell r="N22">
            <v>16.72</v>
          </cell>
          <cell r="O22">
            <v>4.4999999999999929E-2</v>
          </cell>
          <cell r="Q22">
            <v>28</v>
          </cell>
          <cell r="R22">
            <v>18.350000000000001</v>
          </cell>
          <cell r="S22">
            <v>6.5000000000001279E-2</v>
          </cell>
          <cell r="U22">
            <v>28</v>
          </cell>
          <cell r="V22">
            <v>16.72</v>
          </cell>
          <cell r="W22">
            <v>4.4999999999999929E-2</v>
          </cell>
          <cell r="Y22">
            <v>28</v>
          </cell>
          <cell r="Z22">
            <v>13.71</v>
          </cell>
          <cell r="AA22">
            <v>3.5000000000000142E-2</v>
          </cell>
          <cell r="AG22">
            <v>32</v>
          </cell>
          <cell r="AH22">
            <v>12.67</v>
          </cell>
          <cell r="AI22">
            <v>9.9999999999997868E-3</v>
          </cell>
        </row>
        <row r="23">
          <cell r="A23">
            <v>34</v>
          </cell>
          <cell r="B23">
            <v>21.27</v>
          </cell>
          <cell r="C23">
            <v>3.5000000000000142E-2</v>
          </cell>
          <cell r="E23">
            <v>34</v>
          </cell>
          <cell r="F23">
            <v>19.350000000000001</v>
          </cell>
          <cell r="G23">
            <v>2.000000000000135E-2</v>
          </cell>
          <cell r="I23">
            <v>30</v>
          </cell>
          <cell r="J23">
            <v>19.41</v>
          </cell>
          <cell r="K23">
            <v>6.0000000000000497E-2</v>
          </cell>
          <cell r="M23">
            <v>30</v>
          </cell>
          <cell r="N23">
            <v>16.63</v>
          </cell>
          <cell r="O23">
            <v>3.9999999999999147E-2</v>
          </cell>
          <cell r="Q23">
            <v>30</v>
          </cell>
          <cell r="R23">
            <v>18.22</v>
          </cell>
          <cell r="S23">
            <v>5.4999999999999716E-2</v>
          </cell>
          <cell r="U23">
            <v>30</v>
          </cell>
          <cell r="V23">
            <v>16.63</v>
          </cell>
          <cell r="W23">
            <v>3.9999999999999147E-2</v>
          </cell>
          <cell r="Y23">
            <v>30</v>
          </cell>
          <cell r="Z23">
            <v>13.64</v>
          </cell>
          <cell r="AA23">
            <v>3.5000000000000142E-2</v>
          </cell>
          <cell r="AG23">
            <v>34</v>
          </cell>
          <cell r="AH23">
            <v>12.65</v>
          </cell>
          <cell r="AI23">
            <v>1.5000000000000568E-2</v>
          </cell>
        </row>
        <row r="24">
          <cell r="A24">
            <v>36</v>
          </cell>
          <cell r="B24">
            <v>21.2</v>
          </cell>
          <cell r="C24">
            <v>2.9999999999999361E-2</v>
          </cell>
          <cell r="E24">
            <v>36</v>
          </cell>
          <cell r="F24">
            <v>19.309999999999999</v>
          </cell>
          <cell r="G24">
            <v>2.4999999999998579E-2</v>
          </cell>
          <cell r="I24">
            <v>32</v>
          </cell>
          <cell r="J24">
            <v>19.29</v>
          </cell>
          <cell r="K24">
            <v>5.9999999999998721E-2</v>
          </cell>
          <cell r="M24">
            <v>32</v>
          </cell>
          <cell r="N24">
            <v>16.55</v>
          </cell>
          <cell r="O24">
            <v>4.0000000000000924E-2</v>
          </cell>
          <cell r="Q24">
            <v>32</v>
          </cell>
          <cell r="R24">
            <v>18.11</v>
          </cell>
          <cell r="S24">
            <v>4.9999999999998934E-2</v>
          </cell>
          <cell r="U24">
            <v>32</v>
          </cell>
          <cell r="V24">
            <v>16.55</v>
          </cell>
          <cell r="W24">
            <v>4.0000000000000924E-2</v>
          </cell>
          <cell r="Y24">
            <v>32</v>
          </cell>
          <cell r="Z24">
            <v>13.57</v>
          </cell>
          <cell r="AA24">
            <v>3.5000000000000142E-2</v>
          </cell>
          <cell r="AG24">
            <v>36</v>
          </cell>
          <cell r="AH24">
            <v>12.62</v>
          </cell>
          <cell r="AI24">
            <v>9.9999999999997868E-3</v>
          </cell>
        </row>
        <row r="25">
          <cell r="A25">
            <v>38</v>
          </cell>
          <cell r="B25">
            <v>21.14</v>
          </cell>
          <cell r="C25">
            <v>3.5000000000000142E-2</v>
          </cell>
          <cell r="E25">
            <v>38</v>
          </cell>
          <cell r="F25">
            <v>19.260000000000002</v>
          </cell>
          <cell r="G25">
            <v>2.5000000000000355E-2</v>
          </cell>
          <cell r="I25">
            <v>34</v>
          </cell>
          <cell r="J25">
            <v>19.170000000000002</v>
          </cell>
          <cell r="K25">
            <v>6.0000000000000497E-2</v>
          </cell>
          <cell r="M25">
            <v>34</v>
          </cell>
          <cell r="N25">
            <v>16.47</v>
          </cell>
          <cell r="O25">
            <v>3.9999999999999147E-2</v>
          </cell>
          <cell r="Q25">
            <v>34</v>
          </cell>
          <cell r="R25">
            <v>18.010000000000002</v>
          </cell>
          <cell r="S25">
            <v>5.0000000000000711E-2</v>
          </cell>
          <cell r="U25">
            <v>34</v>
          </cell>
          <cell r="V25">
            <v>16.47</v>
          </cell>
          <cell r="W25">
            <v>3.9999999999999147E-2</v>
          </cell>
          <cell r="Y25">
            <v>34</v>
          </cell>
          <cell r="Z25">
            <v>13.5</v>
          </cell>
          <cell r="AA25">
            <v>3.5000000000000142E-2</v>
          </cell>
          <cell r="AG25">
            <v>38</v>
          </cell>
          <cell r="AH25">
            <v>12.6</v>
          </cell>
          <cell r="AI25">
            <v>1.499999999999968E-2</v>
          </cell>
        </row>
        <row r="26">
          <cell r="A26">
            <v>40</v>
          </cell>
          <cell r="B26">
            <v>21.07</v>
          </cell>
          <cell r="C26">
            <v>2.5999999999999801E-2</v>
          </cell>
          <cell r="E26">
            <v>40</v>
          </cell>
          <cell r="F26">
            <v>19.21</v>
          </cell>
          <cell r="G26">
            <v>2.0000000000000285E-2</v>
          </cell>
          <cell r="I26">
            <v>36</v>
          </cell>
          <cell r="J26">
            <v>19.05</v>
          </cell>
          <cell r="K26">
            <v>5.0000000000000711E-2</v>
          </cell>
          <cell r="M26">
            <v>36</v>
          </cell>
          <cell r="N26">
            <v>16.39</v>
          </cell>
          <cell r="O26">
            <v>3.5000000000000142E-2</v>
          </cell>
          <cell r="Q26">
            <v>36</v>
          </cell>
          <cell r="R26">
            <v>17.91</v>
          </cell>
          <cell r="S26">
            <v>4.4999999999999929E-2</v>
          </cell>
          <cell r="U26">
            <v>36</v>
          </cell>
          <cell r="V26">
            <v>16.39</v>
          </cell>
          <cell r="W26">
            <v>3.5000000000000142E-2</v>
          </cell>
          <cell r="Y26">
            <v>36</v>
          </cell>
          <cell r="Z26">
            <v>13.43</v>
          </cell>
          <cell r="AA26">
            <v>2.4999999999999467E-2</v>
          </cell>
          <cell r="AG26">
            <v>40</v>
          </cell>
          <cell r="AH26">
            <v>12.57</v>
          </cell>
          <cell r="AI26">
            <v>1.0000000000000142E-2</v>
          </cell>
        </row>
        <row r="27">
          <cell r="A27">
            <v>45</v>
          </cell>
          <cell r="B27">
            <v>20.94</v>
          </cell>
          <cell r="C27">
            <v>2.4000000000000198E-2</v>
          </cell>
          <cell r="E27">
            <v>45</v>
          </cell>
          <cell r="F27">
            <v>19.11</v>
          </cell>
          <cell r="G27">
            <v>1.7999999999999971E-2</v>
          </cell>
          <cell r="I27">
            <v>38</v>
          </cell>
          <cell r="J27">
            <v>18.95</v>
          </cell>
          <cell r="K27">
            <v>4.9999999999998934E-2</v>
          </cell>
          <cell r="M27">
            <v>38</v>
          </cell>
          <cell r="N27">
            <v>16.32</v>
          </cell>
          <cell r="O27">
            <v>2.9999999999999361E-2</v>
          </cell>
          <cell r="Q27">
            <v>38</v>
          </cell>
          <cell r="R27">
            <v>17.82</v>
          </cell>
          <cell r="S27">
            <v>4.4999999999999929E-2</v>
          </cell>
          <cell r="U27">
            <v>38</v>
          </cell>
          <cell r="V27">
            <v>16.32</v>
          </cell>
          <cell r="W27">
            <v>2.9999999999999361E-2</v>
          </cell>
          <cell r="Y27">
            <v>38</v>
          </cell>
          <cell r="Z27">
            <v>13.38</v>
          </cell>
          <cell r="AA27">
            <v>3.0000000000000249E-2</v>
          </cell>
          <cell r="AG27">
            <v>45</v>
          </cell>
          <cell r="AH27">
            <v>12.52</v>
          </cell>
          <cell r="AI27">
            <v>9.9999999999997868E-3</v>
          </cell>
        </row>
        <row r="28">
          <cell r="A28">
            <v>50</v>
          </cell>
          <cell r="B28">
            <v>20.82</v>
          </cell>
          <cell r="C28">
            <v>2.1999999999999888E-2</v>
          </cell>
          <cell r="E28">
            <v>50</v>
          </cell>
          <cell r="F28">
            <v>19.02</v>
          </cell>
          <cell r="G28">
            <v>1.599999999999966E-2</v>
          </cell>
          <cell r="I28">
            <v>40</v>
          </cell>
          <cell r="J28">
            <v>18.850000000000001</v>
          </cell>
          <cell r="K28">
            <v>4.8000000000000397E-2</v>
          </cell>
          <cell r="M28">
            <v>40</v>
          </cell>
          <cell r="N28">
            <v>16.260000000000002</v>
          </cell>
          <cell r="O28">
            <v>3.2000000000000028E-2</v>
          </cell>
          <cell r="Q28">
            <v>40</v>
          </cell>
          <cell r="R28">
            <v>17.73</v>
          </cell>
          <cell r="S28">
            <v>3.9999999999999855E-2</v>
          </cell>
          <cell r="U28">
            <v>40</v>
          </cell>
          <cell r="V28">
            <v>16.260000000000002</v>
          </cell>
          <cell r="W28">
            <v>3.2000000000000028E-2</v>
          </cell>
          <cell r="Y28">
            <v>40</v>
          </cell>
          <cell r="Z28">
            <v>13.32</v>
          </cell>
          <cell r="AA28">
            <v>2.6000000000000155E-2</v>
          </cell>
          <cell r="AG28">
            <v>50</v>
          </cell>
          <cell r="AH28">
            <v>12.47</v>
          </cell>
          <cell r="AI28">
            <v>8.000000000000184E-3</v>
          </cell>
        </row>
        <row r="29">
          <cell r="A29">
            <v>55</v>
          </cell>
          <cell r="B29">
            <v>20.71</v>
          </cell>
          <cell r="C29">
            <v>2.0000000000000285E-2</v>
          </cell>
          <cell r="E29">
            <v>55</v>
          </cell>
          <cell r="F29">
            <v>18.940000000000001</v>
          </cell>
          <cell r="G29">
            <v>1.6000000000000368E-2</v>
          </cell>
          <cell r="I29">
            <v>45</v>
          </cell>
          <cell r="J29">
            <v>18.61</v>
          </cell>
          <cell r="K29">
            <v>3.7999999999999548E-2</v>
          </cell>
          <cell r="M29">
            <v>45</v>
          </cell>
          <cell r="N29">
            <v>16.100000000000001</v>
          </cell>
          <cell r="O29">
            <v>2.6000000000000155E-2</v>
          </cell>
          <cell r="Q29">
            <v>45</v>
          </cell>
          <cell r="R29">
            <v>17.53</v>
          </cell>
          <cell r="S29">
            <v>3.5999999999999942E-2</v>
          </cell>
          <cell r="U29">
            <v>45</v>
          </cell>
          <cell r="V29">
            <v>16.100000000000001</v>
          </cell>
          <cell r="W29">
            <v>2.6000000000000155E-2</v>
          </cell>
          <cell r="Y29">
            <v>45</v>
          </cell>
          <cell r="Z29">
            <v>13.19</v>
          </cell>
          <cell r="AA29">
            <v>2.1999999999999888E-2</v>
          </cell>
          <cell r="AG29">
            <v>55</v>
          </cell>
          <cell r="AH29">
            <v>12.43</v>
          </cell>
          <cell r="AI29">
            <v>-8.000000000000184E-3</v>
          </cell>
        </row>
        <row r="30">
          <cell r="A30">
            <v>60</v>
          </cell>
          <cell r="B30">
            <v>20.61</v>
          </cell>
          <cell r="C30">
            <v>1.8999999999999774E-2</v>
          </cell>
          <cell r="E30">
            <v>60</v>
          </cell>
          <cell r="F30">
            <v>18.86</v>
          </cell>
          <cell r="G30">
            <v>1.4000000000000058E-2</v>
          </cell>
          <cell r="I30">
            <v>50</v>
          </cell>
          <cell r="J30">
            <v>18.420000000000002</v>
          </cell>
          <cell r="K30">
            <v>3.6000000000000656E-2</v>
          </cell>
          <cell r="M30">
            <v>50</v>
          </cell>
          <cell r="N30">
            <v>15.97</v>
          </cell>
          <cell r="O30">
            <v>2.6000000000000155E-2</v>
          </cell>
          <cell r="Q30">
            <v>50</v>
          </cell>
          <cell r="R30">
            <v>17.350000000000001</v>
          </cell>
          <cell r="S30">
            <v>3.2000000000000028E-2</v>
          </cell>
          <cell r="U30">
            <v>50</v>
          </cell>
          <cell r="V30">
            <v>15.97</v>
          </cell>
          <cell r="W30">
            <v>2.6000000000000155E-2</v>
          </cell>
          <cell r="Y30">
            <v>50</v>
          </cell>
          <cell r="Z30">
            <v>13.08</v>
          </cell>
          <cell r="AA30">
            <v>1.9999999999999928E-2</v>
          </cell>
          <cell r="AG30">
            <v>60</v>
          </cell>
          <cell r="AH30">
            <v>12.47</v>
          </cell>
          <cell r="AI30">
            <v>1.5000000000000036E-2</v>
          </cell>
        </row>
        <row r="31">
          <cell r="A31">
            <v>70</v>
          </cell>
          <cell r="B31">
            <v>20.420000000000002</v>
          </cell>
          <cell r="C31">
            <v>1.5000000000000213E-2</v>
          </cell>
          <cell r="E31">
            <v>70</v>
          </cell>
          <cell r="F31">
            <v>18.72</v>
          </cell>
          <cell r="G31">
            <v>1.0999999999999944E-2</v>
          </cell>
          <cell r="I31">
            <v>55</v>
          </cell>
          <cell r="J31">
            <v>18.239999999999998</v>
          </cell>
          <cell r="K31">
            <v>3.2000000000000028E-2</v>
          </cell>
          <cell r="M31">
            <v>55</v>
          </cell>
          <cell r="N31">
            <v>15.84</v>
          </cell>
          <cell r="O31">
            <v>1.9999999999999928E-2</v>
          </cell>
          <cell r="Q31">
            <v>55</v>
          </cell>
          <cell r="R31">
            <v>17.190000000000001</v>
          </cell>
          <cell r="S31">
            <v>2.8000000000000115E-2</v>
          </cell>
          <cell r="U31">
            <v>55</v>
          </cell>
          <cell r="V31">
            <v>15.84</v>
          </cell>
          <cell r="W31">
            <v>1.9999999999999928E-2</v>
          </cell>
          <cell r="Y31">
            <v>55</v>
          </cell>
          <cell r="Z31">
            <v>12.98</v>
          </cell>
          <cell r="AA31">
            <v>1.9999999999999928E-2</v>
          </cell>
          <cell r="AG31">
            <v>70</v>
          </cell>
          <cell r="AH31">
            <v>12.32</v>
          </cell>
          <cell r="AI31">
            <v>6.0000000000000496E-3</v>
          </cell>
        </row>
        <row r="32">
          <cell r="A32">
            <v>80</v>
          </cell>
          <cell r="B32">
            <v>20.27</v>
          </cell>
          <cell r="C32">
            <v>1.2999999999999901E-2</v>
          </cell>
          <cell r="E32">
            <v>80</v>
          </cell>
          <cell r="F32">
            <v>18.61</v>
          </cell>
          <cell r="G32">
            <v>9.9999999999997868E-3</v>
          </cell>
          <cell r="I32">
            <v>60</v>
          </cell>
          <cell r="J32">
            <v>18.079999999999998</v>
          </cell>
          <cell r="K32">
            <v>2.8999999999999915E-2</v>
          </cell>
          <cell r="M32">
            <v>60</v>
          </cell>
          <cell r="N32">
            <v>15.74</v>
          </cell>
          <cell r="O32">
            <v>2.1000000000000085E-2</v>
          </cell>
          <cell r="Q32">
            <v>60</v>
          </cell>
          <cell r="R32">
            <v>17.05</v>
          </cell>
          <cell r="S32">
            <v>2.5000000000000001E-2</v>
          </cell>
          <cell r="U32">
            <v>60</v>
          </cell>
          <cell r="V32">
            <v>15.74</v>
          </cell>
          <cell r="W32">
            <v>2.1000000000000085E-2</v>
          </cell>
          <cell r="Y32">
            <v>60</v>
          </cell>
          <cell r="Z32">
            <v>12.88</v>
          </cell>
          <cell r="AA32">
            <v>1.6000000000000014E-2</v>
          </cell>
          <cell r="AG32">
            <v>80</v>
          </cell>
          <cell r="AH32">
            <v>12.26</v>
          </cell>
          <cell r="AI32">
            <v>6.0000000000000496E-3</v>
          </cell>
        </row>
        <row r="33">
          <cell r="A33">
            <v>90</v>
          </cell>
          <cell r="B33">
            <v>20.14</v>
          </cell>
          <cell r="C33">
            <v>1.2000000000000099E-2</v>
          </cell>
          <cell r="E33">
            <v>90</v>
          </cell>
          <cell r="F33">
            <v>18.510000000000002</v>
          </cell>
          <cell r="G33">
            <v>8.9999999999999854E-3</v>
          </cell>
          <cell r="I33">
            <v>70</v>
          </cell>
          <cell r="J33">
            <v>17.79</v>
          </cell>
          <cell r="K33">
            <v>2.3999999999999844E-2</v>
          </cell>
          <cell r="M33">
            <v>70</v>
          </cell>
          <cell r="N33">
            <v>15.53</v>
          </cell>
          <cell r="O33">
            <v>1.6000000000000014E-2</v>
          </cell>
          <cell r="Q33">
            <v>70</v>
          </cell>
          <cell r="R33">
            <v>16.8</v>
          </cell>
          <cell r="S33">
            <v>2.2000000000000242E-2</v>
          </cell>
          <cell r="U33">
            <v>70</v>
          </cell>
          <cell r="V33">
            <v>15.53</v>
          </cell>
          <cell r="W33">
            <v>1.6000000000000014E-2</v>
          </cell>
          <cell r="Y33">
            <v>70</v>
          </cell>
          <cell r="Z33">
            <v>12.72</v>
          </cell>
          <cell r="AA33">
            <v>1.4000000000000058E-2</v>
          </cell>
          <cell r="AG33">
            <v>90</v>
          </cell>
          <cell r="AH33">
            <v>12.2</v>
          </cell>
          <cell r="AI33">
            <v>3.9999999999999151E-3</v>
          </cell>
        </row>
        <row r="34">
          <cell r="A34">
            <v>100</v>
          </cell>
          <cell r="B34">
            <v>20.02</v>
          </cell>
          <cell r="C34">
            <v>1.0500000000000042E-2</v>
          </cell>
          <cell r="E34">
            <v>100</v>
          </cell>
          <cell r="F34">
            <v>18.420000000000002</v>
          </cell>
          <cell r="G34">
            <v>8.0000000000000071E-3</v>
          </cell>
          <cell r="I34">
            <v>80</v>
          </cell>
          <cell r="J34">
            <v>17.55</v>
          </cell>
          <cell r="K34">
            <v>2.2000000000000242E-2</v>
          </cell>
          <cell r="M34">
            <v>80</v>
          </cell>
          <cell r="N34">
            <v>15.37</v>
          </cell>
          <cell r="O34">
            <v>1.4999999999999857E-2</v>
          </cell>
          <cell r="Q34">
            <v>80</v>
          </cell>
          <cell r="R34">
            <v>16.579999999999998</v>
          </cell>
          <cell r="S34">
            <v>1.7999999999999971E-2</v>
          </cell>
          <cell r="U34">
            <v>80</v>
          </cell>
          <cell r="V34">
            <v>15.37</v>
          </cell>
          <cell r="W34">
            <v>1.4999999999999857E-2</v>
          </cell>
          <cell r="Y34">
            <v>80</v>
          </cell>
          <cell r="Z34">
            <v>12.58</v>
          </cell>
          <cell r="AA34">
            <v>1.3000000000000077E-2</v>
          </cell>
          <cell r="AG34">
            <v>100</v>
          </cell>
          <cell r="AH34">
            <v>12.16</v>
          </cell>
          <cell r="AI34">
            <v>4.4999999999999927E-3</v>
          </cell>
        </row>
        <row r="35">
          <cell r="A35">
            <v>120</v>
          </cell>
          <cell r="B35">
            <v>19.809999999999999</v>
          </cell>
          <cell r="C35">
            <v>8.4999999999999069E-3</v>
          </cell>
          <cell r="E35">
            <v>120</v>
          </cell>
          <cell r="F35">
            <v>18.260000000000002</v>
          </cell>
          <cell r="G35">
            <v>7.0000000000000288E-3</v>
          </cell>
          <cell r="I35">
            <v>90</v>
          </cell>
          <cell r="J35">
            <v>17.329999999999998</v>
          </cell>
          <cell r="K35">
            <v>1.8999999999999774E-2</v>
          </cell>
          <cell r="M35">
            <v>90</v>
          </cell>
          <cell r="N35">
            <v>15.22</v>
          </cell>
          <cell r="O35">
            <v>1.3000000000000077E-2</v>
          </cell>
          <cell r="Q35">
            <v>90</v>
          </cell>
          <cell r="R35">
            <v>16.399999999999999</v>
          </cell>
          <cell r="S35">
            <v>1.6000000000000014E-2</v>
          </cell>
          <cell r="U35">
            <v>90</v>
          </cell>
          <cell r="V35">
            <v>15.22</v>
          </cell>
          <cell r="W35">
            <v>1.3000000000000077E-2</v>
          </cell>
          <cell r="Y35">
            <v>90</v>
          </cell>
          <cell r="Z35">
            <v>12.45</v>
          </cell>
          <cell r="AA35">
            <v>9.9999999999999638E-3</v>
          </cell>
          <cell r="AG35">
            <v>120</v>
          </cell>
          <cell r="AH35">
            <v>12.07</v>
          </cell>
          <cell r="AI35">
            <v>3.5000000000000144E-3</v>
          </cell>
        </row>
        <row r="36">
          <cell r="A36">
            <v>140</v>
          </cell>
          <cell r="B36">
            <v>19.64</v>
          </cell>
          <cell r="C36">
            <v>7.0000000000000288E-3</v>
          </cell>
          <cell r="E36">
            <v>140</v>
          </cell>
          <cell r="F36">
            <v>18.12</v>
          </cell>
          <cell r="G36">
            <v>5.4999999999999719E-3</v>
          </cell>
          <cell r="I36">
            <v>100</v>
          </cell>
          <cell r="J36">
            <v>17.14</v>
          </cell>
          <cell r="K36">
            <v>1.6000000000000014E-2</v>
          </cell>
          <cell r="M36">
            <v>100</v>
          </cell>
          <cell r="N36">
            <v>15.09</v>
          </cell>
          <cell r="O36">
            <v>1.1500000000000021E-2</v>
          </cell>
          <cell r="Q36">
            <v>100</v>
          </cell>
          <cell r="R36">
            <v>16.239999999999998</v>
          </cell>
          <cell r="S36">
            <v>1.3999999999999879E-2</v>
          </cell>
          <cell r="U36">
            <v>100</v>
          </cell>
          <cell r="V36">
            <v>15.09</v>
          </cell>
          <cell r="W36">
            <v>1.1500000000000021E-2</v>
          </cell>
          <cell r="Y36">
            <v>100</v>
          </cell>
          <cell r="Z36">
            <v>12.35</v>
          </cell>
          <cell r="AA36">
            <v>9.9999999999999638E-3</v>
          </cell>
          <cell r="AG36">
            <v>140</v>
          </cell>
          <cell r="AH36">
            <v>12</v>
          </cell>
          <cell r="AI36">
            <v>2.5000000000000356E-3</v>
          </cell>
        </row>
        <row r="37">
          <cell r="A37">
            <v>160</v>
          </cell>
          <cell r="B37">
            <v>19.5</v>
          </cell>
          <cell r="C37">
            <v>7.0000000000000288E-3</v>
          </cell>
          <cell r="E37">
            <v>160</v>
          </cell>
          <cell r="F37">
            <v>18.010000000000002</v>
          </cell>
          <cell r="G37">
            <v>4.4999999999999927E-3</v>
          </cell>
          <cell r="I37">
            <v>120</v>
          </cell>
          <cell r="J37">
            <v>16.82</v>
          </cell>
          <cell r="K37">
            <v>8.5000000000000856E-3</v>
          </cell>
          <cell r="M37">
            <v>120</v>
          </cell>
          <cell r="N37">
            <v>14.86</v>
          </cell>
          <cell r="O37">
            <v>8.9999999999999854E-3</v>
          </cell>
          <cell r="Q37">
            <v>120</v>
          </cell>
          <cell r="R37">
            <v>15.96</v>
          </cell>
          <cell r="S37">
            <v>1.1500000000000021E-2</v>
          </cell>
          <cell r="U37">
            <v>120</v>
          </cell>
          <cell r="V37">
            <v>14.86</v>
          </cell>
          <cell r="W37">
            <v>8.9999999999999854E-3</v>
          </cell>
          <cell r="Y37">
            <v>120</v>
          </cell>
          <cell r="Z37">
            <v>12.15</v>
          </cell>
          <cell r="AA37">
            <v>7.5000000000000179E-3</v>
          </cell>
          <cell r="AG37">
            <v>160</v>
          </cell>
          <cell r="AH37">
            <v>11.95</v>
          </cell>
          <cell r="AI37">
            <v>2.9999999999999359E-3</v>
          </cell>
        </row>
        <row r="38">
          <cell r="A38">
            <v>180</v>
          </cell>
          <cell r="B38">
            <v>19.36</v>
          </cell>
          <cell r="C38">
            <v>6.0000000000000496E-3</v>
          </cell>
          <cell r="E38">
            <v>180</v>
          </cell>
          <cell r="F38">
            <v>17.920000000000002</v>
          </cell>
          <cell r="G38">
            <v>4.5000000000001705E-3</v>
          </cell>
          <cell r="I38">
            <v>140</v>
          </cell>
          <cell r="J38">
            <v>16.649999999999999</v>
          </cell>
          <cell r="K38">
            <v>1.6000000000000014E-2</v>
          </cell>
          <cell r="M38">
            <v>140</v>
          </cell>
          <cell r="N38">
            <v>14.68</v>
          </cell>
          <cell r="O38">
            <v>8.4999999999999971E-3</v>
          </cell>
          <cell r="Q38">
            <v>140</v>
          </cell>
          <cell r="R38">
            <v>15.73</v>
          </cell>
          <cell r="S38">
            <v>1.0000000000000054E-2</v>
          </cell>
          <cell r="U38">
            <v>140</v>
          </cell>
          <cell r="V38">
            <v>14.68</v>
          </cell>
          <cell r="W38">
            <v>8.4999999999999971E-3</v>
          </cell>
          <cell r="Y38">
            <v>140</v>
          </cell>
          <cell r="Z38">
            <v>12</v>
          </cell>
          <cell r="AA38">
            <v>6.5000000000000387E-3</v>
          </cell>
          <cell r="AG38">
            <v>180</v>
          </cell>
          <cell r="AH38">
            <v>11.89</v>
          </cell>
          <cell r="AI38">
            <v>2.000000000000046E-3</v>
          </cell>
        </row>
        <row r="39">
          <cell r="A39">
            <v>200</v>
          </cell>
          <cell r="B39">
            <v>19.239999999999998</v>
          </cell>
          <cell r="C39">
            <v>4.5999999999999375E-3</v>
          </cell>
          <cell r="E39">
            <v>200</v>
          </cell>
          <cell r="F39">
            <v>17.829999999999998</v>
          </cell>
          <cell r="G39">
            <v>7.59999999999998E-3</v>
          </cell>
          <cell r="I39">
            <v>160</v>
          </cell>
          <cell r="J39">
            <v>16.329999999999998</v>
          </cell>
          <cell r="K39">
            <v>1.0499999999999865E-2</v>
          </cell>
          <cell r="M39">
            <v>160</v>
          </cell>
          <cell r="N39">
            <v>14.51</v>
          </cell>
          <cell r="O39">
            <v>7.0000000000000288E-3</v>
          </cell>
          <cell r="Q39">
            <v>160</v>
          </cell>
          <cell r="R39">
            <v>15.53</v>
          </cell>
          <cell r="S39">
            <v>8.9999999999999854E-3</v>
          </cell>
          <cell r="U39">
            <v>160</v>
          </cell>
          <cell r="V39">
            <v>14.51</v>
          </cell>
          <cell r="W39">
            <v>7.0000000000000288E-3</v>
          </cell>
          <cell r="Y39">
            <v>160</v>
          </cell>
          <cell r="Z39">
            <v>11.87</v>
          </cell>
          <cell r="AA39">
            <v>5.4999999999999719E-3</v>
          </cell>
          <cell r="AG39">
            <v>200</v>
          </cell>
          <cell r="AH39">
            <v>11.85</v>
          </cell>
          <cell r="AI39">
            <v>1.9999999999999931E-3</v>
          </cell>
        </row>
        <row r="40">
          <cell r="A40">
            <v>250</v>
          </cell>
          <cell r="B40">
            <v>19.010000000000002</v>
          </cell>
          <cell r="C40">
            <v>4.0000000000000565E-3</v>
          </cell>
          <cell r="E40">
            <v>250</v>
          </cell>
          <cell r="F40">
            <v>17.45</v>
          </cell>
          <cell r="G40">
            <v>6.799999999999997E-3</v>
          </cell>
          <cell r="I40">
            <v>180</v>
          </cell>
          <cell r="J40">
            <v>16.12</v>
          </cell>
          <cell r="K40">
            <v>8.0000000000000071E-3</v>
          </cell>
          <cell r="M40">
            <v>180</v>
          </cell>
          <cell r="N40">
            <v>14.37</v>
          </cell>
          <cell r="O40">
            <v>5.9999999999999611E-3</v>
          </cell>
          <cell r="Q40">
            <v>180</v>
          </cell>
          <cell r="R40">
            <v>15.35</v>
          </cell>
          <cell r="S40">
            <v>7.5000000000000179E-3</v>
          </cell>
          <cell r="U40">
            <v>180</v>
          </cell>
          <cell r="V40">
            <v>14.37</v>
          </cell>
          <cell r="W40">
            <v>5.9999999999999611E-3</v>
          </cell>
          <cell r="Y40">
            <v>180</v>
          </cell>
          <cell r="Z40">
            <v>11.76</v>
          </cell>
          <cell r="AA40">
            <v>5.4999999999999719E-3</v>
          </cell>
          <cell r="AG40">
            <v>250</v>
          </cell>
          <cell r="AH40">
            <v>11.75</v>
          </cell>
          <cell r="AI40">
            <v>1.9999999999999931E-3</v>
          </cell>
        </row>
        <row r="41">
          <cell r="A41">
            <v>300</v>
          </cell>
          <cell r="B41">
            <v>18.809999999999999</v>
          </cell>
          <cell r="C41">
            <v>3.3999999999999629E-3</v>
          </cell>
          <cell r="E41">
            <v>300</v>
          </cell>
          <cell r="F41">
            <v>17.11</v>
          </cell>
          <cell r="G41">
            <v>5.6000000000000225E-3</v>
          </cell>
          <cell r="I41">
            <v>200</v>
          </cell>
          <cell r="J41">
            <v>15.96</v>
          </cell>
          <cell r="K41">
            <v>7.4000000000000203E-3</v>
          </cell>
          <cell r="M41">
            <v>200</v>
          </cell>
          <cell r="N41">
            <v>14.25</v>
          </cell>
          <cell r="O41">
            <v>5.3999999999999916E-3</v>
          </cell>
          <cell r="Q41">
            <v>200</v>
          </cell>
          <cell r="R41">
            <v>15.2</v>
          </cell>
          <cell r="S41">
            <v>6.3999999999999699E-3</v>
          </cell>
          <cell r="U41">
            <v>200</v>
          </cell>
          <cell r="V41">
            <v>14.25</v>
          </cell>
          <cell r="W41">
            <v>5.3999999999999916E-3</v>
          </cell>
          <cell r="Y41">
            <v>200</v>
          </cell>
          <cell r="Z41">
            <v>11.65</v>
          </cell>
          <cell r="AA41">
            <v>4.6000000000000086E-3</v>
          </cell>
          <cell r="AG41">
            <v>300</v>
          </cell>
          <cell r="AH41">
            <v>11.65</v>
          </cell>
          <cell r="AI41">
            <v>1.2000000000000099E-3</v>
          </cell>
        </row>
        <row r="42">
          <cell r="A42">
            <v>350</v>
          </cell>
          <cell r="B42">
            <v>18.64</v>
          </cell>
          <cell r="C42">
            <v>3.0000000000000426E-3</v>
          </cell>
          <cell r="E42">
            <v>350</v>
          </cell>
          <cell r="F42">
            <v>16.829999999999998</v>
          </cell>
          <cell r="G42">
            <v>5.0000000000000001E-3</v>
          </cell>
          <cell r="I42">
            <v>250</v>
          </cell>
          <cell r="J42">
            <v>15.59</v>
          </cell>
          <cell r="K42">
            <v>5.7999999999999831E-3</v>
          </cell>
          <cell r="M42">
            <v>250</v>
          </cell>
          <cell r="N42">
            <v>13.98</v>
          </cell>
          <cell r="O42">
            <v>4.2000000000000171E-3</v>
          </cell>
          <cell r="Q42">
            <v>250</v>
          </cell>
          <cell r="R42">
            <v>14.88</v>
          </cell>
          <cell r="S42">
            <v>5.200000000000031E-3</v>
          </cell>
          <cell r="U42">
            <v>250</v>
          </cell>
          <cell r="V42">
            <v>13.98</v>
          </cell>
          <cell r="W42">
            <v>4.2000000000000171E-3</v>
          </cell>
          <cell r="Y42">
            <v>250</v>
          </cell>
          <cell r="Z42">
            <v>11.42</v>
          </cell>
          <cell r="AA42">
            <v>3.3999999999999985E-3</v>
          </cell>
          <cell r="AG42">
            <v>350</v>
          </cell>
          <cell r="AH42">
            <v>11.59</v>
          </cell>
          <cell r="AI42">
            <v>1.2000000000000099E-3</v>
          </cell>
        </row>
        <row r="43">
          <cell r="A43">
            <v>400</v>
          </cell>
          <cell r="B43">
            <v>18.489999999999998</v>
          </cell>
          <cell r="C43">
            <v>2.399999999999949E-3</v>
          </cell>
          <cell r="E43">
            <v>400</v>
          </cell>
          <cell r="F43">
            <v>16.579999999999998</v>
          </cell>
          <cell r="G43">
            <v>3.9999999999999862E-3</v>
          </cell>
          <cell r="I43">
            <v>300</v>
          </cell>
          <cell r="J43">
            <v>15.3</v>
          </cell>
          <cell r="K43">
            <v>5.0000000000000001E-3</v>
          </cell>
          <cell r="M43">
            <v>300</v>
          </cell>
          <cell r="N43">
            <v>13.77</v>
          </cell>
          <cell r="O43">
            <v>3.9999999999999862E-3</v>
          </cell>
          <cell r="Q43">
            <v>300</v>
          </cell>
          <cell r="R43">
            <v>14.62</v>
          </cell>
          <cell r="S43">
            <v>4.1999999999999815E-3</v>
          </cell>
          <cell r="U43">
            <v>300</v>
          </cell>
          <cell r="V43">
            <v>13.77</v>
          </cell>
          <cell r="W43">
            <v>3.9999999999999862E-3</v>
          </cell>
          <cell r="Y43">
            <v>300</v>
          </cell>
          <cell r="Z43">
            <v>11.25</v>
          </cell>
          <cell r="AA43">
            <v>3.000000000000007E-3</v>
          </cell>
          <cell r="AG43">
            <v>400</v>
          </cell>
          <cell r="AH43">
            <v>11.53</v>
          </cell>
          <cell r="AI43">
            <v>1.1999999999999745E-3</v>
          </cell>
        </row>
        <row r="44">
          <cell r="A44">
            <v>450</v>
          </cell>
          <cell r="B44">
            <v>18.37</v>
          </cell>
          <cell r="C44">
            <v>2.1999999999999884E-3</v>
          </cell>
          <cell r="E44">
            <v>450</v>
          </cell>
          <cell r="F44">
            <v>16.38</v>
          </cell>
          <cell r="G44">
            <v>3.7999999999999545E-3</v>
          </cell>
          <cell r="I44">
            <v>350</v>
          </cell>
          <cell r="J44">
            <v>15.05</v>
          </cell>
          <cell r="K44">
            <v>4.4000000000000124E-3</v>
          </cell>
          <cell r="M44">
            <v>350</v>
          </cell>
          <cell r="N44">
            <v>13.57</v>
          </cell>
          <cell r="O44">
            <v>2.6000000000000155E-3</v>
          </cell>
          <cell r="Q44">
            <v>350</v>
          </cell>
          <cell r="R44">
            <v>14.41</v>
          </cell>
          <cell r="S44">
            <v>3.5999999999999943E-3</v>
          </cell>
          <cell r="U44">
            <v>350</v>
          </cell>
          <cell r="V44">
            <v>13.57</v>
          </cell>
          <cell r="W44">
            <v>2.6000000000000155E-3</v>
          </cell>
          <cell r="Y44">
            <v>350</v>
          </cell>
          <cell r="Z44">
            <v>11.1</v>
          </cell>
          <cell r="AA44">
            <v>2.3999999999999842E-3</v>
          </cell>
          <cell r="AG44">
            <v>450</v>
          </cell>
          <cell r="AH44">
            <v>11.47</v>
          </cell>
          <cell r="AI44">
            <v>8.0000000000001847E-4</v>
          </cell>
        </row>
        <row r="45">
          <cell r="A45">
            <v>500</v>
          </cell>
          <cell r="B45">
            <v>18.260000000000002</v>
          </cell>
          <cell r="C45">
            <v>2.0000000000000282E-3</v>
          </cell>
          <cell r="E45">
            <v>500</v>
          </cell>
          <cell r="F45">
            <v>16.190000000000001</v>
          </cell>
          <cell r="G45">
            <v>8.9999999999999857E-4</v>
          </cell>
          <cell r="I45">
            <v>400</v>
          </cell>
          <cell r="J45">
            <v>14.83</v>
          </cell>
          <cell r="K45">
            <v>3.5999999999999943E-3</v>
          </cell>
          <cell r="M45">
            <v>400</v>
          </cell>
          <cell r="N45">
            <v>13.44</v>
          </cell>
          <cell r="O45">
            <v>2.5999999999999799E-3</v>
          </cell>
          <cell r="Q45">
            <v>400</v>
          </cell>
          <cell r="R45">
            <v>14.23</v>
          </cell>
          <cell r="S45">
            <v>3.2000000000000028E-3</v>
          </cell>
          <cell r="U45">
            <v>400</v>
          </cell>
          <cell r="V45">
            <v>13.44</v>
          </cell>
          <cell r="W45">
            <v>2.5999999999999799E-3</v>
          </cell>
          <cell r="Y45">
            <v>400</v>
          </cell>
          <cell r="Z45">
            <v>10.98</v>
          </cell>
          <cell r="AA45">
            <v>2.200000000000024E-3</v>
          </cell>
          <cell r="AG45">
            <v>500</v>
          </cell>
          <cell r="AH45">
            <v>11.43</v>
          </cell>
          <cell r="AI45">
            <v>8.0000000000000069E-4</v>
          </cell>
        </row>
        <row r="46">
          <cell r="A46">
            <v>600</v>
          </cell>
          <cell r="B46">
            <v>18.059999999999999</v>
          </cell>
          <cell r="C46">
            <v>1.6000000000000014E-3</v>
          </cell>
          <cell r="E46">
            <v>600</v>
          </cell>
          <cell r="F46">
            <v>16.100000000000001</v>
          </cell>
          <cell r="G46">
            <v>7.0000000000000281E-4</v>
          </cell>
          <cell r="I46">
            <v>450</v>
          </cell>
          <cell r="J46">
            <v>14.65</v>
          </cell>
          <cell r="K46">
            <v>3.2000000000000028E-3</v>
          </cell>
          <cell r="M46">
            <v>450</v>
          </cell>
          <cell r="N46">
            <v>13.31</v>
          </cell>
          <cell r="O46">
            <v>2.6000000000000155E-3</v>
          </cell>
          <cell r="Q46">
            <v>450</v>
          </cell>
          <cell r="R46">
            <v>14.07</v>
          </cell>
          <cell r="S46">
            <v>2.8000000000000112E-3</v>
          </cell>
          <cell r="U46">
            <v>450</v>
          </cell>
          <cell r="V46">
            <v>13.31</v>
          </cell>
          <cell r="W46">
            <v>2.6000000000000155E-3</v>
          </cell>
          <cell r="Y46">
            <v>450</v>
          </cell>
          <cell r="Z46">
            <v>10.87</v>
          </cell>
          <cell r="AA46">
            <v>1.9999999999999931E-3</v>
          </cell>
          <cell r="AG46">
            <v>600</v>
          </cell>
          <cell r="AH46">
            <v>11.35</v>
          </cell>
          <cell r="AI46">
            <v>7.0000000000000281E-4</v>
          </cell>
        </row>
        <row r="47">
          <cell r="A47">
            <v>700</v>
          </cell>
          <cell r="B47">
            <v>17.899999999999999</v>
          </cell>
          <cell r="C47">
            <v>1.3999999999999701E-3</v>
          </cell>
          <cell r="E47">
            <v>700</v>
          </cell>
          <cell r="F47">
            <v>16.03</v>
          </cell>
          <cell r="G47">
            <v>6.0000000000000493E-4</v>
          </cell>
          <cell r="I47">
            <v>500</v>
          </cell>
          <cell r="J47">
            <v>14.49</v>
          </cell>
          <cell r="K47">
            <v>2.7999999999999935E-3</v>
          </cell>
          <cell r="M47">
            <v>500</v>
          </cell>
          <cell r="N47">
            <v>13.18</v>
          </cell>
          <cell r="O47">
            <v>2.0999999999999908E-3</v>
          </cell>
          <cell r="Q47">
            <v>500</v>
          </cell>
          <cell r="R47">
            <v>13.93</v>
          </cell>
          <cell r="S47">
            <v>2.400000000000002E-3</v>
          </cell>
          <cell r="U47">
            <v>500</v>
          </cell>
          <cell r="V47">
            <v>13.18</v>
          </cell>
          <cell r="W47">
            <v>2.0999999999999908E-3</v>
          </cell>
          <cell r="Y47">
            <v>500</v>
          </cell>
          <cell r="Z47">
            <v>10.77</v>
          </cell>
          <cell r="AA47">
            <v>9.9999999999999655E-4</v>
          </cell>
          <cell r="AG47">
            <v>700</v>
          </cell>
          <cell r="AH47">
            <v>11.28</v>
          </cell>
          <cell r="AI47">
            <v>5.9999999999998726E-4</v>
          </cell>
        </row>
        <row r="48">
          <cell r="A48">
            <v>800</v>
          </cell>
          <cell r="B48">
            <v>17.760000000000002</v>
          </cell>
          <cell r="C48">
            <v>1.2000000000000099E-3</v>
          </cell>
          <cell r="E48">
            <v>800</v>
          </cell>
          <cell r="F48">
            <v>15.97</v>
          </cell>
          <cell r="G48">
            <v>6.0000000000000493E-4</v>
          </cell>
          <cell r="I48">
            <v>600</v>
          </cell>
          <cell r="J48">
            <v>14.21</v>
          </cell>
          <cell r="K48">
            <v>2.3000000000000043E-3</v>
          </cell>
          <cell r="M48">
            <v>600</v>
          </cell>
          <cell r="N48">
            <v>12.97</v>
          </cell>
          <cell r="O48">
            <v>1.6000000000000014E-3</v>
          </cell>
          <cell r="Q48">
            <v>600</v>
          </cell>
          <cell r="R48">
            <v>13.69</v>
          </cell>
          <cell r="S48">
            <v>1.9999999999999931E-3</v>
          </cell>
          <cell r="U48">
            <v>600</v>
          </cell>
          <cell r="V48">
            <v>12.97</v>
          </cell>
          <cell r="W48">
            <v>1.6000000000000014E-3</v>
          </cell>
          <cell r="Y48">
            <v>600</v>
          </cell>
          <cell r="Z48">
            <v>10.67</v>
          </cell>
          <cell r="AA48">
            <v>8.9999999999999857E-4</v>
          </cell>
          <cell r="AG48">
            <v>800</v>
          </cell>
          <cell r="AH48">
            <v>11.22</v>
          </cell>
          <cell r="AI48">
            <v>7.0000000000000281E-4</v>
          </cell>
        </row>
        <row r="49">
          <cell r="A49">
            <v>900</v>
          </cell>
          <cell r="B49">
            <v>17.64</v>
          </cell>
          <cell r="C49">
            <v>1.0999999999999942E-3</v>
          </cell>
          <cell r="E49">
            <v>900</v>
          </cell>
          <cell r="F49">
            <v>15.91</v>
          </cell>
          <cell r="G49">
            <v>5.0000000000000706E-4</v>
          </cell>
          <cell r="I49">
            <v>700</v>
          </cell>
          <cell r="J49">
            <v>13.98</v>
          </cell>
          <cell r="K49">
            <v>1.9000000000000128E-3</v>
          </cell>
          <cell r="M49">
            <v>700</v>
          </cell>
          <cell r="N49">
            <v>12.81</v>
          </cell>
          <cell r="O49">
            <v>1.5000000000000035E-3</v>
          </cell>
          <cell r="Q49">
            <v>700</v>
          </cell>
          <cell r="R49">
            <v>13.49</v>
          </cell>
          <cell r="S49">
            <v>1.6999999999999993E-3</v>
          </cell>
          <cell r="U49">
            <v>700</v>
          </cell>
          <cell r="V49">
            <v>12.81</v>
          </cell>
          <cell r="W49">
            <v>1.5000000000000035E-3</v>
          </cell>
          <cell r="Y49">
            <v>700</v>
          </cell>
          <cell r="Z49">
            <v>10.58</v>
          </cell>
          <cell r="AA49">
            <v>8.0000000000000069E-4</v>
          </cell>
          <cell r="AG49">
            <v>900</v>
          </cell>
          <cell r="AH49">
            <v>11.15</v>
          </cell>
          <cell r="AI49">
            <v>4.0000000000000923E-4</v>
          </cell>
        </row>
        <row r="50">
          <cell r="A50">
            <v>1000</v>
          </cell>
          <cell r="B50">
            <v>17.53</v>
          </cell>
          <cell r="C50">
            <v>8.2000000000000031E-4</v>
          </cell>
          <cell r="E50">
            <v>1000</v>
          </cell>
          <cell r="F50">
            <v>15.86</v>
          </cell>
          <cell r="G50">
            <v>3.7999999999999899E-4</v>
          </cell>
          <cell r="I50">
            <v>800</v>
          </cell>
          <cell r="J50">
            <v>13.79</v>
          </cell>
          <cell r="K50">
            <v>1.7999999999999971E-3</v>
          </cell>
          <cell r="M50">
            <v>800</v>
          </cell>
          <cell r="N50">
            <v>12.66</v>
          </cell>
          <cell r="O50">
            <v>1.4000000000000056E-3</v>
          </cell>
          <cell r="Q50">
            <v>800</v>
          </cell>
          <cell r="R50">
            <v>13.32</v>
          </cell>
          <cell r="S50">
            <v>1.5000000000000035E-3</v>
          </cell>
          <cell r="U50">
            <v>800</v>
          </cell>
          <cell r="V50">
            <v>12.66</v>
          </cell>
          <cell r="W50">
            <v>1.4000000000000056E-3</v>
          </cell>
          <cell r="Y50">
            <v>800</v>
          </cell>
          <cell r="Z50">
            <v>10.5</v>
          </cell>
          <cell r="AA50">
            <v>7.0000000000000281E-4</v>
          </cell>
          <cell r="AG50">
            <v>1000</v>
          </cell>
          <cell r="AH50">
            <v>11.11</v>
          </cell>
          <cell r="AI50">
            <v>3.5999999999999943E-4</v>
          </cell>
        </row>
        <row r="51">
          <cell r="A51">
            <v>1500</v>
          </cell>
          <cell r="B51">
            <v>17.12</v>
          </cell>
          <cell r="C51">
            <v>5.8000000000000542E-4</v>
          </cell>
          <cell r="E51">
            <v>1500</v>
          </cell>
          <cell r="F51">
            <v>15.67</v>
          </cell>
          <cell r="G51">
            <v>2.8000000000000111E-4</v>
          </cell>
          <cell r="I51">
            <v>900</v>
          </cell>
          <cell r="J51">
            <v>13.61</v>
          </cell>
          <cell r="K51">
            <v>1.4999999999999857E-3</v>
          </cell>
          <cell r="M51">
            <v>900</v>
          </cell>
          <cell r="N51">
            <v>12.52</v>
          </cell>
          <cell r="O51">
            <v>1.0999999999999942E-3</v>
          </cell>
          <cell r="Q51">
            <v>900</v>
          </cell>
          <cell r="R51">
            <v>13.17</v>
          </cell>
          <cell r="S51">
            <v>1.4000000000000056E-3</v>
          </cell>
          <cell r="U51">
            <v>900</v>
          </cell>
          <cell r="V51">
            <v>12.52</v>
          </cell>
          <cell r="W51">
            <v>1.0999999999999942E-3</v>
          </cell>
          <cell r="Y51">
            <v>900</v>
          </cell>
          <cell r="Z51">
            <v>10.43</v>
          </cell>
          <cell r="AA51">
            <v>6.0000000000000493E-4</v>
          </cell>
          <cell r="AG51">
            <v>1500</v>
          </cell>
          <cell r="AH51">
            <v>10.93</v>
          </cell>
          <cell r="AI51">
            <v>2.5999999999999803E-4</v>
          </cell>
        </row>
        <row r="52">
          <cell r="A52">
            <v>2000</v>
          </cell>
          <cell r="B52">
            <v>16.829999999999998</v>
          </cell>
          <cell r="C52">
            <v>4.5999999999999373E-4</v>
          </cell>
          <cell r="E52">
            <v>2000</v>
          </cell>
          <cell r="F52">
            <v>15.53</v>
          </cell>
          <cell r="G52">
            <v>1.9999999999999928E-4</v>
          </cell>
          <cell r="I52">
            <v>1000</v>
          </cell>
          <cell r="J52">
            <v>13.46</v>
          </cell>
          <cell r="K52">
            <v>1.1400000000000006E-3</v>
          </cell>
          <cell r="M52">
            <v>1000</v>
          </cell>
          <cell r="N52">
            <v>12.41</v>
          </cell>
          <cell r="O52">
            <v>8.7999999999999906E-4</v>
          </cell>
          <cell r="Q52">
            <v>1000</v>
          </cell>
          <cell r="R52">
            <v>13.03</v>
          </cell>
          <cell r="S52">
            <v>1E-3</v>
          </cell>
          <cell r="U52">
            <v>1000</v>
          </cell>
          <cell r="V52">
            <v>12.41</v>
          </cell>
          <cell r="W52">
            <v>8.7999999999999906E-4</v>
          </cell>
          <cell r="Y52">
            <v>1000</v>
          </cell>
          <cell r="Z52">
            <v>10.37</v>
          </cell>
          <cell r="AA52">
            <v>4.599999999999973E-4</v>
          </cell>
          <cell r="AG52">
            <v>2000</v>
          </cell>
          <cell r="AH52">
            <v>10.8</v>
          </cell>
          <cell r="AI52">
            <v>2.2000000000000242E-4</v>
          </cell>
        </row>
        <row r="53">
          <cell r="A53">
            <v>2500</v>
          </cell>
          <cell r="B53">
            <v>16.600000000000001</v>
          </cell>
          <cell r="C53">
            <v>2.8000000000000111E-4</v>
          </cell>
          <cell r="E53">
            <v>2500</v>
          </cell>
          <cell r="F53">
            <v>15.43</v>
          </cell>
          <cell r="G53">
            <v>1.2000000000000099E-4</v>
          </cell>
          <cell r="I53">
            <v>1500</v>
          </cell>
          <cell r="J53">
            <v>12.89</v>
          </cell>
          <cell r="K53">
            <v>7.0000000000000281E-4</v>
          </cell>
          <cell r="M53">
            <v>1500</v>
          </cell>
          <cell r="N53">
            <v>11.97</v>
          </cell>
          <cell r="O53">
            <v>5.1999999999999952E-4</v>
          </cell>
          <cell r="Q53">
            <v>1500</v>
          </cell>
          <cell r="R53">
            <v>12.53</v>
          </cell>
          <cell r="S53">
            <v>5.9999999999999789E-4</v>
          </cell>
          <cell r="U53">
            <v>1500</v>
          </cell>
          <cell r="V53">
            <v>11.97</v>
          </cell>
          <cell r="W53">
            <v>5.1999999999999952E-4</v>
          </cell>
          <cell r="Y53">
            <v>1500</v>
          </cell>
          <cell r="Z53">
            <v>10.14</v>
          </cell>
          <cell r="AA53">
            <v>3.200000000000003E-4</v>
          </cell>
          <cell r="AG53">
            <v>2500</v>
          </cell>
          <cell r="AH53">
            <v>10.69</v>
          </cell>
          <cell r="AI53">
            <v>1.6000000000000015E-4</v>
          </cell>
        </row>
        <row r="54">
          <cell r="A54">
            <v>3000</v>
          </cell>
          <cell r="B54">
            <v>16.46</v>
          </cell>
          <cell r="C54">
            <v>1.4000000000000056E-4</v>
          </cell>
          <cell r="E54">
            <v>3000</v>
          </cell>
          <cell r="F54">
            <v>15.37</v>
          </cell>
          <cell r="G54">
            <v>0</v>
          </cell>
          <cell r="I54">
            <v>2000</v>
          </cell>
          <cell r="J54">
            <v>12.54</v>
          </cell>
          <cell r="K54">
            <v>3.5999999999999943E-4</v>
          </cell>
          <cell r="M54">
            <v>2000</v>
          </cell>
          <cell r="N54">
            <v>11.71</v>
          </cell>
          <cell r="O54">
            <v>2.4000000000000198E-4</v>
          </cell>
          <cell r="Q54">
            <v>2000</v>
          </cell>
          <cell r="R54">
            <v>12.23</v>
          </cell>
          <cell r="S54">
            <v>3.200000000000003E-4</v>
          </cell>
          <cell r="U54">
            <v>2000</v>
          </cell>
          <cell r="V54">
            <v>11.71</v>
          </cell>
          <cell r="W54">
            <v>2.4000000000000198E-4</v>
          </cell>
          <cell r="Y54">
            <v>2000</v>
          </cell>
          <cell r="Z54">
            <v>9.98</v>
          </cell>
          <cell r="AA54">
            <v>0</v>
          </cell>
          <cell r="AG54">
            <v>3000</v>
          </cell>
          <cell r="AH54">
            <v>10.61</v>
          </cell>
          <cell r="AI54">
            <v>0</v>
          </cell>
        </row>
        <row r="55">
          <cell r="A55">
            <v>4000</v>
          </cell>
          <cell r="B55">
            <v>16.32</v>
          </cell>
          <cell r="C55">
            <v>1.2000000000000099E-4</v>
          </cell>
          <cell r="E55">
            <v>4000</v>
          </cell>
          <cell r="F55">
            <v>15.37</v>
          </cell>
          <cell r="G55">
            <v>0</v>
          </cell>
          <cell r="I55">
            <v>2500</v>
          </cell>
          <cell r="J55">
            <v>12.36</v>
          </cell>
          <cell r="K55">
            <v>2.5999999999999803E-4</v>
          </cell>
          <cell r="M55">
            <v>2500</v>
          </cell>
          <cell r="N55">
            <v>11.59</v>
          </cell>
          <cell r="O55">
            <v>1.9999999999999928E-4</v>
          </cell>
          <cell r="Q55">
            <v>2500</v>
          </cell>
          <cell r="R55">
            <v>12.07</v>
          </cell>
          <cell r="S55">
            <v>2.1999999999999887E-4</v>
          </cell>
          <cell r="U55">
            <v>2500</v>
          </cell>
          <cell r="V55">
            <v>11.59</v>
          </cell>
          <cell r="W55">
            <v>1.9999999999999928E-4</v>
          </cell>
          <cell r="Y55">
            <v>2500</v>
          </cell>
          <cell r="Z55">
            <v>9.98</v>
          </cell>
          <cell r="AA55">
            <v>0</v>
          </cell>
          <cell r="AG55">
            <v>4000</v>
          </cell>
          <cell r="AH55">
            <v>10.61</v>
          </cell>
          <cell r="AI55">
            <v>0</v>
          </cell>
        </row>
        <row r="56">
          <cell r="A56">
            <v>5000</v>
          </cell>
          <cell r="B56">
            <v>16.2</v>
          </cell>
          <cell r="E56">
            <v>5000</v>
          </cell>
          <cell r="F56">
            <v>15.37</v>
          </cell>
          <cell r="I56">
            <v>3000</v>
          </cell>
          <cell r="J56">
            <v>12.23</v>
          </cell>
          <cell r="M56">
            <v>3000</v>
          </cell>
          <cell r="N56">
            <v>11.49</v>
          </cell>
          <cell r="Q56">
            <v>3000</v>
          </cell>
          <cell r="R56">
            <v>11.96</v>
          </cell>
          <cell r="U56">
            <v>3000</v>
          </cell>
          <cell r="V56">
            <v>11.49</v>
          </cell>
          <cell r="Y56">
            <v>3000</v>
          </cell>
          <cell r="Z56">
            <v>9.98</v>
          </cell>
          <cell r="AG56">
            <v>5000</v>
          </cell>
          <cell r="AH56">
            <v>10.61</v>
          </cell>
        </row>
      </sheetData>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工事総括"/>
      <sheetName val="監督経歴"/>
      <sheetName val="MEMO"/>
      <sheetName val="工事費総括表"/>
      <sheetName val="内訳"/>
      <sheetName val="財産計算"/>
      <sheetName val="数量"/>
      <sheetName val="日数"/>
      <sheetName val="数量計算書"/>
      <sheetName val="距離計算"/>
      <sheetName val="一位代価"/>
      <sheetName val="資材単価"/>
      <sheetName val="損料"/>
      <sheetName val="市価"/>
      <sheetName val="歩掛"/>
      <sheetName val="表紙"/>
      <sheetName val="物品請求書"/>
      <sheetName val="物品受領書"/>
      <sheetName val="官給品使用明細書"/>
      <sheetName val="撤去品等発生通知書"/>
      <sheetName val="物品取得通知書"/>
      <sheetName val="撤去品等使用見込調書"/>
      <sheetName val="官給品仕訳"/>
      <sheetName val="現場監督報告書 (1)"/>
      <sheetName val="現場監督報告書 (2)"/>
      <sheetName val="営繕工事等明細書１"/>
      <sheetName val="営繕工事等受渡証書１"/>
      <sheetName val="営繕工事等明細書２"/>
      <sheetName val="営繕工事等受渡証書２"/>
      <sheetName val="検査調書１"/>
      <sheetName val="検査調書２"/>
      <sheetName val="監督終了報告書"/>
      <sheetName val="写真供覧"/>
      <sheetName val="府県別労務"/>
      <sheetName val="労務単価"/>
      <sheetName val="H13労務単価"/>
      <sheetName val="H13技術者単価"/>
      <sheetName val="その他率"/>
      <sheetName val="決議書　1"/>
      <sheetName val="決議書　2"/>
      <sheetName val="設計書入力"/>
    </sheetNames>
    <sheetDataSet>
      <sheetData sheetId="0" refreshError="1">
        <row r="3">
          <cell r="C3" t="str">
            <v>贄浦港西防波堤灯台新設工事</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設計書"/>
      <sheetName val="代価 "/>
      <sheetName val="ﾎﾟﾘｽﾁﾚﾝ (ｽﾃﾝﾚｽ)"/>
      <sheetName val="見積比"/>
      <sheetName val="拾い"/>
      <sheetName val="概算"/>
      <sheetName val="概算 (2)"/>
    </sheetNames>
    <sheetDataSet>
      <sheetData sheetId="0" refreshError="1"/>
      <sheetData sheetId="1" refreshError="1"/>
      <sheetData sheetId="2" refreshError="1"/>
      <sheetData sheetId="3" refreshError="1"/>
      <sheetData sheetId="4"/>
      <sheetData sheetId="5" refreshError="1"/>
      <sheetData sheetId="6"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設計書"/>
      <sheetName val="代価 "/>
      <sheetName val="ﾎﾟﾘｽﾁﾚﾝ (ｽﾃﾝﾚｽ)"/>
      <sheetName val="見積比"/>
      <sheetName val="拾い"/>
      <sheetName val="概算"/>
      <sheetName val="概算 (2)"/>
    </sheetNames>
    <sheetDataSet>
      <sheetData sheetId="0" refreshError="1"/>
      <sheetData sheetId="1" refreshError="1"/>
      <sheetData sheetId="2" refreshError="1"/>
      <sheetData sheetId="3" refreshError="1"/>
      <sheetData sheetId="4"/>
      <sheetData sheetId="5" refreshError="1"/>
      <sheetData sheetId="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決議書　１枚目"/>
      <sheetName val="決議書　２枚目"/>
      <sheetName val="推薦理由書"/>
      <sheetName val="一位代価"/>
      <sheetName val="予定価格内訳"/>
      <sheetName val="工事総括"/>
      <sheetName val="内訳表紙"/>
      <sheetName val="特定材料"/>
      <sheetName val="工程"/>
      <sheetName val="標識別内訳"/>
      <sheetName val="公開様式"/>
      <sheetName val="再使用品"/>
      <sheetName val="廃棄機器"/>
      <sheetName val="技術者算出"/>
      <sheetName val="ｹｰﾌﾞﾙｺﾈｸﾀ"/>
      <sheetName val="積算根拠"/>
      <sheetName val="#REF"/>
    </sheetNames>
    <sheetDataSet>
      <sheetData sheetId="0" refreshError="1"/>
      <sheetData sheetId="1" refreshError="1"/>
      <sheetData sheetId="2" refreshError="1"/>
      <sheetData sheetId="3" refreshError="1">
        <row r="1">
          <cell r="B1" t="str">
            <v>細目</v>
          </cell>
          <cell r="C1" t="str">
            <v>品名</v>
          </cell>
          <cell r="D1" t="str">
            <v>規格</v>
          </cell>
          <cell r="E1" t="str">
            <v>単位</v>
          </cell>
          <cell r="F1" t="str">
            <v>数量</v>
          </cell>
          <cell r="G1" t="str">
            <v>単価</v>
          </cell>
          <cell r="H1" t="str">
            <v>金額</v>
          </cell>
          <cell r="I1" t="str">
            <v>備考</v>
          </cell>
          <cell r="T1" t="str">
            <v>作成順</v>
          </cell>
        </row>
        <row r="2">
          <cell r="A2">
            <v>1</v>
          </cell>
          <cell r="B2" t="str">
            <v>移動体通信式灯台監視装置</v>
          </cell>
          <cell r="C2" t="str">
            <v>取付</v>
          </cell>
          <cell r="D2" t="str">
            <v>MS95</v>
          </cell>
          <cell r="E2" t="str">
            <v>式</v>
          </cell>
          <cell r="F2">
            <v>1</v>
          </cell>
          <cell r="H2">
            <v>18809.8</v>
          </cell>
          <cell r="I2" t="str">
            <v>海電 P2-30</v>
          </cell>
          <cell r="S2">
            <v>1</v>
          </cell>
          <cell r="T2">
            <v>1</v>
          </cell>
        </row>
        <row r="3">
          <cell r="C3" t="str">
            <v>ホーク・アンカーボルト</v>
          </cell>
          <cell r="D3" t="str">
            <v>SUS B1070</v>
          </cell>
          <cell r="E3" t="str">
            <v>本</v>
          </cell>
          <cell r="F3">
            <v>4</v>
          </cell>
          <cell r="G3">
            <v>265</v>
          </cell>
          <cell r="H3">
            <v>1060</v>
          </cell>
          <cell r="I3" t="str">
            <v>物 P45</v>
          </cell>
        </row>
        <row r="4">
          <cell r="C4" t="str">
            <v>電工</v>
          </cell>
          <cell r="E4" t="str">
            <v>人</v>
          </cell>
          <cell r="F4">
            <v>0.6</v>
          </cell>
          <cell r="G4">
            <v>17400</v>
          </cell>
          <cell r="H4">
            <v>10440</v>
          </cell>
          <cell r="I4" t="str">
            <v>三重県</v>
          </cell>
        </row>
        <row r="5">
          <cell r="C5" t="str">
            <v>普通作業員</v>
          </cell>
          <cell r="E5" t="str">
            <v>人</v>
          </cell>
          <cell r="F5">
            <v>0.3</v>
          </cell>
          <cell r="G5">
            <v>17100</v>
          </cell>
          <cell r="H5">
            <v>5130</v>
          </cell>
          <cell r="I5" t="str">
            <v>三重県</v>
          </cell>
        </row>
        <row r="6">
          <cell r="C6" t="str">
            <v>その他</v>
          </cell>
          <cell r="D6" t="str">
            <v>（労）×１４％</v>
          </cell>
          <cell r="E6" t="str">
            <v>式</v>
          </cell>
          <cell r="F6">
            <v>1</v>
          </cell>
          <cell r="H6">
            <v>2179.8000000000002</v>
          </cell>
          <cell r="I6">
            <v>15570</v>
          </cell>
          <cell r="K6" t="str">
            <v>×</v>
          </cell>
          <cell r="L6">
            <v>0.14000000000000001</v>
          </cell>
        </row>
        <row r="8">
          <cell r="A8">
            <v>2</v>
          </cell>
          <cell r="B8" t="str">
            <v>保護端子函ＳＰＴ－ＢＯＸ</v>
          </cell>
          <cell r="C8" t="str">
            <v>取付</v>
          </cell>
          <cell r="D8" t="str">
            <v>移動体８項目用（制御有）</v>
          </cell>
          <cell r="E8" t="str">
            <v>式</v>
          </cell>
          <cell r="F8">
            <v>1</v>
          </cell>
          <cell r="H8">
            <v>131430</v>
          </cell>
          <cell r="T8">
            <v>1</v>
          </cell>
        </row>
        <row r="9">
          <cell r="C9" t="str">
            <v>保護端子函ＳＰＴ－ＢＯＸ</v>
          </cell>
          <cell r="D9" t="str">
            <v>移動体８項目用（制御有）</v>
          </cell>
          <cell r="E9" t="str">
            <v>個</v>
          </cell>
          <cell r="F9">
            <v>1</v>
          </cell>
          <cell r="H9">
            <v>121000</v>
          </cell>
          <cell r="I9" t="str">
            <v>市価</v>
          </cell>
          <cell r="R9" t="str">
            <v>特定材料A</v>
          </cell>
        </row>
        <row r="10">
          <cell r="C10" t="str">
            <v>ﾎｰｸｽﾄﾗｲｸｱﾝｶｰﾎﾞﾙﾄ</v>
          </cell>
          <cell r="D10" t="str">
            <v>SUS304 M6×45</v>
          </cell>
          <cell r="E10" t="str">
            <v>本</v>
          </cell>
          <cell r="F10">
            <v>4</v>
          </cell>
          <cell r="G10">
            <v>128</v>
          </cell>
          <cell r="H10">
            <v>512</v>
          </cell>
          <cell r="I10" t="str">
            <v>物 P46</v>
          </cell>
        </row>
        <row r="11">
          <cell r="C11" t="str">
            <v>電工</v>
          </cell>
          <cell r="E11" t="str">
            <v>人</v>
          </cell>
          <cell r="F11">
            <v>0.5</v>
          </cell>
          <cell r="G11">
            <v>17400</v>
          </cell>
          <cell r="H11">
            <v>8700</v>
          </cell>
          <cell r="I11" t="str">
            <v>三重県</v>
          </cell>
        </row>
        <row r="12">
          <cell r="C12" t="str">
            <v>その他</v>
          </cell>
          <cell r="D12" t="str">
            <v>（労）×１４％</v>
          </cell>
          <cell r="E12" t="str">
            <v>式</v>
          </cell>
          <cell r="F12">
            <v>1</v>
          </cell>
          <cell r="H12">
            <v>1218</v>
          </cell>
          <cell r="I12">
            <v>8700</v>
          </cell>
          <cell r="K12" t="str">
            <v>×</v>
          </cell>
          <cell r="L12">
            <v>0.14000000000000001</v>
          </cell>
        </row>
        <row r="14">
          <cell r="A14">
            <v>3</v>
          </cell>
          <cell r="B14" t="str">
            <v>電線管</v>
          </cell>
          <cell r="C14" t="str">
            <v>VE28</v>
          </cell>
          <cell r="D14" t="str">
            <v>露出配管</v>
          </cell>
          <cell r="E14" t="str">
            <v>ｍ</v>
          </cell>
          <cell r="F14">
            <v>1</v>
          </cell>
          <cell r="H14">
            <v>1745.2599999999998</v>
          </cell>
          <cell r="I14" t="str">
            <v>建 P578</v>
          </cell>
        </row>
        <row r="15">
          <cell r="C15" t="str">
            <v>電線管</v>
          </cell>
          <cell r="D15" t="str">
            <v>VE28</v>
          </cell>
          <cell r="E15" t="str">
            <v>ｍ</v>
          </cell>
          <cell r="F15">
            <v>1.1000000000000001</v>
          </cell>
          <cell r="G15">
            <v>130</v>
          </cell>
          <cell r="H15">
            <v>143</v>
          </cell>
          <cell r="I15" t="str">
            <v>積 P519 中部</v>
          </cell>
          <cell r="L15">
            <v>520</v>
          </cell>
          <cell r="M15" t="str">
            <v>÷</v>
          </cell>
          <cell r="N15">
            <v>4</v>
          </cell>
        </row>
        <row r="16">
          <cell r="C16" t="str">
            <v>付属品</v>
          </cell>
          <cell r="D16" t="str">
            <v>電線管×３０％</v>
          </cell>
          <cell r="E16" t="str">
            <v>式</v>
          </cell>
          <cell r="F16">
            <v>1</v>
          </cell>
          <cell r="H16">
            <v>39</v>
          </cell>
          <cell r="I16">
            <v>130</v>
          </cell>
          <cell r="K16" t="str">
            <v>×</v>
          </cell>
          <cell r="L16">
            <v>0.3</v>
          </cell>
        </row>
        <row r="17">
          <cell r="C17" t="str">
            <v>雑材料</v>
          </cell>
          <cell r="D17" t="str">
            <v>（材）×５％</v>
          </cell>
          <cell r="E17" t="str">
            <v>式</v>
          </cell>
          <cell r="F17">
            <v>1</v>
          </cell>
          <cell r="H17">
            <v>9.1</v>
          </cell>
          <cell r="I17">
            <v>182</v>
          </cell>
          <cell r="K17" t="str">
            <v>×</v>
          </cell>
          <cell r="L17">
            <v>0.05</v>
          </cell>
        </row>
        <row r="18">
          <cell r="C18" t="str">
            <v>電工</v>
          </cell>
          <cell r="E18" t="str">
            <v>人</v>
          </cell>
          <cell r="F18">
            <v>7.6999999999999999E-2</v>
          </cell>
          <cell r="G18">
            <v>17400</v>
          </cell>
          <cell r="H18">
            <v>1339.8</v>
          </cell>
          <cell r="I18" t="str">
            <v>三重県</v>
          </cell>
          <cell r="J18">
            <v>6.4000000000000001E-2</v>
          </cell>
          <cell r="K18" t="str">
            <v>×</v>
          </cell>
          <cell r="L18">
            <v>1.2</v>
          </cell>
          <cell r="T18">
            <v>6</v>
          </cell>
        </row>
        <row r="19">
          <cell r="C19" t="str">
            <v>その他</v>
          </cell>
          <cell r="D19" t="str">
            <v>（労）×１６％</v>
          </cell>
          <cell r="E19" t="str">
            <v>式</v>
          </cell>
          <cell r="F19">
            <v>1</v>
          </cell>
          <cell r="H19">
            <v>214.36</v>
          </cell>
          <cell r="I19">
            <v>1339.8</v>
          </cell>
          <cell r="K19" t="str">
            <v>×</v>
          </cell>
          <cell r="L19">
            <v>0.16</v>
          </cell>
        </row>
        <row r="23">
          <cell r="A23">
            <v>4</v>
          </cell>
          <cell r="B23" t="str">
            <v>電線管</v>
          </cell>
          <cell r="C23" t="str">
            <v>VE22</v>
          </cell>
          <cell r="D23" t="str">
            <v>露出配管</v>
          </cell>
          <cell r="E23" t="str">
            <v>ｍ</v>
          </cell>
          <cell r="F23">
            <v>1</v>
          </cell>
          <cell r="H23">
            <v>1407.51</v>
          </cell>
          <cell r="I23" t="str">
            <v>建 P578</v>
          </cell>
        </row>
        <row r="24">
          <cell r="C24" t="str">
            <v>電線管</v>
          </cell>
          <cell r="D24" t="str">
            <v>VE22</v>
          </cell>
          <cell r="E24" t="str">
            <v>ｍ</v>
          </cell>
          <cell r="F24">
            <v>1.1000000000000001</v>
          </cell>
          <cell r="G24">
            <v>65</v>
          </cell>
          <cell r="H24">
            <v>71.5</v>
          </cell>
          <cell r="I24" t="str">
            <v>積 P519 中部</v>
          </cell>
          <cell r="L24">
            <v>260</v>
          </cell>
          <cell r="M24" t="str">
            <v>÷</v>
          </cell>
          <cell r="N24">
            <v>4</v>
          </cell>
        </row>
        <row r="25">
          <cell r="C25" t="str">
            <v>付属品</v>
          </cell>
          <cell r="D25" t="str">
            <v>電線管×３０％</v>
          </cell>
          <cell r="E25" t="str">
            <v>式</v>
          </cell>
          <cell r="F25">
            <v>1</v>
          </cell>
          <cell r="H25">
            <v>19.5</v>
          </cell>
          <cell r="I25">
            <v>65</v>
          </cell>
          <cell r="K25" t="str">
            <v>×</v>
          </cell>
          <cell r="L25">
            <v>0.3</v>
          </cell>
        </row>
        <row r="26">
          <cell r="C26" t="str">
            <v>雑材料</v>
          </cell>
          <cell r="D26" t="str">
            <v>（材）×５％</v>
          </cell>
          <cell r="E26" t="str">
            <v>式</v>
          </cell>
          <cell r="F26">
            <v>1</v>
          </cell>
          <cell r="H26">
            <v>4.55</v>
          </cell>
          <cell r="I26">
            <v>91</v>
          </cell>
          <cell r="K26" t="str">
            <v>×</v>
          </cell>
          <cell r="L26">
            <v>0.05</v>
          </cell>
        </row>
        <row r="27">
          <cell r="C27" t="str">
            <v>電工</v>
          </cell>
          <cell r="E27" t="str">
            <v>人</v>
          </cell>
          <cell r="F27">
            <v>6.5000000000000002E-2</v>
          </cell>
          <cell r="G27">
            <v>17400</v>
          </cell>
          <cell r="H27">
            <v>1131</v>
          </cell>
          <cell r="I27" t="str">
            <v>三重県</v>
          </cell>
          <cell r="J27">
            <v>5.3999999999999999E-2</v>
          </cell>
          <cell r="K27" t="str">
            <v>×</v>
          </cell>
          <cell r="L27">
            <v>1.2</v>
          </cell>
          <cell r="T27">
            <v>6</v>
          </cell>
        </row>
        <row r="28">
          <cell r="C28" t="str">
            <v>その他</v>
          </cell>
          <cell r="D28" t="str">
            <v>（労）×１６％</v>
          </cell>
          <cell r="E28" t="str">
            <v>式</v>
          </cell>
          <cell r="F28">
            <v>1</v>
          </cell>
          <cell r="H28">
            <v>180.96</v>
          </cell>
          <cell r="I28">
            <v>1131</v>
          </cell>
          <cell r="K28" t="str">
            <v>×</v>
          </cell>
          <cell r="L28">
            <v>0.16</v>
          </cell>
        </row>
        <row r="30">
          <cell r="A30">
            <v>5</v>
          </cell>
          <cell r="B30" t="str">
            <v>電線管</v>
          </cell>
          <cell r="C30" t="str">
            <v>VE16</v>
          </cell>
          <cell r="D30" t="str">
            <v>露出配管</v>
          </cell>
          <cell r="E30" t="str">
            <v>ｍ</v>
          </cell>
          <cell r="F30">
            <v>1</v>
          </cell>
          <cell r="H30">
            <v>1154.27</v>
          </cell>
          <cell r="I30" t="str">
            <v>建 P578</v>
          </cell>
        </row>
        <row r="31">
          <cell r="C31" t="str">
            <v>電線管</v>
          </cell>
          <cell r="D31" t="str">
            <v>VE16</v>
          </cell>
          <cell r="E31" t="str">
            <v>ｍ</v>
          </cell>
          <cell r="F31">
            <v>1.1000000000000001</v>
          </cell>
          <cell r="G31">
            <v>57.5</v>
          </cell>
          <cell r="H31">
            <v>63.25</v>
          </cell>
          <cell r="I31" t="str">
            <v>積 P519 中部</v>
          </cell>
          <cell r="L31">
            <v>230</v>
          </cell>
          <cell r="M31" t="str">
            <v>÷</v>
          </cell>
          <cell r="N31">
            <v>4</v>
          </cell>
        </row>
        <row r="32">
          <cell r="C32" t="str">
            <v>付属品</v>
          </cell>
          <cell r="D32" t="str">
            <v>電線管×３０％</v>
          </cell>
          <cell r="E32" t="str">
            <v>式</v>
          </cell>
          <cell r="F32">
            <v>1</v>
          </cell>
          <cell r="H32">
            <v>17.25</v>
          </cell>
          <cell r="I32">
            <v>57.5</v>
          </cell>
          <cell r="K32" t="str">
            <v>×</v>
          </cell>
          <cell r="L32">
            <v>0.3</v>
          </cell>
        </row>
        <row r="33">
          <cell r="C33" t="str">
            <v>雑材料</v>
          </cell>
          <cell r="D33" t="str">
            <v>（材）×５％</v>
          </cell>
          <cell r="E33" t="str">
            <v>式</v>
          </cell>
          <cell r="F33">
            <v>1</v>
          </cell>
          <cell r="H33">
            <v>4.0199999999999996</v>
          </cell>
          <cell r="I33">
            <v>80.5</v>
          </cell>
          <cell r="K33" t="str">
            <v>×</v>
          </cell>
          <cell r="L33">
            <v>0.05</v>
          </cell>
        </row>
        <row r="34">
          <cell r="C34" t="str">
            <v>電工</v>
          </cell>
          <cell r="E34" t="str">
            <v>人</v>
          </cell>
          <cell r="F34">
            <v>5.2999999999999999E-2</v>
          </cell>
          <cell r="G34">
            <v>17400</v>
          </cell>
          <cell r="H34">
            <v>922.2</v>
          </cell>
          <cell r="I34" t="str">
            <v>三重県</v>
          </cell>
          <cell r="J34">
            <v>4.3999999999999997E-2</v>
          </cell>
          <cell r="K34" t="str">
            <v>×</v>
          </cell>
          <cell r="L34">
            <v>1.2</v>
          </cell>
          <cell r="T34">
            <v>6</v>
          </cell>
        </row>
        <row r="35">
          <cell r="C35" t="str">
            <v>その他</v>
          </cell>
          <cell r="D35" t="str">
            <v>（労）×１６％</v>
          </cell>
          <cell r="E35" t="str">
            <v>式</v>
          </cell>
          <cell r="F35">
            <v>1</v>
          </cell>
          <cell r="H35">
            <v>147.55000000000001</v>
          </cell>
          <cell r="I35">
            <v>922.2</v>
          </cell>
          <cell r="K35" t="str">
            <v>×</v>
          </cell>
          <cell r="L35">
            <v>0.16</v>
          </cell>
        </row>
        <row r="37">
          <cell r="A37">
            <v>6</v>
          </cell>
          <cell r="B37" t="str">
            <v>配線</v>
          </cell>
          <cell r="C37" t="str">
            <v>VVR5.5sq×2C</v>
          </cell>
          <cell r="D37" t="str">
            <v>管内（VE）</v>
          </cell>
          <cell r="E37" t="str">
            <v>ｍ</v>
          </cell>
          <cell r="F37">
            <v>1</v>
          </cell>
          <cell r="H37">
            <v>540.51</v>
          </cell>
          <cell r="I37" t="str">
            <v>建 P206</v>
          </cell>
        </row>
        <row r="38">
          <cell r="C38" t="str">
            <v>電線</v>
          </cell>
          <cell r="D38" t="str">
            <v>VVR5.5sq×2C</v>
          </cell>
          <cell r="E38" t="str">
            <v>ｍ</v>
          </cell>
          <cell r="F38">
            <v>1.1000000000000001</v>
          </cell>
          <cell r="G38">
            <v>101</v>
          </cell>
          <cell r="H38">
            <v>111.1</v>
          </cell>
          <cell r="I38" t="str">
            <v>物 P468 四日市</v>
          </cell>
        </row>
        <row r="39">
          <cell r="C39" t="str">
            <v>雑材料</v>
          </cell>
          <cell r="D39" t="str">
            <v>（材）×５％</v>
          </cell>
          <cell r="E39" t="str">
            <v>式</v>
          </cell>
          <cell r="F39">
            <v>1</v>
          </cell>
          <cell r="H39">
            <v>5.55</v>
          </cell>
          <cell r="I39">
            <v>111.1</v>
          </cell>
          <cell r="K39" t="str">
            <v>×</v>
          </cell>
          <cell r="L39">
            <v>0.05</v>
          </cell>
        </row>
        <row r="40">
          <cell r="C40" t="str">
            <v>電工</v>
          </cell>
          <cell r="E40" t="str">
            <v>人</v>
          </cell>
          <cell r="F40">
            <v>2.1000000000000001E-2</v>
          </cell>
          <cell r="G40">
            <v>17400</v>
          </cell>
          <cell r="H40">
            <v>365.4</v>
          </cell>
          <cell r="I40" t="str">
            <v>三重県</v>
          </cell>
          <cell r="T40">
            <v>6</v>
          </cell>
        </row>
        <row r="41">
          <cell r="C41" t="str">
            <v>その他</v>
          </cell>
          <cell r="D41" t="str">
            <v>（労）×１６％</v>
          </cell>
          <cell r="E41" t="str">
            <v>式</v>
          </cell>
          <cell r="F41">
            <v>1</v>
          </cell>
          <cell r="H41">
            <v>58.46</v>
          </cell>
          <cell r="I41">
            <v>365.4</v>
          </cell>
          <cell r="K41" t="str">
            <v>×</v>
          </cell>
          <cell r="L41">
            <v>0.16</v>
          </cell>
        </row>
        <row r="44">
          <cell r="A44">
            <v>7</v>
          </cell>
          <cell r="B44" t="str">
            <v>配線</v>
          </cell>
          <cell r="C44" t="str">
            <v>VVR5.5sq×2C</v>
          </cell>
          <cell r="D44" t="str">
            <v>ﾋﾟｯﾄ内</v>
          </cell>
          <cell r="E44" t="str">
            <v>ｍ</v>
          </cell>
          <cell r="F44">
            <v>1</v>
          </cell>
          <cell r="H44">
            <v>459.77</v>
          </cell>
          <cell r="I44" t="str">
            <v>建 P206</v>
          </cell>
        </row>
        <row r="45">
          <cell r="C45" t="str">
            <v>電線</v>
          </cell>
          <cell r="D45" t="str">
            <v>VVR5.5sq×2C</v>
          </cell>
          <cell r="E45" t="str">
            <v>ｍ</v>
          </cell>
          <cell r="F45">
            <v>1.1000000000000001</v>
          </cell>
          <cell r="G45">
            <v>101</v>
          </cell>
          <cell r="H45">
            <v>111.1</v>
          </cell>
          <cell r="I45" t="str">
            <v>物 P468 四日市</v>
          </cell>
        </row>
        <row r="46">
          <cell r="C46" t="str">
            <v>雑材料</v>
          </cell>
          <cell r="D46" t="str">
            <v>（材）×５％</v>
          </cell>
          <cell r="E46" t="str">
            <v>式</v>
          </cell>
          <cell r="F46">
            <v>1</v>
          </cell>
          <cell r="H46">
            <v>5.55</v>
          </cell>
          <cell r="I46">
            <v>111.1</v>
          </cell>
          <cell r="K46" t="str">
            <v>×</v>
          </cell>
          <cell r="L46">
            <v>0.05</v>
          </cell>
        </row>
        <row r="47">
          <cell r="C47" t="str">
            <v>電工</v>
          </cell>
          <cell r="E47" t="str">
            <v>人</v>
          </cell>
          <cell r="F47">
            <v>1.7000000000000001E-2</v>
          </cell>
          <cell r="G47">
            <v>17400</v>
          </cell>
          <cell r="H47">
            <v>295.8</v>
          </cell>
          <cell r="I47" t="str">
            <v>三重県</v>
          </cell>
          <cell r="J47">
            <v>2.1000000000000001E-2</v>
          </cell>
          <cell r="K47" t="str">
            <v>×</v>
          </cell>
          <cell r="L47">
            <v>0.8</v>
          </cell>
          <cell r="T47">
            <v>6</v>
          </cell>
        </row>
        <row r="48">
          <cell r="C48" t="str">
            <v>その他</v>
          </cell>
          <cell r="D48" t="str">
            <v>（労）×１６％</v>
          </cell>
          <cell r="E48" t="str">
            <v>式</v>
          </cell>
          <cell r="F48">
            <v>1</v>
          </cell>
          <cell r="H48">
            <v>47.32</v>
          </cell>
          <cell r="I48">
            <v>295.8</v>
          </cell>
          <cell r="K48" t="str">
            <v>×</v>
          </cell>
          <cell r="L48">
            <v>0.16</v>
          </cell>
        </row>
        <row r="50">
          <cell r="A50">
            <v>8</v>
          </cell>
          <cell r="B50" t="str">
            <v>配線</v>
          </cell>
          <cell r="C50" t="str">
            <v>CVV1.25sq×4C</v>
          </cell>
          <cell r="D50" t="str">
            <v>管内（VE）</v>
          </cell>
          <cell r="E50" t="str">
            <v>ｍ</v>
          </cell>
          <cell r="F50">
            <v>1</v>
          </cell>
          <cell r="H50">
            <v>464.38</v>
          </cell>
          <cell r="I50" t="str">
            <v>建 P209</v>
          </cell>
          <cell r="T50">
            <v>10</v>
          </cell>
        </row>
        <row r="51">
          <cell r="C51" t="str">
            <v>電線</v>
          </cell>
          <cell r="D51" t="str">
            <v>CVV1.25sq×4C</v>
          </cell>
          <cell r="E51" t="str">
            <v>ｍ</v>
          </cell>
          <cell r="F51">
            <v>1.1000000000000001</v>
          </cell>
          <cell r="G51">
            <v>71.400000000000006</v>
          </cell>
          <cell r="H51">
            <v>78.540000000000006</v>
          </cell>
          <cell r="I51" t="str">
            <v>物 P476名古屋</v>
          </cell>
        </row>
        <row r="52">
          <cell r="C52" t="str">
            <v>雑材料</v>
          </cell>
          <cell r="D52" t="str">
            <v>（材）×３％</v>
          </cell>
          <cell r="E52" t="str">
            <v>式</v>
          </cell>
          <cell r="F52">
            <v>1</v>
          </cell>
          <cell r="H52">
            <v>2.35</v>
          </cell>
          <cell r="I52">
            <v>78.540000000000006</v>
          </cell>
          <cell r="K52" t="str">
            <v>×</v>
          </cell>
          <cell r="L52">
            <v>0.03</v>
          </cell>
        </row>
        <row r="53">
          <cell r="C53" t="str">
            <v>電工</v>
          </cell>
          <cell r="E53" t="str">
            <v>人</v>
          </cell>
          <cell r="F53">
            <v>1.9E-2</v>
          </cell>
          <cell r="G53">
            <v>17400</v>
          </cell>
          <cell r="H53">
            <v>330.6</v>
          </cell>
          <cell r="I53" t="str">
            <v>三重県</v>
          </cell>
        </row>
        <row r="54">
          <cell r="C54" t="str">
            <v>その他</v>
          </cell>
          <cell r="D54" t="str">
            <v>（労）×１６％</v>
          </cell>
          <cell r="E54" t="str">
            <v>式</v>
          </cell>
          <cell r="F54">
            <v>1</v>
          </cell>
          <cell r="H54">
            <v>52.89</v>
          </cell>
          <cell r="I54">
            <v>330.6</v>
          </cell>
          <cell r="K54" t="str">
            <v>×</v>
          </cell>
          <cell r="L54">
            <v>0.16</v>
          </cell>
        </row>
        <row r="56">
          <cell r="A56">
            <v>9</v>
          </cell>
          <cell r="B56" t="str">
            <v>配線</v>
          </cell>
          <cell r="C56" t="str">
            <v>CVV1.25sq×10C</v>
          </cell>
          <cell r="D56" t="str">
            <v>管内（VE）</v>
          </cell>
          <cell r="E56" t="str">
            <v>ｍ</v>
          </cell>
          <cell r="F56">
            <v>1</v>
          </cell>
          <cell r="H56">
            <v>916.75</v>
          </cell>
          <cell r="I56" t="str">
            <v>建 P209</v>
          </cell>
          <cell r="T56">
            <v>10</v>
          </cell>
        </row>
        <row r="57">
          <cell r="C57" t="str">
            <v>電線</v>
          </cell>
          <cell r="D57" t="str">
            <v>CVV1.25sq×10C</v>
          </cell>
          <cell r="E57" t="str">
            <v>ｍ</v>
          </cell>
          <cell r="F57">
            <v>1.1000000000000001</v>
          </cell>
          <cell r="G57">
            <v>150</v>
          </cell>
          <cell r="H57">
            <v>165</v>
          </cell>
          <cell r="I57" t="str">
            <v>物 P476名古屋</v>
          </cell>
        </row>
        <row r="58">
          <cell r="C58" t="str">
            <v>雑材料</v>
          </cell>
          <cell r="D58" t="str">
            <v>（材）×３％</v>
          </cell>
          <cell r="E58" t="str">
            <v>式</v>
          </cell>
          <cell r="F58">
            <v>1</v>
          </cell>
          <cell r="H58">
            <v>4.95</v>
          </cell>
          <cell r="I58">
            <v>165</v>
          </cell>
          <cell r="K58" t="str">
            <v>×</v>
          </cell>
          <cell r="L58">
            <v>0.03</v>
          </cell>
        </row>
        <row r="59">
          <cell r="C59" t="str">
            <v>電工</v>
          </cell>
          <cell r="E59" t="str">
            <v>人</v>
          </cell>
          <cell r="F59">
            <v>3.6999999999999998E-2</v>
          </cell>
          <cell r="G59">
            <v>17400</v>
          </cell>
          <cell r="H59">
            <v>643.79999999999995</v>
          </cell>
          <cell r="I59" t="str">
            <v>三重県</v>
          </cell>
        </row>
        <row r="60">
          <cell r="C60" t="str">
            <v>その他</v>
          </cell>
          <cell r="D60" t="str">
            <v>（労）×１６％</v>
          </cell>
          <cell r="E60" t="str">
            <v>式</v>
          </cell>
          <cell r="F60">
            <v>1</v>
          </cell>
          <cell r="H60">
            <v>103</v>
          </cell>
          <cell r="I60">
            <v>643.79999999999995</v>
          </cell>
          <cell r="K60" t="str">
            <v>×</v>
          </cell>
          <cell r="L60">
            <v>0.16</v>
          </cell>
        </row>
        <row r="65">
          <cell r="A65">
            <v>10</v>
          </cell>
          <cell r="B65" t="str">
            <v>配線</v>
          </cell>
          <cell r="C65" t="str">
            <v>CVV1.25sq×4C</v>
          </cell>
          <cell r="D65" t="str">
            <v>ﾋﾟｯﾄ内</v>
          </cell>
          <cell r="E65" t="str">
            <v>ｍ</v>
          </cell>
          <cell r="F65">
            <v>1</v>
          </cell>
          <cell r="H65">
            <v>383.65</v>
          </cell>
          <cell r="I65" t="str">
            <v>建 P209</v>
          </cell>
          <cell r="T65">
            <v>10</v>
          </cell>
        </row>
        <row r="66">
          <cell r="C66" t="str">
            <v>電線</v>
          </cell>
          <cell r="D66" t="str">
            <v>CVV1.25sq×4C</v>
          </cell>
          <cell r="E66" t="str">
            <v>ｍ</v>
          </cell>
          <cell r="F66">
            <v>1.1000000000000001</v>
          </cell>
          <cell r="G66">
            <v>71.400000000000006</v>
          </cell>
          <cell r="H66">
            <v>78.540000000000006</v>
          </cell>
          <cell r="I66" t="str">
            <v>物 P476名古屋</v>
          </cell>
        </row>
        <row r="67">
          <cell r="C67" t="str">
            <v>雑材料</v>
          </cell>
          <cell r="D67" t="str">
            <v>（材）×３％</v>
          </cell>
          <cell r="E67" t="str">
            <v>式</v>
          </cell>
          <cell r="F67">
            <v>1</v>
          </cell>
          <cell r="H67">
            <v>2.35</v>
          </cell>
          <cell r="I67">
            <v>78.540000000000006</v>
          </cell>
          <cell r="K67" t="str">
            <v>×</v>
          </cell>
          <cell r="L67">
            <v>0.03</v>
          </cell>
        </row>
        <row r="68">
          <cell r="C68" t="str">
            <v>電工</v>
          </cell>
          <cell r="E68" t="str">
            <v>人</v>
          </cell>
          <cell r="F68">
            <v>1.4999999999999999E-2</v>
          </cell>
          <cell r="G68">
            <v>17400</v>
          </cell>
          <cell r="H68">
            <v>261</v>
          </cell>
          <cell r="I68" t="str">
            <v>三重県</v>
          </cell>
          <cell r="J68">
            <v>1.9E-2</v>
          </cell>
          <cell r="K68" t="str">
            <v>×</v>
          </cell>
          <cell r="L68">
            <v>0.8</v>
          </cell>
        </row>
        <row r="69">
          <cell r="C69" t="str">
            <v>その他</v>
          </cell>
          <cell r="D69" t="str">
            <v>（労）×１６％</v>
          </cell>
          <cell r="E69" t="str">
            <v>式</v>
          </cell>
          <cell r="F69">
            <v>1</v>
          </cell>
          <cell r="H69">
            <v>41.76</v>
          </cell>
          <cell r="I69">
            <v>261</v>
          </cell>
          <cell r="K69" t="str">
            <v>×</v>
          </cell>
          <cell r="L69">
            <v>0.16</v>
          </cell>
        </row>
        <row r="71">
          <cell r="A71">
            <v>11</v>
          </cell>
          <cell r="B71" t="str">
            <v>有線式灯台監視装置撤去</v>
          </cell>
          <cell r="C71" t="str">
            <v>送信装置</v>
          </cell>
          <cell r="E71" t="str">
            <v>式</v>
          </cell>
          <cell r="F71">
            <v>1</v>
          </cell>
          <cell r="H71">
            <v>5371.65</v>
          </cell>
          <cell r="I71" t="str">
            <v>海電 P2-30</v>
          </cell>
          <cell r="T71">
            <v>1</v>
          </cell>
        </row>
        <row r="72">
          <cell r="C72" t="str">
            <v>電工</v>
          </cell>
          <cell r="E72" t="str">
            <v>人</v>
          </cell>
          <cell r="F72">
            <v>0.18</v>
          </cell>
          <cell r="G72">
            <v>17400</v>
          </cell>
          <cell r="H72">
            <v>3132</v>
          </cell>
          <cell r="I72" t="str">
            <v>三重県</v>
          </cell>
          <cell r="J72">
            <v>0.6</v>
          </cell>
          <cell r="K72" t="str">
            <v>×</v>
          </cell>
          <cell r="L72">
            <v>0.3</v>
          </cell>
        </row>
        <row r="73">
          <cell r="C73" t="str">
            <v>普通作業員</v>
          </cell>
          <cell r="E73" t="str">
            <v>人</v>
          </cell>
          <cell r="F73">
            <v>0.09</v>
          </cell>
          <cell r="G73">
            <v>17100</v>
          </cell>
          <cell r="H73">
            <v>1539</v>
          </cell>
          <cell r="I73" t="str">
            <v>三重県</v>
          </cell>
          <cell r="J73">
            <v>0.3</v>
          </cell>
          <cell r="K73" t="str">
            <v>×</v>
          </cell>
          <cell r="L73">
            <v>0.3</v>
          </cell>
        </row>
        <row r="74">
          <cell r="C74" t="str">
            <v>その他</v>
          </cell>
          <cell r="D74" t="str">
            <v>（労）×１５％</v>
          </cell>
          <cell r="E74" t="str">
            <v>式</v>
          </cell>
          <cell r="F74">
            <v>1</v>
          </cell>
          <cell r="H74">
            <v>700.65</v>
          </cell>
          <cell r="I74">
            <v>4671</v>
          </cell>
          <cell r="K74" t="str">
            <v>×</v>
          </cell>
          <cell r="L74">
            <v>0.15</v>
          </cell>
        </row>
        <row r="76">
          <cell r="A76">
            <v>12</v>
          </cell>
          <cell r="B76" t="str">
            <v>電線管撤去</v>
          </cell>
          <cell r="C76" t="str">
            <v>VE22</v>
          </cell>
          <cell r="E76" t="str">
            <v>ｍ</v>
          </cell>
          <cell r="F76">
            <v>1</v>
          </cell>
          <cell r="H76">
            <v>260.13</v>
          </cell>
          <cell r="I76" t="str">
            <v>建 P578</v>
          </cell>
        </row>
        <row r="77">
          <cell r="C77" t="str">
            <v>電工</v>
          </cell>
          <cell r="E77" t="str">
            <v>人</v>
          </cell>
          <cell r="F77">
            <v>1.2999999999999999E-2</v>
          </cell>
          <cell r="G77">
            <v>17400</v>
          </cell>
          <cell r="H77">
            <v>226.2</v>
          </cell>
          <cell r="I77" t="str">
            <v>三重県</v>
          </cell>
          <cell r="J77">
            <v>5.3999999999999999E-2</v>
          </cell>
          <cell r="K77" t="str">
            <v>×</v>
          </cell>
          <cell r="L77">
            <v>1.2</v>
          </cell>
          <cell r="M77" t="str">
            <v>×</v>
          </cell>
          <cell r="N77">
            <v>0.2</v>
          </cell>
          <cell r="T77">
            <v>6</v>
          </cell>
        </row>
        <row r="78">
          <cell r="C78" t="str">
            <v>その他</v>
          </cell>
          <cell r="D78" t="str">
            <v>（労）×１５％</v>
          </cell>
          <cell r="E78" t="str">
            <v>式</v>
          </cell>
          <cell r="F78">
            <v>1</v>
          </cell>
          <cell r="H78">
            <v>33.93</v>
          </cell>
          <cell r="I78">
            <v>226.2</v>
          </cell>
          <cell r="K78" t="str">
            <v>×</v>
          </cell>
          <cell r="L78">
            <v>0.15</v>
          </cell>
        </row>
        <row r="80">
          <cell r="A80">
            <v>13</v>
          </cell>
          <cell r="B80" t="str">
            <v>電線管撤去</v>
          </cell>
          <cell r="C80" t="str">
            <v>VE16</v>
          </cell>
          <cell r="E80" t="str">
            <v>ｍ</v>
          </cell>
          <cell r="F80">
            <v>1</v>
          </cell>
          <cell r="H80">
            <v>220.11</v>
          </cell>
          <cell r="I80" t="str">
            <v>建 P578</v>
          </cell>
        </row>
        <row r="81">
          <cell r="C81" t="str">
            <v>電工</v>
          </cell>
          <cell r="E81" t="str">
            <v>人</v>
          </cell>
          <cell r="F81">
            <v>1.0999999999999999E-2</v>
          </cell>
          <cell r="G81">
            <v>17400</v>
          </cell>
          <cell r="H81">
            <v>191.4</v>
          </cell>
          <cell r="I81" t="str">
            <v>三重県</v>
          </cell>
          <cell r="J81">
            <v>4.3999999999999997E-2</v>
          </cell>
          <cell r="K81" t="str">
            <v>×</v>
          </cell>
          <cell r="L81">
            <v>1.2</v>
          </cell>
          <cell r="M81" t="str">
            <v>×</v>
          </cell>
          <cell r="N81">
            <v>0.2</v>
          </cell>
          <cell r="T81">
            <v>6</v>
          </cell>
        </row>
        <row r="82">
          <cell r="C82" t="str">
            <v>その他</v>
          </cell>
          <cell r="D82" t="str">
            <v>（労）×１５％</v>
          </cell>
          <cell r="E82" t="str">
            <v>式</v>
          </cell>
          <cell r="F82">
            <v>1</v>
          </cell>
          <cell r="H82">
            <v>28.71</v>
          </cell>
          <cell r="I82">
            <v>191.4</v>
          </cell>
          <cell r="K82" t="str">
            <v>×</v>
          </cell>
          <cell r="L82">
            <v>0.15</v>
          </cell>
        </row>
        <row r="86">
          <cell r="A86">
            <v>14</v>
          </cell>
          <cell r="B86" t="str">
            <v>電線撤去</v>
          </cell>
          <cell r="C86" t="str">
            <v>VVR14sq×2C</v>
          </cell>
          <cell r="D86" t="str">
            <v>管内（VE）</v>
          </cell>
          <cell r="E86" t="str">
            <v>ｍ</v>
          </cell>
          <cell r="F86">
            <v>1</v>
          </cell>
          <cell r="H86">
            <v>120.06</v>
          </cell>
          <cell r="I86" t="str">
            <v>建 P206</v>
          </cell>
        </row>
        <row r="87">
          <cell r="C87" t="str">
            <v>電工</v>
          </cell>
          <cell r="E87" t="str">
            <v>人</v>
          </cell>
          <cell r="F87">
            <v>6.0000000000000001E-3</v>
          </cell>
          <cell r="G87">
            <v>17400</v>
          </cell>
          <cell r="H87">
            <v>104.4</v>
          </cell>
          <cell r="I87" t="str">
            <v>三重県</v>
          </cell>
          <cell r="J87">
            <v>2.9000000000000001E-2</v>
          </cell>
          <cell r="K87" t="str">
            <v>×</v>
          </cell>
          <cell r="L87">
            <v>0.2</v>
          </cell>
          <cell r="T87">
            <v>6</v>
          </cell>
        </row>
        <row r="88">
          <cell r="C88" t="str">
            <v>その他</v>
          </cell>
          <cell r="D88" t="str">
            <v>（労）×１５％</v>
          </cell>
          <cell r="E88" t="str">
            <v>式</v>
          </cell>
          <cell r="F88">
            <v>1</v>
          </cell>
          <cell r="H88">
            <v>15.66</v>
          </cell>
          <cell r="I88">
            <v>104.4</v>
          </cell>
          <cell r="K88" t="str">
            <v>×</v>
          </cell>
          <cell r="L88">
            <v>0.15</v>
          </cell>
        </row>
        <row r="90">
          <cell r="A90">
            <v>15</v>
          </cell>
          <cell r="B90" t="str">
            <v>電線撤去</v>
          </cell>
          <cell r="C90" t="str">
            <v>VVR14sq×2C</v>
          </cell>
          <cell r="D90" t="str">
            <v>ﾋﾟｯﾄ内</v>
          </cell>
          <cell r="E90" t="str">
            <v>ｍ</v>
          </cell>
          <cell r="F90">
            <v>1</v>
          </cell>
          <cell r="H90">
            <v>100.05</v>
          </cell>
          <cell r="I90" t="str">
            <v>建 P206</v>
          </cell>
        </row>
        <row r="91">
          <cell r="C91" t="str">
            <v>電工</v>
          </cell>
          <cell r="E91" t="str">
            <v>人</v>
          </cell>
          <cell r="F91">
            <v>5.0000000000000001E-3</v>
          </cell>
          <cell r="G91">
            <v>17400</v>
          </cell>
          <cell r="H91">
            <v>87</v>
          </cell>
          <cell r="I91" t="str">
            <v>三重県</v>
          </cell>
          <cell r="J91">
            <v>2.9000000000000001E-2</v>
          </cell>
          <cell r="K91" t="str">
            <v>×</v>
          </cell>
          <cell r="L91">
            <v>0.8</v>
          </cell>
          <cell r="M91" t="str">
            <v>×</v>
          </cell>
          <cell r="N91">
            <v>0.2</v>
          </cell>
          <cell r="T91">
            <v>6</v>
          </cell>
        </row>
        <row r="92">
          <cell r="C92" t="str">
            <v>その他</v>
          </cell>
          <cell r="D92" t="str">
            <v>（労）×１５％</v>
          </cell>
          <cell r="E92" t="str">
            <v>式</v>
          </cell>
          <cell r="F92">
            <v>1</v>
          </cell>
          <cell r="H92">
            <v>13.05</v>
          </cell>
          <cell r="I92">
            <v>87</v>
          </cell>
          <cell r="K92" t="str">
            <v>×</v>
          </cell>
          <cell r="L92">
            <v>0.15</v>
          </cell>
        </row>
        <row r="94">
          <cell r="A94">
            <v>16</v>
          </cell>
          <cell r="B94" t="str">
            <v>電線撤去</v>
          </cell>
          <cell r="C94" t="str">
            <v>CVV1.25sq×10C</v>
          </cell>
          <cell r="D94" t="str">
            <v>管内（VE）</v>
          </cell>
          <cell r="E94" t="str">
            <v>ｍ</v>
          </cell>
          <cell r="F94">
            <v>1</v>
          </cell>
          <cell r="H94">
            <v>140.07</v>
          </cell>
          <cell r="I94" t="str">
            <v>建 P209</v>
          </cell>
          <cell r="T94">
            <v>10</v>
          </cell>
        </row>
        <row r="95">
          <cell r="C95" t="str">
            <v>電工</v>
          </cell>
          <cell r="E95" t="str">
            <v>人</v>
          </cell>
          <cell r="F95">
            <v>7.0000000000000001E-3</v>
          </cell>
          <cell r="G95">
            <v>17400</v>
          </cell>
          <cell r="H95">
            <v>121.8</v>
          </cell>
          <cell r="I95" t="str">
            <v>三重県</v>
          </cell>
          <cell r="J95">
            <v>3.6999999999999998E-2</v>
          </cell>
          <cell r="K95" t="str">
            <v>×</v>
          </cell>
          <cell r="L95">
            <v>0.2</v>
          </cell>
        </row>
        <row r="96">
          <cell r="C96" t="str">
            <v>その他</v>
          </cell>
          <cell r="D96" t="str">
            <v>（労）×１５％</v>
          </cell>
          <cell r="E96" t="str">
            <v>式</v>
          </cell>
          <cell r="F96">
            <v>1</v>
          </cell>
          <cell r="H96">
            <v>18.27</v>
          </cell>
          <cell r="I96">
            <v>121.8</v>
          </cell>
          <cell r="K96" t="str">
            <v>×</v>
          </cell>
          <cell r="L96">
            <v>0.15</v>
          </cell>
        </row>
        <row r="98">
          <cell r="A98">
            <v>17</v>
          </cell>
          <cell r="B98" t="str">
            <v>電線撤去</v>
          </cell>
          <cell r="C98" t="str">
            <v>CVV1.25sq×6C</v>
          </cell>
          <cell r="D98" t="str">
            <v>管内（VE）</v>
          </cell>
          <cell r="E98" t="str">
            <v>ｍ</v>
          </cell>
          <cell r="F98">
            <v>1</v>
          </cell>
          <cell r="H98">
            <v>100.05</v>
          </cell>
          <cell r="I98" t="str">
            <v>建 P209</v>
          </cell>
          <cell r="T98">
            <v>10</v>
          </cell>
        </row>
        <row r="99">
          <cell r="C99" t="str">
            <v>電工</v>
          </cell>
          <cell r="E99" t="str">
            <v>人</v>
          </cell>
          <cell r="F99">
            <v>5.0000000000000001E-3</v>
          </cell>
          <cell r="G99">
            <v>17400</v>
          </cell>
          <cell r="H99">
            <v>87</v>
          </cell>
          <cell r="I99" t="str">
            <v>三重県</v>
          </cell>
          <cell r="J99">
            <v>2.5000000000000001E-2</v>
          </cell>
          <cell r="K99" t="str">
            <v>×</v>
          </cell>
          <cell r="L99">
            <v>0.2</v>
          </cell>
        </row>
        <row r="100">
          <cell r="C100" t="str">
            <v>その他</v>
          </cell>
          <cell r="D100" t="str">
            <v>（労）×１５％</v>
          </cell>
          <cell r="E100" t="str">
            <v>式</v>
          </cell>
          <cell r="F100">
            <v>1</v>
          </cell>
          <cell r="H100">
            <v>13.05</v>
          </cell>
          <cell r="I100">
            <v>87</v>
          </cell>
          <cell r="K100" t="str">
            <v>×</v>
          </cell>
          <cell r="L100">
            <v>0.15</v>
          </cell>
        </row>
        <row r="102">
          <cell r="A102">
            <v>18</v>
          </cell>
          <cell r="B102" t="str">
            <v>電線撤去</v>
          </cell>
          <cell r="C102" t="str">
            <v>CVV1.25sq×2C</v>
          </cell>
          <cell r="D102" t="str">
            <v>管内（VE）</v>
          </cell>
          <cell r="E102" t="str">
            <v>ｍ</v>
          </cell>
          <cell r="F102">
            <v>1</v>
          </cell>
          <cell r="H102">
            <v>60.03</v>
          </cell>
          <cell r="I102" t="str">
            <v>建 P209</v>
          </cell>
          <cell r="T102">
            <v>10</v>
          </cell>
        </row>
        <row r="103">
          <cell r="C103" t="str">
            <v>電工</v>
          </cell>
          <cell r="E103" t="str">
            <v>人</v>
          </cell>
          <cell r="F103">
            <v>3.0000000000000001E-3</v>
          </cell>
          <cell r="G103">
            <v>17400</v>
          </cell>
          <cell r="H103">
            <v>52.2</v>
          </cell>
          <cell r="I103" t="str">
            <v>三重県</v>
          </cell>
          <cell r="J103">
            <v>1.4999999999999999E-2</v>
          </cell>
          <cell r="K103" t="str">
            <v>×</v>
          </cell>
          <cell r="L103">
            <v>0.2</v>
          </cell>
        </row>
        <row r="104">
          <cell r="C104" t="str">
            <v>その他</v>
          </cell>
          <cell r="D104" t="str">
            <v>（労）×１５％</v>
          </cell>
          <cell r="E104" t="str">
            <v>式</v>
          </cell>
          <cell r="F104">
            <v>1</v>
          </cell>
          <cell r="H104">
            <v>7.83</v>
          </cell>
          <cell r="I104">
            <v>52.2</v>
          </cell>
          <cell r="K104" t="str">
            <v>×</v>
          </cell>
          <cell r="L104">
            <v>0.15</v>
          </cell>
        </row>
        <row r="107">
          <cell r="A107">
            <v>19</v>
          </cell>
          <cell r="B107" t="str">
            <v>電線撤去</v>
          </cell>
          <cell r="C107" t="str">
            <v>CVV1.25sq×6C</v>
          </cell>
          <cell r="D107" t="str">
            <v>ﾋﾟｯﾄ内</v>
          </cell>
          <cell r="E107" t="str">
            <v>ｍ</v>
          </cell>
          <cell r="F107">
            <v>1</v>
          </cell>
          <cell r="H107">
            <v>80.039999999999992</v>
          </cell>
          <cell r="I107" t="str">
            <v>建 P209</v>
          </cell>
          <cell r="T107">
            <v>10</v>
          </cell>
        </row>
        <row r="108">
          <cell r="C108" t="str">
            <v>電工</v>
          </cell>
          <cell r="E108" t="str">
            <v>人</v>
          </cell>
          <cell r="F108">
            <v>4.0000000000000001E-3</v>
          </cell>
          <cell r="G108">
            <v>17400</v>
          </cell>
          <cell r="H108">
            <v>69.599999999999994</v>
          </cell>
          <cell r="I108" t="str">
            <v>三重県</v>
          </cell>
          <cell r="J108">
            <v>2.5000000000000001E-2</v>
          </cell>
          <cell r="K108" t="str">
            <v>×</v>
          </cell>
          <cell r="L108">
            <v>0.8</v>
          </cell>
          <cell r="M108" t="str">
            <v>×</v>
          </cell>
          <cell r="N108">
            <v>0.2</v>
          </cell>
        </row>
        <row r="109">
          <cell r="C109" t="str">
            <v>その他</v>
          </cell>
          <cell r="D109" t="str">
            <v>（労）×１５％</v>
          </cell>
          <cell r="E109" t="str">
            <v>式</v>
          </cell>
          <cell r="F109">
            <v>1</v>
          </cell>
          <cell r="H109">
            <v>10.44</v>
          </cell>
          <cell r="I109">
            <v>69.599999999999994</v>
          </cell>
          <cell r="K109" t="str">
            <v>×</v>
          </cell>
          <cell r="L109">
            <v>0.15</v>
          </cell>
        </row>
        <row r="111">
          <cell r="A111">
            <v>20</v>
          </cell>
          <cell r="B111" t="str">
            <v>有線式灯台監視装置改造</v>
          </cell>
          <cell r="C111" t="str">
            <v>受信装置</v>
          </cell>
          <cell r="E111" t="str">
            <v>式</v>
          </cell>
          <cell r="F111">
            <v>1</v>
          </cell>
          <cell r="H111">
            <v>51860.5</v>
          </cell>
          <cell r="T111">
            <v>10</v>
          </cell>
        </row>
        <row r="112">
          <cell r="C112" t="str">
            <v>ＭＰＩユニット用ＲＯＭ</v>
          </cell>
          <cell r="D112" t="str">
            <v>ＭＰＩユニット用</v>
          </cell>
          <cell r="E112" t="str">
            <v>個</v>
          </cell>
          <cell r="F112">
            <v>1</v>
          </cell>
          <cell r="H112">
            <v>50000</v>
          </cell>
          <cell r="I112" t="str">
            <v>市価</v>
          </cell>
          <cell r="R112" t="str">
            <v>特定材料A</v>
          </cell>
        </row>
        <row r="113">
          <cell r="C113" t="str">
            <v>ダイオード</v>
          </cell>
          <cell r="D113" t="str">
            <v>1S953</v>
          </cell>
          <cell r="E113" t="str">
            <v>個</v>
          </cell>
          <cell r="F113">
            <v>2</v>
          </cell>
          <cell r="G113">
            <v>100</v>
          </cell>
          <cell r="H113">
            <v>200</v>
          </cell>
          <cell r="I113" t="str">
            <v>市価</v>
          </cell>
        </row>
        <row r="114">
          <cell r="C114" t="str">
            <v>ピンヘッタ</v>
          </cell>
          <cell r="D114" t="str">
            <v>5P</v>
          </cell>
          <cell r="E114" t="str">
            <v>個</v>
          </cell>
          <cell r="F114">
            <v>1</v>
          </cell>
          <cell r="H114">
            <v>100</v>
          </cell>
          <cell r="I114" t="str">
            <v>市価</v>
          </cell>
        </row>
        <row r="115">
          <cell r="C115" t="str">
            <v>ショートソケット</v>
          </cell>
          <cell r="E115" t="str">
            <v>個</v>
          </cell>
          <cell r="F115">
            <v>2</v>
          </cell>
          <cell r="G115">
            <v>25</v>
          </cell>
          <cell r="H115">
            <v>50</v>
          </cell>
          <cell r="I115" t="str">
            <v>市価</v>
          </cell>
        </row>
        <row r="116">
          <cell r="C116" t="str">
            <v>雑材料</v>
          </cell>
          <cell r="D116" t="str">
            <v>（材）×３％</v>
          </cell>
          <cell r="E116" t="str">
            <v>式</v>
          </cell>
          <cell r="F116">
            <v>1</v>
          </cell>
          <cell r="H116">
            <v>1510.5</v>
          </cell>
          <cell r="I116">
            <v>50350</v>
          </cell>
          <cell r="K116" t="str">
            <v>×</v>
          </cell>
          <cell r="L116">
            <v>0.03</v>
          </cell>
        </row>
        <row r="118">
          <cell r="A118">
            <v>21</v>
          </cell>
          <cell r="B118" t="str">
            <v>ＬＡ管制器Ⅰ型改造</v>
          </cell>
          <cell r="E118" t="str">
            <v>式</v>
          </cell>
          <cell r="F118">
            <v>1</v>
          </cell>
          <cell r="H118">
            <v>132048</v>
          </cell>
        </row>
        <row r="119">
          <cell r="C119" t="str">
            <v>ＬＡ管制器Ⅰ型改造</v>
          </cell>
          <cell r="D119" t="str">
            <v>南灯台</v>
          </cell>
          <cell r="E119" t="str">
            <v>式</v>
          </cell>
          <cell r="F119">
            <v>1</v>
          </cell>
          <cell r="H119">
            <v>309</v>
          </cell>
          <cell r="J119" t="str">
            <v>一位代価</v>
          </cell>
          <cell r="K119">
            <v>22</v>
          </cell>
        </row>
        <row r="120">
          <cell r="C120" t="str">
            <v>ＬＡ管制器Ⅰ型改造</v>
          </cell>
          <cell r="D120" t="str">
            <v>北灯台</v>
          </cell>
          <cell r="E120" t="str">
            <v>式</v>
          </cell>
          <cell r="F120">
            <v>1</v>
          </cell>
          <cell r="H120">
            <v>131739</v>
          </cell>
          <cell r="J120" t="str">
            <v>一位代価</v>
          </cell>
          <cell r="K120">
            <v>23</v>
          </cell>
        </row>
        <row r="122">
          <cell r="A122">
            <v>22</v>
          </cell>
          <cell r="B122" t="str">
            <v>ＬＡ管制器Ⅰ型改造</v>
          </cell>
          <cell r="D122" t="str">
            <v>南灯台</v>
          </cell>
          <cell r="E122" t="str">
            <v>式</v>
          </cell>
          <cell r="F122">
            <v>1</v>
          </cell>
          <cell r="H122">
            <v>309</v>
          </cell>
        </row>
        <row r="123">
          <cell r="C123" t="str">
            <v>４Ｐ端子</v>
          </cell>
          <cell r="D123" t="str">
            <v>ML3391-4P</v>
          </cell>
          <cell r="E123" t="str">
            <v>個</v>
          </cell>
          <cell r="F123">
            <v>1</v>
          </cell>
          <cell r="H123">
            <v>300</v>
          </cell>
          <cell r="I123" t="str">
            <v>市価</v>
          </cell>
        </row>
        <row r="124">
          <cell r="C124" t="str">
            <v>雑材料</v>
          </cell>
          <cell r="D124" t="str">
            <v>（材）×３％</v>
          </cell>
          <cell r="E124" t="str">
            <v>式</v>
          </cell>
          <cell r="F124">
            <v>1</v>
          </cell>
          <cell r="H124">
            <v>9</v>
          </cell>
          <cell r="I124">
            <v>300</v>
          </cell>
          <cell r="K124" t="str">
            <v>×</v>
          </cell>
          <cell r="L124">
            <v>0.03</v>
          </cell>
        </row>
        <row r="128">
          <cell r="A128">
            <v>23</v>
          </cell>
          <cell r="B128" t="str">
            <v>ＬＡ管制器Ⅰ型改造</v>
          </cell>
          <cell r="D128" t="str">
            <v>北灯台</v>
          </cell>
          <cell r="E128" t="str">
            <v>式</v>
          </cell>
          <cell r="F128">
            <v>1</v>
          </cell>
          <cell r="H128">
            <v>131739</v>
          </cell>
        </row>
        <row r="129">
          <cell r="C129" t="str">
            <v>４Ｐ端子</v>
          </cell>
          <cell r="D129" t="str">
            <v>ML3391-4P</v>
          </cell>
          <cell r="E129" t="str">
            <v>個</v>
          </cell>
          <cell r="F129">
            <v>1</v>
          </cell>
          <cell r="H129">
            <v>300</v>
          </cell>
          <cell r="I129" t="str">
            <v>市価</v>
          </cell>
        </row>
        <row r="130">
          <cell r="C130" t="str">
            <v>雑材料</v>
          </cell>
          <cell r="D130" t="str">
            <v>（材）×３％</v>
          </cell>
          <cell r="E130" t="str">
            <v>式</v>
          </cell>
          <cell r="F130">
            <v>1</v>
          </cell>
          <cell r="H130">
            <v>9</v>
          </cell>
          <cell r="I130">
            <v>300</v>
          </cell>
          <cell r="K130" t="str">
            <v>×</v>
          </cell>
          <cell r="L130">
            <v>0.03</v>
          </cell>
        </row>
        <row r="131">
          <cell r="C131" t="str">
            <v>保護端子函ＳＰＴ－ＢＯＸ</v>
          </cell>
          <cell r="D131" t="str">
            <v>取付</v>
          </cell>
          <cell r="E131" t="str">
            <v>式</v>
          </cell>
          <cell r="F131">
            <v>1</v>
          </cell>
          <cell r="H131">
            <v>131430</v>
          </cell>
          <cell r="J131" t="str">
            <v>一位代価</v>
          </cell>
          <cell r="K131">
            <v>2</v>
          </cell>
        </row>
        <row r="133">
          <cell r="A133">
            <v>24</v>
          </cell>
          <cell r="B133" t="str">
            <v>交通船</v>
          </cell>
          <cell r="C133" t="str">
            <v>鋼D 50PS 4.9t</v>
          </cell>
          <cell r="E133" t="str">
            <v>日</v>
          </cell>
          <cell r="F133">
            <v>1</v>
          </cell>
          <cell r="H133">
            <v>64708.93</v>
          </cell>
          <cell r="I133" t="str">
            <v>港湾 単P27</v>
          </cell>
          <cell r="T133">
            <v>26</v>
          </cell>
        </row>
        <row r="134">
          <cell r="C134" t="str">
            <v>主燃料</v>
          </cell>
          <cell r="D134" t="str">
            <v>Ａ重油</v>
          </cell>
          <cell r="E134" t="str">
            <v>㍑</v>
          </cell>
          <cell r="F134">
            <v>45</v>
          </cell>
          <cell r="G134">
            <v>29.5</v>
          </cell>
          <cell r="H134">
            <v>1327.5</v>
          </cell>
          <cell r="I134" t="str">
            <v>物 P694 四日市 ローリ</v>
          </cell>
        </row>
        <row r="135">
          <cell r="C135" t="str">
            <v>高級船員</v>
          </cell>
          <cell r="E135" t="str">
            <v>人</v>
          </cell>
          <cell r="F135">
            <v>1.2</v>
          </cell>
          <cell r="G135">
            <v>26400</v>
          </cell>
          <cell r="H135">
            <v>31680</v>
          </cell>
          <cell r="I135" t="str">
            <v>三重県</v>
          </cell>
          <cell r="L135" t="str">
            <v>β</v>
          </cell>
          <cell r="M135" t="str">
            <v>＝</v>
          </cell>
          <cell r="N135">
            <v>1.2</v>
          </cell>
        </row>
        <row r="136">
          <cell r="C136" t="str">
            <v>普通船員</v>
          </cell>
          <cell r="E136" t="str">
            <v>人</v>
          </cell>
          <cell r="F136">
            <v>1.2</v>
          </cell>
          <cell r="G136">
            <v>19700</v>
          </cell>
          <cell r="H136">
            <v>23640</v>
          </cell>
          <cell r="I136" t="str">
            <v>三重県</v>
          </cell>
          <cell r="L136" t="str">
            <v>β</v>
          </cell>
          <cell r="M136" t="str">
            <v>＝</v>
          </cell>
          <cell r="N136">
            <v>1.2</v>
          </cell>
        </row>
        <row r="137">
          <cell r="C137" t="str">
            <v>損料</v>
          </cell>
          <cell r="D137" t="str">
            <v>運転</v>
          </cell>
          <cell r="E137" t="str">
            <v>日</v>
          </cell>
          <cell r="F137">
            <v>1</v>
          </cell>
          <cell r="G137">
            <v>2740</v>
          </cell>
          <cell r="H137">
            <v>2740</v>
          </cell>
          <cell r="I137" t="str">
            <v>損 船P13</v>
          </cell>
        </row>
        <row r="138">
          <cell r="C138" t="str">
            <v>損料</v>
          </cell>
          <cell r="D138" t="str">
            <v>供用</v>
          </cell>
          <cell r="E138" t="str">
            <v>日</v>
          </cell>
          <cell r="F138">
            <v>1.65</v>
          </cell>
          <cell r="G138">
            <v>3030</v>
          </cell>
          <cell r="H138">
            <v>4999.5</v>
          </cell>
          <cell r="I138" t="str">
            <v>損 船P14</v>
          </cell>
          <cell r="L138" t="str">
            <v>α</v>
          </cell>
          <cell r="M138" t="str">
            <v>＝</v>
          </cell>
          <cell r="N138">
            <v>1.65</v>
          </cell>
        </row>
        <row r="139">
          <cell r="C139" t="str">
            <v>雑材料</v>
          </cell>
          <cell r="D139" t="str">
            <v>（上記）×０.５％</v>
          </cell>
          <cell r="E139" t="str">
            <v>式</v>
          </cell>
          <cell r="F139">
            <v>1</v>
          </cell>
          <cell r="H139">
            <v>321.93</v>
          </cell>
          <cell r="I139">
            <v>64387</v>
          </cell>
          <cell r="K139" t="str">
            <v>×</v>
          </cell>
          <cell r="L139">
            <v>5.0000000000000001E-3</v>
          </cell>
        </row>
        <row r="141">
          <cell r="A141">
            <v>25</v>
          </cell>
          <cell r="B141" t="str">
            <v>試験調整費</v>
          </cell>
          <cell r="E141" t="str">
            <v>式</v>
          </cell>
          <cell r="F141">
            <v>1</v>
          </cell>
          <cell r="H141">
            <v>500000</v>
          </cell>
          <cell r="I141" t="str">
            <v>海電指 P2-12</v>
          </cell>
          <cell r="T141">
            <v>26</v>
          </cell>
        </row>
        <row r="142">
          <cell r="C142" t="str">
            <v>技術者</v>
          </cell>
          <cell r="E142" t="str">
            <v>人</v>
          </cell>
          <cell r="F142">
            <v>10</v>
          </cell>
          <cell r="G142">
            <v>50000</v>
          </cell>
          <cell r="H142">
            <v>500000</v>
          </cell>
          <cell r="I142" t="str">
            <v>市価</v>
          </cell>
        </row>
        <row r="144">
          <cell r="A144">
            <v>26</v>
          </cell>
          <cell r="B144" t="str">
            <v>旅費</v>
          </cell>
          <cell r="C144" t="str">
            <v>技術者</v>
          </cell>
          <cell r="E144" t="str">
            <v>式</v>
          </cell>
          <cell r="F144">
            <v>1</v>
          </cell>
          <cell r="H144">
            <v>121878</v>
          </cell>
          <cell r="I144" t="str">
            <v>海電指 P2-7</v>
          </cell>
          <cell r="T144">
            <v>26</v>
          </cell>
        </row>
        <row r="145">
          <cell r="C145" t="str">
            <v>ＪＲ運賃等</v>
          </cell>
          <cell r="D145" t="str">
            <v>東京～四日市</v>
          </cell>
          <cell r="E145" t="str">
            <v>往復</v>
          </cell>
          <cell r="F145">
            <v>2</v>
          </cell>
          <cell r="G145">
            <v>21160</v>
          </cell>
          <cell r="H145">
            <v>42320</v>
          </cell>
          <cell r="I145">
            <v>11110</v>
          </cell>
          <cell r="K145" t="str">
            <v>÷</v>
          </cell>
          <cell r="L145">
            <v>1.05</v>
          </cell>
          <cell r="M145" t="str">
            <v>×</v>
          </cell>
          <cell r="N145">
            <v>2</v>
          </cell>
        </row>
        <row r="146">
          <cell r="C146" t="str">
            <v>宿泊費</v>
          </cell>
          <cell r="D146" t="str">
            <v>４級以上</v>
          </cell>
          <cell r="E146" t="str">
            <v>泊</v>
          </cell>
          <cell r="F146">
            <v>2</v>
          </cell>
          <cell r="G146">
            <v>9333</v>
          </cell>
          <cell r="H146">
            <v>18666</v>
          </cell>
          <cell r="I146">
            <v>9800</v>
          </cell>
          <cell r="K146" t="str">
            <v>÷</v>
          </cell>
          <cell r="L146">
            <v>1.05</v>
          </cell>
        </row>
        <row r="147">
          <cell r="C147" t="str">
            <v>滞在日額旅費</v>
          </cell>
          <cell r="D147" t="str">
            <v>４級以上</v>
          </cell>
          <cell r="E147" t="str">
            <v>泊</v>
          </cell>
          <cell r="F147">
            <v>6</v>
          </cell>
          <cell r="G147">
            <v>8752</v>
          </cell>
          <cell r="H147">
            <v>52512</v>
          </cell>
          <cell r="I147">
            <v>9190</v>
          </cell>
          <cell r="K147" t="str">
            <v>÷</v>
          </cell>
          <cell r="L147">
            <v>1.05</v>
          </cell>
        </row>
        <row r="148">
          <cell r="C148" t="str">
            <v>日当</v>
          </cell>
          <cell r="D148" t="str">
            <v>４級以上</v>
          </cell>
          <cell r="E148" t="str">
            <v>日</v>
          </cell>
          <cell r="F148">
            <v>4</v>
          </cell>
          <cell r="G148">
            <v>2095</v>
          </cell>
          <cell r="H148">
            <v>8380</v>
          </cell>
          <cell r="I148">
            <v>2200</v>
          </cell>
          <cell r="K148" t="str">
            <v>÷</v>
          </cell>
          <cell r="L148">
            <v>1.05</v>
          </cell>
        </row>
        <row r="149">
          <cell r="A149">
            <v>27</v>
          </cell>
          <cell r="B149" t="str">
            <v>携帯電話契約</v>
          </cell>
          <cell r="E149" t="str">
            <v>台</v>
          </cell>
          <cell r="F149">
            <v>1</v>
          </cell>
          <cell r="H149">
            <v>3000</v>
          </cell>
          <cell r="T149">
            <v>26</v>
          </cell>
        </row>
        <row r="150">
          <cell r="C150" t="str">
            <v>契約事務手数料</v>
          </cell>
          <cell r="E150" t="str">
            <v>台</v>
          </cell>
          <cell r="F150">
            <v>1</v>
          </cell>
          <cell r="G150">
            <v>3000</v>
          </cell>
          <cell r="H150">
            <v>3000</v>
          </cell>
          <cell r="I150" t="str">
            <v>市価</v>
          </cell>
        </row>
        <row r="152">
          <cell r="A152">
            <v>28</v>
          </cell>
          <cell r="B152" t="str">
            <v>電話休止事務</v>
          </cell>
          <cell r="E152" t="str">
            <v>台</v>
          </cell>
          <cell r="F152">
            <v>1</v>
          </cell>
          <cell r="H152">
            <v>2000</v>
          </cell>
          <cell r="T152">
            <v>26</v>
          </cell>
        </row>
        <row r="153">
          <cell r="C153" t="str">
            <v>休止事務手数料</v>
          </cell>
          <cell r="E153" t="str">
            <v>台</v>
          </cell>
          <cell r="F153">
            <v>1</v>
          </cell>
          <cell r="G153">
            <v>2000</v>
          </cell>
          <cell r="H153">
            <v>2000</v>
          </cell>
          <cell r="I153" t="str">
            <v>市価</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内訳"/>
      <sheetName val="入力"/>
      <sheetName val="設計書"/>
      <sheetName val="総括"/>
      <sheetName val="労務単価 (１)"/>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別紙内訳"/>
      <sheetName val="電気代価"/>
      <sheetName val="電気撤去"/>
      <sheetName val="管複単"/>
      <sheetName val="管撤去"/>
      <sheetName val="建築比較"/>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書式"/>
      <sheetName val="機器"/>
      <sheetName val="吹出ダンパ"/>
      <sheetName val="設定"/>
      <sheetName val="配管保温塗装"/>
      <sheetName val="VE"/>
      <sheetName val="ダクト保温"/>
    </sheetNames>
    <sheetDataSet>
      <sheetData sheetId="0"/>
      <sheetData sheetId="1"/>
      <sheetData sheetId="2"/>
      <sheetData sheetId="3"/>
      <sheetData sheetId="4"/>
      <sheetData sheetId="5"/>
      <sheetData sheetId="6"/>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大項目"/>
      <sheetName val="中項目"/>
      <sheetName val="舗装"/>
      <sheetName val="排水"/>
      <sheetName val="撤去"/>
      <sheetName val="雑"/>
      <sheetName val="別紙明細"/>
    </sheetNames>
    <sheetDataSet>
      <sheetData sheetId="0"/>
      <sheetData sheetId="1"/>
      <sheetData sheetId="2"/>
      <sheetData sheetId="3"/>
      <sheetData sheetId="4"/>
      <sheetData sheetId="5"/>
      <sheetData sheetId="6"/>
      <sheetData sheetId="7"/>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総括"/>
      <sheetName val="A+B+C内訳"/>
      <sheetName val="A空調改修内訳 "/>
      <sheetName val="空調改修内訳"/>
      <sheetName val="Ｂ電気内訳"/>
      <sheetName val="（電気）"/>
      <sheetName val="C建築内訳書"/>
      <sheetName val="建築物価版比較"/>
      <sheetName val="建築代価 "/>
      <sheetName val="建築見積比較"/>
      <sheetName val="建築単価比較"/>
      <sheetName val="建築積算数量"/>
      <sheetName val="GHP空調機-複単"/>
      <sheetName val="バルクタンク"/>
      <sheetName val="ガス工事　大垣ガス"/>
      <sheetName val="計装工事比較"/>
      <sheetName val="架台比較"/>
      <sheetName val="代価-1 "/>
      <sheetName val="代価-2"/>
      <sheetName val="代価-3 "/>
      <sheetName val="E複合単価"/>
      <sheetName val="E見積比較(1)"/>
      <sheetName val="E見積比較 (2)"/>
      <sheetName val="分電盤歩掛り"/>
    </sheetNames>
    <sheetDataSet>
      <sheetData sheetId="0">
        <row r="12">
          <cell r="A12" t="str">
            <v>大藪小学校屋内運動場空調設備設置工事</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sheetPr>
  <dimension ref="A1:AD69"/>
  <sheetViews>
    <sheetView view="pageBreakPreview" topLeftCell="A9" zoomScaleNormal="100" zoomScaleSheetLayoutView="100" workbookViewId="0">
      <selection activeCell="A12" sqref="A12:S12"/>
    </sheetView>
  </sheetViews>
  <sheetFormatPr defaultColWidth="9" defaultRowHeight="13.2"/>
  <cols>
    <col min="1" max="1" width="10.6640625" style="3" customWidth="1"/>
    <col min="2" max="2" width="3.6640625" style="3" customWidth="1"/>
    <col min="3" max="3" width="10.6640625" style="3" customWidth="1"/>
    <col min="4" max="4" width="3.6640625" style="3" customWidth="1"/>
    <col min="5" max="5" width="10.6640625" style="3" customWidth="1"/>
    <col min="6" max="6" width="3.6640625" style="3" customWidth="1"/>
    <col min="7" max="7" width="10.6640625" style="3" customWidth="1"/>
    <col min="8" max="8" width="3.6640625" style="3" customWidth="1"/>
    <col min="9" max="9" width="10.6640625" style="3" customWidth="1"/>
    <col min="10" max="10" width="3.6640625" style="3" customWidth="1"/>
    <col min="11" max="11" width="10.6640625" style="3" customWidth="1"/>
    <col min="12" max="12" width="3.6640625" style="3" customWidth="1"/>
    <col min="13" max="13" width="10.6640625" style="3" customWidth="1"/>
    <col min="14" max="14" width="3.6640625" style="3" customWidth="1"/>
    <col min="15" max="15" width="10.6640625" style="3" customWidth="1"/>
    <col min="16" max="16" width="3.6640625" style="3" customWidth="1"/>
    <col min="17" max="17" width="10.6640625" style="3" customWidth="1"/>
    <col min="18" max="18" width="3.6640625" style="3" customWidth="1"/>
    <col min="19" max="19" width="10.6640625" style="3" customWidth="1"/>
    <col min="20" max="20" width="3.6640625" style="3" customWidth="1"/>
    <col min="21" max="21" width="10.6640625" style="3" customWidth="1"/>
    <col min="22" max="22" width="3.6640625" style="3" customWidth="1"/>
    <col min="23" max="23" width="10.6640625" style="3" customWidth="1"/>
    <col min="24" max="24" width="3.6640625" style="3" customWidth="1"/>
    <col min="25" max="25" width="8.6640625" style="3" customWidth="1"/>
    <col min="26" max="26" width="3.6640625" style="3" customWidth="1"/>
    <col min="27" max="27" width="8.6640625" style="3" customWidth="1"/>
    <col min="28" max="28" width="3.6640625" style="3" customWidth="1"/>
    <col min="29" max="29" width="8.6640625" style="3" customWidth="1"/>
    <col min="30" max="30" width="3.6640625" style="3" customWidth="1"/>
    <col min="31" max="31" width="5.6640625" style="3" customWidth="1"/>
    <col min="32" max="32" width="3.6640625" style="3" customWidth="1"/>
    <col min="33" max="33" width="9" style="3"/>
    <col min="34" max="34" width="3.6640625" style="3" customWidth="1"/>
    <col min="35" max="35" width="9" style="3"/>
    <col min="36" max="36" width="3.6640625" style="3" customWidth="1"/>
    <col min="37" max="16384" width="9" style="3"/>
  </cols>
  <sheetData>
    <row r="1" spans="1:30" ht="21.9" customHeight="1">
      <c r="A1" s="220"/>
      <c r="B1" s="221"/>
      <c r="C1" s="221"/>
      <c r="D1" s="257"/>
      <c r="E1" s="220"/>
      <c r="F1" s="222"/>
      <c r="G1" s="223"/>
      <c r="H1" s="258"/>
      <c r="I1" s="221"/>
      <c r="J1" s="221"/>
      <c r="K1" s="221"/>
      <c r="L1" s="221"/>
      <c r="M1" s="221"/>
      <c r="N1" s="221"/>
      <c r="O1" s="221"/>
      <c r="P1" s="221"/>
      <c r="Q1" s="221"/>
      <c r="R1" s="221"/>
      <c r="S1" s="221"/>
      <c r="T1" s="221"/>
      <c r="U1" s="221"/>
      <c r="V1" s="221"/>
      <c r="W1" s="221"/>
      <c r="X1" s="221"/>
      <c r="Y1" s="221"/>
      <c r="Z1" s="221"/>
      <c r="AA1" s="221"/>
      <c r="AB1" s="221"/>
      <c r="AC1" s="221"/>
      <c r="AD1" s="221"/>
    </row>
    <row r="2" spans="1:30" ht="21.9" customHeight="1">
      <c r="A2" s="679" t="s">
        <v>32</v>
      </c>
      <c r="B2" s="680"/>
      <c r="C2" s="259"/>
      <c r="D2" s="260"/>
      <c r="E2" s="220"/>
      <c r="F2" s="261"/>
      <c r="G2" s="262"/>
      <c r="H2" s="263"/>
      <c r="I2" s="221"/>
      <c r="J2" s="221"/>
      <c r="K2" s="221"/>
      <c r="L2" s="221"/>
      <c r="M2" s="221"/>
      <c r="N2" s="221"/>
      <c r="O2" s="221"/>
      <c r="P2" s="221"/>
      <c r="Q2" s="221"/>
      <c r="R2" s="221"/>
      <c r="S2" s="221"/>
      <c r="T2" s="221"/>
      <c r="U2" s="221"/>
      <c r="V2" s="221"/>
      <c r="W2" s="221"/>
      <c r="X2" s="221"/>
      <c r="Y2" s="221"/>
      <c r="Z2" s="221"/>
      <c r="AA2" s="221"/>
      <c r="AB2" s="221"/>
      <c r="AC2" s="221"/>
      <c r="AD2" s="221"/>
    </row>
    <row r="3" spans="1:30" ht="21.9" customHeight="1">
      <c r="A3" s="681" t="s">
        <v>109</v>
      </c>
      <c r="B3" s="682"/>
      <c r="C3" s="683"/>
      <c r="D3" s="677"/>
      <c r="E3" s="677"/>
      <c r="F3" s="677"/>
      <c r="G3" s="677"/>
      <c r="H3" s="677"/>
      <c r="I3" s="677"/>
      <c r="J3" s="677"/>
      <c r="K3" s="677"/>
      <c r="L3" s="677"/>
      <c r="M3" s="677"/>
      <c r="N3" s="677"/>
      <c r="O3" s="677"/>
      <c r="P3" s="677"/>
      <c r="Q3" s="677"/>
      <c r="R3" s="264" t="s">
        <v>7</v>
      </c>
      <c r="S3" s="677"/>
      <c r="T3" s="221"/>
      <c r="U3" s="221"/>
      <c r="V3" s="221"/>
      <c r="W3" s="221"/>
      <c r="X3" s="221"/>
      <c r="Y3" s="221"/>
      <c r="Z3" s="221"/>
      <c r="AA3" s="221"/>
      <c r="AB3" s="221"/>
      <c r="AC3" s="221"/>
      <c r="AD3" s="221"/>
    </row>
    <row r="4" spans="1:30" ht="21.9" customHeight="1">
      <c r="A4" s="684"/>
      <c r="B4" s="685"/>
      <c r="C4" s="686"/>
      <c r="D4" s="678"/>
      <c r="E4" s="678"/>
      <c r="F4" s="678"/>
      <c r="G4" s="678"/>
      <c r="H4" s="678"/>
      <c r="I4" s="678"/>
      <c r="J4" s="678"/>
      <c r="K4" s="678"/>
      <c r="L4" s="678"/>
      <c r="M4" s="678"/>
      <c r="N4" s="678"/>
      <c r="O4" s="678"/>
      <c r="P4" s="678"/>
      <c r="Q4" s="678"/>
      <c r="R4" s="265" t="s">
        <v>17</v>
      </c>
      <c r="S4" s="678"/>
      <c r="T4" s="221"/>
      <c r="U4" s="221"/>
      <c r="V4" s="221"/>
      <c r="W4" s="221"/>
      <c r="X4" s="221"/>
      <c r="Y4" s="221"/>
      <c r="Z4" s="221"/>
      <c r="AA4" s="221"/>
      <c r="AB4" s="221"/>
      <c r="AC4" s="221"/>
      <c r="AD4" s="221"/>
    </row>
    <row r="5" spans="1:30" ht="21.9" customHeight="1">
      <c r="A5" s="266"/>
      <c r="B5" s="267"/>
      <c r="C5" s="267"/>
      <c r="D5" s="268"/>
      <c r="E5" s="250"/>
      <c r="F5" s="269"/>
      <c r="G5" s="270"/>
      <c r="H5" s="271"/>
      <c r="I5" s="267"/>
      <c r="J5" s="267"/>
      <c r="K5" s="267"/>
      <c r="L5" s="267"/>
      <c r="M5" s="267"/>
      <c r="N5" s="267"/>
      <c r="O5" s="267"/>
      <c r="P5" s="267"/>
      <c r="Q5" s="267"/>
      <c r="R5" s="267"/>
      <c r="S5" s="272"/>
      <c r="T5" s="221"/>
      <c r="U5" s="221"/>
      <c r="V5" s="221"/>
      <c r="W5" s="221"/>
      <c r="X5" s="221"/>
      <c r="Y5" s="221"/>
      <c r="Z5" s="221"/>
      <c r="AA5" s="221"/>
      <c r="AB5" s="221"/>
      <c r="AC5" s="221"/>
      <c r="AD5" s="221"/>
    </row>
    <row r="6" spans="1:30" ht="21.9" customHeight="1">
      <c r="A6" s="273"/>
      <c r="B6" s="221"/>
      <c r="C6" s="221"/>
      <c r="D6" s="257"/>
      <c r="E6" s="220"/>
      <c r="F6" s="222"/>
      <c r="G6" s="223"/>
      <c r="H6" s="258"/>
      <c r="I6" s="221"/>
      <c r="J6" s="221"/>
      <c r="K6" s="221"/>
      <c r="L6" s="221"/>
      <c r="M6" s="221"/>
      <c r="N6" s="221"/>
      <c r="O6" s="221"/>
      <c r="P6" s="221"/>
      <c r="Q6" s="221"/>
      <c r="R6" s="221"/>
      <c r="S6" s="274"/>
      <c r="T6" s="221"/>
      <c r="U6" s="221"/>
      <c r="V6" s="221"/>
      <c r="W6" s="221"/>
      <c r="X6" s="221"/>
      <c r="Y6" s="221"/>
      <c r="Z6" s="221"/>
      <c r="AA6" s="221"/>
      <c r="AB6" s="221"/>
      <c r="AC6" s="221"/>
      <c r="AD6" s="221"/>
    </row>
    <row r="7" spans="1:30" ht="21.9" customHeight="1">
      <c r="A7" s="273"/>
      <c r="B7" s="221"/>
      <c r="C7" s="221"/>
      <c r="D7" s="257"/>
      <c r="E7" s="220"/>
      <c r="F7" s="222"/>
      <c r="G7" s="223"/>
      <c r="H7" s="258"/>
      <c r="I7" s="221"/>
      <c r="J7" s="221"/>
      <c r="K7" s="221"/>
      <c r="L7" s="221"/>
      <c r="M7" s="221"/>
      <c r="N7" s="221"/>
      <c r="O7" s="221"/>
      <c r="P7" s="221"/>
      <c r="Q7" s="221"/>
      <c r="R7" s="221"/>
      <c r="S7" s="274"/>
      <c r="T7" s="221"/>
      <c r="U7" s="221"/>
      <c r="V7" s="221"/>
      <c r="W7" s="221"/>
      <c r="X7" s="221"/>
      <c r="Y7" s="221"/>
      <c r="Z7" s="221"/>
      <c r="AA7" s="221"/>
      <c r="AB7" s="221"/>
      <c r="AC7" s="221"/>
      <c r="AD7" s="221"/>
    </row>
    <row r="8" spans="1:30" ht="21.9" customHeight="1">
      <c r="A8" s="6"/>
      <c r="B8" s="7"/>
      <c r="C8" s="7"/>
      <c r="D8" s="7"/>
      <c r="E8" s="7"/>
      <c r="F8" s="7"/>
      <c r="G8" s="7"/>
      <c r="H8" s="7"/>
      <c r="I8" s="221"/>
      <c r="J8" s="221"/>
      <c r="K8" s="221"/>
      <c r="L8" s="221"/>
      <c r="M8" s="221"/>
      <c r="N8" s="221"/>
      <c r="O8" s="221"/>
      <c r="P8" s="221"/>
      <c r="Q8" s="221"/>
      <c r="R8" s="221"/>
      <c r="S8" s="274"/>
      <c r="T8" s="221"/>
      <c r="U8" s="221"/>
      <c r="V8" s="221"/>
      <c r="W8" s="221"/>
      <c r="X8" s="221"/>
      <c r="Y8" s="221"/>
      <c r="Z8" s="221"/>
      <c r="AA8" s="221"/>
      <c r="AB8" s="221"/>
      <c r="AC8" s="221"/>
      <c r="AD8" s="221"/>
    </row>
    <row r="9" spans="1:30" ht="21.9" customHeight="1">
      <c r="A9" s="273"/>
      <c r="B9" s="221"/>
      <c r="C9" s="221"/>
      <c r="D9" s="257"/>
      <c r="E9" s="220"/>
      <c r="F9" s="222"/>
      <c r="G9" s="223"/>
      <c r="H9" s="258"/>
      <c r="I9" s="221"/>
      <c r="J9" s="221"/>
      <c r="K9" s="221"/>
      <c r="L9" s="221"/>
      <c r="M9" s="221"/>
      <c r="N9" s="221"/>
      <c r="O9" s="221"/>
      <c r="P9" s="221"/>
      <c r="Q9" s="221"/>
      <c r="R9" s="221"/>
      <c r="S9" s="274"/>
      <c r="T9" s="221"/>
      <c r="U9" s="221"/>
      <c r="V9" s="221"/>
      <c r="W9" s="221"/>
      <c r="X9" s="221"/>
      <c r="Y9" s="221"/>
      <c r="Z9" s="221"/>
      <c r="AA9" s="221"/>
      <c r="AB9" s="221"/>
      <c r="AC9" s="221"/>
      <c r="AD9" s="221"/>
    </row>
    <row r="10" spans="1:30" ht="21.9" customHeight="1">
      <c r="A10" s="273"/>
      <c r="B10" s="221"/>
      <c r="C10" s="221"/>
      <c r="D10" s="257"/>
      <c r="E10" s="220"/>
      <c r="F10" s="222"/>
      <c r="G10" s="223"/>
      <c r="H10" s="258"/>
      <c r="I10" s="221"/>
      <c r="J10" s="221"/>
      <c r="K10" s="221"/>
      <c r="L10" s="221"/>
      <c r="M10" s="221"/>
      <c r="N10" s="221"/>
      <c r="O10" s="221"/>
      <c r="P10" s="221"/>
      <c r="Q10" s="221"/>
      <c r="R10" s="221"/>
      <c r="S10" s="274"/>
      <c r="T10" s="221"/>
      <c r="U10" s="221"/>
      <c r="V10" s="221"/>
      <c r="W10" s="221"/>
      <c r="X10" s="221"/>
      <c r="Y10" s="221"/>
      <c r="Z10" s="221"/>
      <c r="AA10" s="221"/>
      <c r="AB10" s="221"/>
      <c r="AC10" s="221"/>
      <c r="AD10" s="221"/>
    </row>
    <row r="11" spans="1:30" ht="21.9" customHeight="1">
      <c r="A11" s="273"/>
      <c r="B11" s="221"/>
      <c r="C11" s="221"/>
      <c r="D11" s="257"/>
      <c r="E11" s="220"/>
      <c r="F11" s="222"/>
      <c r="G11" s="223"/>
      <c r="H11" s="258"/>
      <c r="I11" s="221"/>
      <c r="J11" s="221"/>
      <c r="K11" s="221"/>
      <c r="L11" s="221"/>
      <c r="M11" s="221"/>
      <c r="N11" s="221"/>
      <c r="O11" s="221"/>
      <c r="P11" s="221"/>
      <c r="Q11" s="221"/>
      <c r="R11" s="221"/>
      <c r="S11" s="274"/>
      <c r="T11" s="221"/>
      <c r="U11" s="221"/>
      <c r="V11" s="221"/>
      <c r="W11" s="221"/>
      <c r="X11" s="221"/>
      <c r="Y11" s="221"/>
      <c r="Z11" s="221"/>
      <c r="AA11" s="221"/>
      <c r="AB11" s="221"/>
      <c r="AC11" s="221"/>
      <c r="AD11" s="221"/>
    </row>
    <row r="12" spans="1:30" ht="21.9" customHeight="1">
      <c r="A12" s="674" t="s">
        <v>584</v>
      </c>
      <c r="B12" s="675"/>
      <c r="C12" s="675"/>
      <c r="D12" s="675"/>
      <c r="E12" s="675"/>
      <c r="F12" s="675"/>
      <c r="G12" s="675"/>
      <c r="H12" s="675"/>
      <c r="I12" s="675"/>
      <c r="J12" s="675"/>
      <c r="K12" s="675"/>
      <c r="L12" s="675"/>
      <c r="M12" s="675"/>
      <c r="N12" s="675"/>
      <c r="O12" s="675"/>
      <c r="P12" s="675"/>
      <c r="Q12" s="675"/>
      <c r="R12" s="675"/>
      <c r="S12" s="676"/>
      <c r="T12" s="221"/>
      <c r="U12" s="221"/>
      <c r="V12" s="221"/>
      <c r="W12" s="221"/>
      <c r="X12" s="221"/>
      <c r="Y12" s="221"/>
      <c r="Z12" s="221"/>
      <c r="AA12" s="221"/>
      <c r="AB12" s="221"/>
      <c r="AC12" s="221"/>
      <c r="AD12" s="221"/>
    </row>
    <row r="13" spans="1:30" ht="21.9" customHeight="1">
      <c r="A13" s="674" t="s">
        <v>583</v>
      </c>
      <c r="B13" s="675"/>
      <c r="C13" s="675"/>
      <c r="D13" s="675"/>
      <c r="E13" s="675"/>
      <c r="F13" s="675"/>
      <c r="G13" s="675"/>
      <c r="H13" s="675"/>
      <c r="I13" s="675"/>
      <c r="J13" s="675"/>
      <c r="K13" s="675"/>
      <c r="L13" s="675"/>
      <c r="M13" s="675"/>
      <c r="N13" s="675"/>
      <c r="O13" s="675"/>
      <c r="P13" s="675"/>
      <c r="Q13" s="675"/>
      <c r="R13" s="675"/>
      <c r="S13" s="676"/>
      <c r="T13" s="221"/>
      <c r="U13" s="221"/>
      <c r="V13" s="221"/>
      <c r="W13" s="221"/>
      <c r="X13" s="221"/>
      <c r="Y13" s="221"/>
      <c r="Z13" s="221"/>
      <c r="AA13" s="221"/>
      <c r="AB13" s="221"/>
      <c r="AC13" s="221"/>
      <c r="AD13" s="221"/>
    </row>
    <row r="14" spans="1:30" ht="21.9" customHeight="1">
      <c r="A14" s="273"/>
      <c r="B14" s="221"/>
      <c r="C14" s="275"/>
      <c r="D14" s="257"/>
      <c r="E14" s="220"/>
      <c r="F14" s="222"/>
      <c r="G14" s="223"/>
      <c r="H14" s="258"/>
      <c r="I14" s="221"/>
      <c r="J14" s="221"/>
      <c r="K14" s="221"/>
      <c r="L14" s="221"/>
      <c r="M14" s="221"/>
      <c r="N14" s="221"/>
      <c r="O14" s="221"/>
      <c r="P14" s="221"/>
      <c r="Q14" s="221"/>
      <c r="R14" s="221"/>
      <c r="S14" s="274"/>
      <c r="T14" s="221"/>
      <c r="U14" s="221"/>
      <c r="V14" s="221"/>
      <c r="W14" s="221"/>
      <c r="X14" s="221"/>
      <c r="Y14" s="221"/>
      <c r="Z14" s="221"/>
      <c r="AA14" s="221"/>
      <c r="AB14" s="221"/>
      <c r="AC14" s="221"/>
      <c r="AD14" s="221"/>
    </row>
    <row r="15" spans="1:30" ht="21.9" customHeight="1">
      <c r="A15" s="273"/>
      <c r="B15" s="221"/>
      <c r="C15" s="221"/>
      <c r="D15" s="257"/>
      <c r="E15" s="276"/>
      <c r="F15" s="276"/>
      <c r="G15" s="276"/>
      <c r="H15" s="258"/>
      <c r="I15" s="221"/>
      <c r="J15" s="221"/>
      <c r="K15" s="221"/>
      <c r="L15" s="221"/>
      <c r="M15" s="221"/>
      <c r="N15" s="221"/>
      <c r="O15" s="221"/>
      <c r="P15" s="221"/>
      <c r="Q15" s="221"/>
      <c r="R15" s="221"/>
      <c r="S15" s="274"/>
      <c r="T15" s="221"/>
      <c r="U15" s="221"/>
      <c r="V15" s="221"/>
      <c r="W15" s="221"/>
      <c r="X15" s="221"/>
      <c r="Y15" s="221"/>
      <c r="Z15" s="221"/>
      <c r="AA15" s="221"/>
      <c r="AB15" s="221"/>
      <c r="AC15" s="221"/>
      <c r="AD15" s="221"/>
    </row>
    <row r="16" spans="1:30" ht="21.9" customHeight="1">
      <c r="A16" s="273"/>
      <c r="B16" s="221"/>
      <c r="C16" s="221"/>
      <c r="D16" s="257"/>
      <c r="E16" s="220"/>
      <c r="F16" s="222"/>
      <c r="G16" s="223"/>
      <c r="H16" s="258"/>
      <c r="I16" s="221"/>
      <c r="J16" s="221"/>
      <c r="K16" s="221"/>
      <c r="L16" s="221"/>
      <c r="M16" s="221"/>
      <c r="N16" s="221"/>
      <c r="O16" s="221"/>
      <c r="P16" s="221"/>
      <c r="Q16" s="221"/>
      <c r="R16" s="221"/>
      <c r="S16" s="274"/>
      <c r="T16" s="221"/>
      <c r="U16" s="221"/>
      <c r="V16" s="221"/>
      <c r="W16" s="221"/>
      <c r="X16" s="221"/>
      <c r="Y16" s="221"/>
      <c r="Z16" s="221"/>
      <c r="AA16" s="221"/>
      <c r="AB16" s="221"/>
      <c r="AC16" s="221"/>
      <c r="AD16" s="221"/>
    </row>
    <row r="17" spans="1:30" ht="21.9" customHeight="1">
      <c r="A17" s="273"/>
      <c r="B17" s="221"/>
      <c r="C17" s="221"/>
      <c r="D17" s="257"/>
      <c r="E17" s="277"/>
      <c r="F17" s="277"/>
      <c r="G17" s="277"/>
      <c r="H17" s="258"/>
      <c r="I17" s="221"/>
      <c r="J17" s="221"/>
      <c r="K17" s="221"/>
      <c r="L17" s="221"/>
      <c r="M17" s="221"/>
      <c r="N17" s="221"/>
      <c r="O17" s="221"/>
      <c r="P17" s="221"/>
      <c r="Q17" s="221"/>
      <c r="R17" s="221"/>
      <c r="S17" s="274"/>
      <c r="T17" s="221"/>
      <c r="U17" s="221"/>
      <c r="V17" s="221"/>
      <c r="W17" s="221"/>
      <c r="X17" s="221"/>
      <c r="Y17" s="221"/>
      <c r="Z17" s="221"/>
      <c r="AA17" s="221"/>
      <c r="AB17" s="221"/>
      <c r="AC17" s="221"/>
      <c r="AD17" s="221"/>
    </row>
    <row r="18" spans="1:30" ht="21.9" customHeight="1">
      <c r="A18" s="273"/>
      <c r="B18" s="221"/>
      <c r="C18" s="221"/>
      <c r="D18" s="257"/>
      <c r="E18" s="277"/>
      <c r="F18" s="277"/>
      <c r="G18" s="277"/>
      <c r="H18" s="258"/>
      <c r="I18" s="221"/>
      <c r="J18" s="221"/>
      <c r="K18" s="221"/>
      <c r="L18" s="221"/>
      <c r="M18" s="221"/>
      <c r="N18" s="221"/>
      <c r="O18" s="221"/>
      <c r="P18" s="221"/>
      <c r="Q18" s="221"/>
      <c r="R18" s="221"/>
      <c r="S18" s="274"/>
      <c r="T18" s="221"/>
      <c r="U18" s="221"/>
      <c r="V18" s="221"/>
      <c r="W18" s="221"/>
      <c r="X18" s="221"/>
      <c r="Y18" s="221"/>
      <c r="Z18" s="221"/>
      <c r="AA18" s="221"/>
      <c r="AB18" s="221"/>
      <c r="AC18" s="221"/>
      <c r="AD18" s="221"/>
    </row>
    <row r="19" spans="1:30" ht="21.9" customHeight="1">
      <c r="A19" s="273"/>
      <c r="B19" s="221"/>
      <c r="C19" s="221"/>
      <c r="D19" s="257"/>
      <c r="E19" s="277"/>
      <c r="F19" s="277"/>
      <c r="G19" s="277"/>
      <c r="H19" s="258"/>
      <c r="I19" s="221"/>
      <c r="J19" s="221"/>
      <c r="K19" s="221"/>
      <c r="L19" s="221"/>
      <c r="M19" s="221"/>
      <c r="N19" s="221"/>
      <c r="O19" s="221"/>
      <c r="P19" s="221"/>
      <c r="Q19" s="221"/>
      <c r="R19" s="221"/>
      <c r="S19" s="274"/>
      <c r="T19" s="221"/>
      <c r="U19" s="221"/>
      <c r="V19" s="221"/>
      <c r="W19" s="221"/>
      <c r="X19" s="221"/>
      <c r="Y19" s="221"/>
      <c r="Z19" s="221"/>
      <c r="AA19" s="221"/>
      <c r="AB19" s="221"/>
      <c r="AC19" s="221"/>
      <c r="AD19" s="221"/>
    </row>
    <row r="20" spans="1:30" ht="21.9" customHeight="1">
      <c r="A20" s="278"/>
      <c r="B20" s="279"/>
      <c r="C20" s="279"/>
      <c r="D20" s="280"/>
      <c r="E20" s="281"/>
      <c r="F20" s="282"/>
      <c r="G20" s="283"/>
      <c r="H20" s="284"/>
      <c r="I20" s="279"/>
      <c r="J20" s="279"/>
      <c r="K20" s="279"/>
      <c r="L20" s="279"/>
      <c r="M20" s="279"/>
      <c r="N20" s="279"/>
      <c r="O20" s="279"/>
      <c r="P20" s="279"/>
      <c r="Q20" s="279"/>
      <c r="R20" s="279"/>
      <c r="S20" s="285"/>
      <c r="T20" s="221"/>
      <c r="U20" s="221"/>
      <c r="V20" s="221"/>
      <c r="W20" s="221"/>
      <c r="X20" s="221"/>
      <c r="Y20" s="221"/>
      <c r="Z20" s="221"/>
      <c r="AA20" s="221"/>
      <c r="AB20" s="221"/>
      <c r="AC20" s="221"/>
      <c r="AD20" s="221"/>
    </row>
    <row r="21" spans="1:30" ht="21.9" customHeight="1">
      <c r="A21" s="672" t="s">
        <v>14</v>
      </c>
      <c r="B21" s="673"/>
      <c r="C21" s="673"/>
      <c r="D21" s="671" t="s">
        <v>31</v>
      </c>
      <c r="E21" s="673"/>
      <c r="F21" s="673"/>
      <c r="G21" s="673"/>
      <c r="H21" s="673"/>
      <c r="I21" s="673"/>
      <c r="J21" s="673"/>
      <c r="K21" s="672" t="s">
        <v>10</v>
      </c>
      <c r="L21" s="673"/>
      <c r="M21" s="673"/>
      <c r="N21" s="671" t="s">
        <v>13</v>
      </c>
      <c r="O21" s="671"/>
      <c r="P21" s="671"/>
      <c r="Q21" s="671"/>
      <c r="R21" s="671"/>
      <c r="S21" s="671"/>
      <c r="T21" s="221"/>
      <c r="U21" s="221"/>
      <c r="V21" s="221"/>
      <c r="W21" s="221"/>
      <c r="X21" s="221"/>
      <c r="Y21" s="221"/>
      <c r="Z21" s="221"/>
      <c r="AA21" s="221"/>
      <c r="AB21" s="221"/>
      <c r="AC21" s="221"/>
      <c r="AD21" s="221"/>
    </row>
    <row r="22" spans="1:30" ht="21.9" customHeight="1">
      <c r="A22" s="672" t="s">
        <v>8</v>
      </c>
      <c r="B22" s="673"/>
      <c r="C22" s="673"/>
      <c r="D22" s="671"/>
      <c r="E22" s="673"/>
      <c r="F22" s="673"/>
      <c r="G22" s="673"/>
      <c r="H22" s="673"/>
      <c r="I22" s="673"/>
      <c r="J22" s="673"/>
      <c r="K22" s="672" t="s">
        <v>11</v>
      </c>
      <c r="L22" s="673"/>
      <c r="M22" s="673"/>
      <c r="N22" s="671"/>
      <c r="O22" s="671"/>
      <c r="P22" s="671"/>
      <c r="Q22" s="671"/>
      <c r="R22" s="671"/>
      <c r="S22" s="671"/>
      <c r="T22" s="221"/>
      <c r="U22" s="221"/>
      <c r="V22" s="221"/>
      <c r="W22" s="221"/>
      <c r="X22" s="221"/>
      <c r="Y22" s="221"/>
      <c r="Z22" s="221"/>
      <c r="AA22" s="221"/>
      <c r="AB22" s="221"/>
      <c r="AC22" s="221"/>
      <c r="AD22" s="286"/>
    </row>
    <row r="23" spans="1:30" ht="21.9" customHeight="1">
      <c r="A23" s="672" t="s">
        <v>9</v>
      </c>
      <c r="B23" s="673"/>
      <c r="C23" s="673"/>
      <c r="D23" s="671"/>
      <c r="E23" s="673"/>
      <c r="F23" s="673"/>
      <c r="G23" s="673"/>
      <c r="H23" s="673"/>
      <c r="I23" s="673"/>
      <c r="J23" s="673"/>
      <c r="K23" s="672" t="s">
        <v>12</v>
      </c>
      <c r="L23" s="673"/>
      <c r="M23" s="673"/>
      <c r="N23" s="671"/>
      <c r="O23" s="671"/>
      <c r="P23" s="671"/>
      <c r="Q23" s="671"/>
      <c r="R23" s="671"/>
      <c r="S23" s="671"/>
      <c r="T23" s="221"/>
      <c r="U23" s="221"/>
      <c r="V23" s="221"/>
      <c r="W23" s="221"/>
      <c r="X23" s="221"/>
      <c r="Y23" s="221"/>
      <c r="Z23" s="221"/>
      <c r="AA23" s="221"/>
      <c r="AB23" s="221"/>
      <c r="AC23" s="221"/>
      <c r="AD23" s="221"/>
    </row>
    <row r="24" spans="1:30" ht="21.9" customHeight="1"/>
    <row r="25" spans="1:30" ht="21.9" customHeight="1"/>
    <row r="26" spans="1:30" ht="21.9" customHeight="1"/>
    <row r="27" spans="1:30" ht="21.9" customHeight="1"/>
    <row r="28" spans="1:30" ht="21.9" customHeight="1"/>
    <row r="29" spans="1:30" ht="21.9" customHeight="1"/>
    <row r="30" spans="1:30" ht="21.9" customHeight="1"/>
    <row r="31" spans="1:30" ht="21.9" customHeight="1"/>
    <row r="32" spans="1:30" ht="21.9" customHeight="1"/>
    <row r="33" s="3" customFormat="1" ht="21.9" customHeight="1"/>
    <row r="34" s="3" customFormat="1" ht="21.9" customHeight="1"/>
    <row r="35" s="3" customFormat="1" ht="21.9" customHeight="1"/>
    <row r="36" s="3" customFormat="1" ht="21.9" customHeight="1"/>
    <row r="37" s="3" customFormat="1" ht="21.9" customHeight="1"/>
    <row r="38" s="3" customFormat="1" ht="21.9" customHeight="1"/>
    <row r="39" s="3" customFormat="1" ht="21.9" customHeight="1"/>
    <row r="40" s="3" customFormat="1" ht="21.9" customHeight="1"/>
    <row r="41" s="3" customFormat="1" ht="21.9" customHeight="1"/>
    <row r="42" s="3" customFormat="1" ht="21.9" customHeight="1"/>
    <row r="43" s="3" customFormat="1" ht="21.9" customHeight="1"/>
    <row r="44" s="3" customFormat="1" ht="21.9" customHeight="1"/>
    <row r="45" s="3" customFormat="1" ht="21.9" customHeight="1"/>
    <row r="46" s="3" customFormat="1" ht="21.9" customHeight="1"/>
    <row r="47" s="3" customFormat="1" ht="21.9" customHeight="1"/>
    <row r="48" s="3" customFormat="1" ht="21.9" customHeight="1"/>
    <row r="49" s="3" customFormat="1" ht="21.9" customHeight="1"/>
    <row r="50" s="3" customFormat="1" ht="21.9" customHeight="1"/>
    <row r="51" s="3" customFormat="1" ht="21.9" customHeight="1"/>
    <row r="52" s="3" customFormat="1" ht="21.9" customHeight="1"/>
    <row r="53" s="3" customFormat="1" ht="21.9" customHeight="1"/>
    <row r="54" s="3" customFormat="1" ht="21.9" customHeight="1"/>
    <row r="55" s="3" customFormat="1" ht="21.9" customHeight="1"/>
    <row r="56" s="3" customFormat="1" ht="21.9" customHeight="1"/>
    <row r="57" s="3" customFormat="1" ht="21.9" customHeight="1"/>
    <row r="58" s="3" customFormat="1" ht="21.9" customHeight="1"/>
    <row r="59" s="3" customFormat="1" ht="21.9" customHeight="1"/>
    <row r="60" s="3" customFormat="1" ht="21.9" customHeight="1"/>
    <row r="61" s="3" customFormat="1" ht="21.9" customHeight="1"/>
    <row r="62" s="3" customFormat="1" ht="21.9" customHeight="1"/>
    <row r="63" s="3" customFormat="1" ht="21.9" customHeight="1"/>
    <row r="64" s="3" customFormat="1" ht="21.9" customHeight="1"/>
    <row r="65" s="3" customFormat="1" ht="21.9" customHeight="1"/>
    <row r="66" s="3" customFormat="1" ht="21.9" customHeight="1"/>
    <row r="67" s="3" customFormat="1" ht="21.9" customHeight="1"/>
    <row r="68" s="3" customFormat="1" ht="21.9" customHeight="1"/>
    <row r="69" s="3" customFormat="1" ht="21.9" customHeight="1"/>
  </sheetData>
  <mergeCells count="31">
    <mergeCell ref="A2:B2"/>
    <mergeCell ref="A3:C4"/>
    <mergeCell ref="D3:D4"/>
    <mergeCell ref="E3:E4"/>
    <mergeCell ref="Q3:Q4"/>
    <mergeCell ref="A23:C23"/>
    <mergeCell ref="D23:J23"/>
    <mergeCell ref="P3:P4"/>
    <mergeCell ref="A22:C22"/>
    <mergeCell ref="D22:J22"/>
    <mergeCell ref="I3:I4"/>
    <mergeCell ref="J3:J4"/>
    <mergeCell ref="K23:M23"/>
    <mergeCell ref="M3:M4"/>
    <mergeCell ref="A13:S13"/>
    <mergeCell ref="N23:S23"/>
    <mergeCell ref="K3:K4"/>
    <mergeCell ref="L3:L4"/>
    <mergeCell ref="K21:M21"/>
    <mergeCell ref="S3:S4"/>
    <mergeCell ref="N3:N4"/>
    <mergeCell ref="N21:S21"/>
    <mergeCell ref="K22:M22"/>
    <mergeCell ref="N22:S22"/>
    <mergeCell ref="A12:S12"/>
    <mergeCell ref="O3:O4"/>
    <mergeCell ref="A21:C21"/>
    <mergeCell ref="D21:J21"/>
    <mergeCell ref="F3:F4"/>
    <mergeCell ref="G3:G4"/>
    <mergeCell ref="H3:H4"/>
  </mergeCells>
  <phoneticPr fontId="48"/>
  <printOptions horizontalCentered="1" verticalCentered="1"/>
  <pageMargins left="0.31496062992125984" right="0.31496062992125984" top="0.59055118110236227" bottom="0.59055118110236227" header="0.51181102362204722" footer="0.51181102362204722"/>
  <pageSetup paperSize="9" orientation="landscape" r:id="rId1"/>
  <headerFooter alignWithMargins="0"/>
  <colBreaks count="1" manualBreakCount="1">
    <brk id="19" max="24"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sheetPr>
  <dimension ref="A1:I77"/>
  <sheetViews>
    <sheetView view="pageBreakPreview" zoomScale="120" zoomScaleNormal="100" zoomScaleSheetLayoutView="120" workbookViewId="0">
      <selection activeCell="C8" sqref="C8"/>
    </sheetView>
  </sheetViews>
  <sheetFormatPr defaultColWidth="9" defaultRowHeight="13.2"/>
  <cols>
    <col min="1" max="1" width="5.88671875" style="3" customWidth="1"/>
    <col min="2" max="2" width="28.6640625" style="3" customWidth="1"/>
    <col min="3" max="3" width="25.88671875" style="3" customWidth="1"/>
    <col min="4" max="4" width="9.6640625" style="3" customWidth="1"/>
    <col min="5" max="5" width="5.6640625" style="3" customWidth="1"/>
    <col min="6" max="6" width="11.6640625" style="3" customWidth="1"/>
    <col min="7" max="7" width="15.88671875" style="3" customWidth="1"/>
    <col min="8" max="8" width="26.88671875" style="3" customWidth="1"/>
    <col min="9" max="16384" width="9" style="3"/>
  </cols>
  <sheetData>
    <row r="1" spans="1:9" ht="21.9" customHeight="1">
      <c r="A1" s="220"/>
      <c r="B1" s="221"/>
      <c r="C1" s="221"/>
      <c r="D1" s="5"/>
      <c r="E1" s="220"/>
      <c r="F1" s="222"/>
      <c r="G1" s="223"/>
      <c r="H1" s="224"/>
      <c r="I1" s="221"/>
    </row>
    <row r="2" spans="1:9" ht="21.9" customHeight="1">
      <c r="A2" s="225"/>
      <c r="B2" s="226" t="s">
        <v>26</v>
      </c>
      <c r="C2" s="227" t="s">
        <v>27</v>
      </c>
      <c r="D2" s="228" t="s">
        <v>5</v>
      </c>
      <c r="E2" s="229" t="s">
        <v>6</v>
      </c>
      <c r="F2" s="230" t="s">
        <v>20</v>
      </c>
      <c r="G2" s="231" t="s">
        <v>21</v>
      </c>
      <c r="H2" s="232" t="s">
        <v>22</v>
      </c>
      <c r="I2" s="221"/>
    </row>
    <row r="3" spans="1:9" ht="21.9" customHeight="1">
      <c r="A3" s="233"/>
      <c r="B3" s="343" t="s">
        <v>585</v>
      </c>
      <c r="C3" s="229"/>
      <c r="D3" s="235"/>
      <c r="E3" s="229"/>
      <c r="F3" s="230"/>
      <c r="G3" s="231"/>
      <c r="H3" s="47"/>
      <c r="I3" s="221"/>
    </row>
    <row r="4" spans="1:9" ht="21.9" customHeight="1">
      <c r="A4" s="229"/>
      <c r="B4" s="234"/>
      <c r="C4" s="234"/>
      <c r="D4" s="235"/>
      <c r="E4" s="229"/>
      <c r="F4" s="236"/>
      <c r="G4" s="237"/>
      <c r="H4" s="48"/>
      <c r="I4" s="221"/>
    </row>
    <row r="5" spans="1:9" ht="21.9" customHeight="1">
      <c r="A5" s="229" t="s">
        <v>40</v>
      </c>
      <c r="B5" s="234" t="s">
        <v>38</v>
      </c>
      <c r="C5" s="234"/>
      <c r="D5" s="235">
        <v>1</v>
      </c>
      <c r="E5" s="229" t="s">
        <v>15</v>
      </c>
      <c r="F5" s="236"/>
      <c r="G5" s="238">
        <f>'A+B+C'!G22</f>
        <v>91602532</v>
      </c>
      <c r="H5" s="48"/>
      <c r="I5" s="221"/>
    </row>
    <row r="6" spans="1:9" ht="21.9" customHeight="1">
      <c r="A6" s="229"/>
      <c r="B6" s="229" t="s">
        <v>39</v>
      </c>
      <c r="C6" s="234"/>
      <c r="D6" s="235">
        <v>1</v>
      </c>
      <c r="E6" s="229" t="s">
        <v>15</v>
      </c>
      <c r="F6" s="236"/>
      <c r="G6" s="238">
        <f>G5</f>
        <v>91602532</v>
      </c>
      <c r="H6" s="48"/>
      <c r="I6" s="221"/>
    </row>
    <row r="7" spans="1:9" ht="21.9" customHeight="1">
      <c r="A7" s="229"/>
      <c r="B7" s="234"/>
      <c r="C7" s="234"/>
      <c r="D7" s="235"/>
      <c r="E7" s="229"/>
      <c r="F7" s="236"/>
      <c r="G7" s="237"/>
      <c r="H7" s="48"/>
      <c r="I7" s="221"/>
    </row>
    <row r="8" spans="1:9" ht="21.9" customHeight="1">
      <c r="A8" s="229" t="s">
        <v>41</v>
      </c>
      <c r="B8" s="234" t="s">
        <v>28</v>
      </c>
      <c r="C8" s="234" t="s">
        <v>44</v>
      </c>
      <c r="D8" s="235">
        <v>1</v>
      </c>
      <c r="E8" s="229" t="s">
        <v>24</v>
      </c>
      <c r="F8" s="236"/>
      <c r="G8" s="238">
        <f>G6*(H8*100)/100</f>
        <v>2702274.6939999997</v>
      </c>
      <c r="H8" s="50">
        <v>2.9499999999999998E-2</v>
      </c>
      <c r="I8" s="221"/>
    </row>
    <row r="9" spans="1:9" ht="21.9" customHeight="1">
      <c r="A9" s="229"/>
      <c r="B9" s="229" t="s">
        <v>594</v>
      </c>
      <c r="C9" s="234"/>
      <c r="D9" s="235">
        <v>1</v>
      </c>
      <c r="E9" s="229" t="s">
        <v>24</v>
      </c>
      <c r="F9" s="236"/>
      <c r="G9" s="238">
        <v>357100</v>
      </c>
      <c r="H9" s="50"/>
      <c r="I9" s="221"/>
    </row>
    <row r="10" spans="1:9" ht="21.9" customHeight="1">
      <c r="A10" s="229"/>
      <c r="B10" s="229" t="s">
        <v>28</v>
      </c>
      <c r="C10" s="239"/>
      <c r="D10" s="235">
        <v>1</v>
      </c>
      <c r="E10" s="229" t="s">
        <v>24</v>
      </c>
      <c r="F10" s="236"/>
      <c r="G10" s="238">
        <f>G8</f>
        <v>2702274.6939999997</v>
      </c>
      <c r="H10" s="48"/>
      <c r="I10" s="221"/>
    </row>
    <row r="11" spans="1:9" ht="21.9" customHeight="1">
      <c r="A11" s="234"/>
      <c r="B11" s="229" t="s">
        <v>47</v>
      </c>
      <c r="C11" s="240"/>
      <c r="D11" s="240"/>
      <c r="E11" s="240"/>
      <c r="F11" s="240"/>
      <c r="G11" s="238">
        <f>G6+G10</f>
        <v>94304806.694000006</v>
      </c>
      <c r="H11" s="48"/>
      <c r="I11" s="241"/>
    </row>
    <row r="12" spans="1:9" ht="21.9" customHeight="1">
      <c r="A12" s="234"/>
      <c r="B12" s="240"/>
      <c r="C12" s="240"/>
      <c r="D12" s="240"/>
      <c r="E12" s="240"/>
      <c r="F12" s="240"/>
      <c r="G12" s="240"/>
      <c r="H12" s="48"/>
      <c r="I12" s="242"/>
    </row>
    <row r="13" spans="1:9" ht="21.9" customHeight="1">
      <c r="A13" s="229" t="s">
        <v>42</v>
      </c>
      <c r="B13" s="226" t="s">
        <v>4</v>
      </c>
      <c r="C13" s="243" t="s">
        <v>45</v>
      </c>
      <c r="D13" s="235">
        <v>1</v>
      </c>
      <c r="E13" s="229" t="s">
        <v>24</v>
      </c>
      <c r="F13" s="236"/>
      <c r="G13" s="238">
        <f>G11*(H13*100)/100</f>
        <v>13495017.837911401</v>
      </c>
      <c r="H13" s="50">
        <v>0.1431</v>
      </c>
    </row>
    <row r="14" spans="1:9" ht="21.9" customHeight="1">
      <c r="A14" s="229"/>
      <c r="B14" s="229" t="s">
        <v>48</v>
      </c>
      <c r="C14" s="244"/>
      <c r="D14" s="235"/>
      <c r="E14" s="229"/>
      <c r="F14" s="236"/>
      <c r="G14" s="238">
        <f>G11+G13</f>
        <v>107799824.5319114</v>
      </c>
      <c r="H14" s="48"/>
      <c r="I14" s="245"/>
    </row>
    <row r="15" spans="1:9" ht="21.9" customHeight="1">
      <c r="A15" s="234"/>
      <c r="B15" s="229"/>
      <c r="C15" s="244"/>
      <c r="D15" s="235"/>
      <c r="E15" s="229"/>
      <c r="F15" s="236"/>
      <c r="G15" s="237"/>
      <c r="H15" s="48"/>
      <c r="I15" s="246"/>
    </row>
    <row r="16" spans="1:9" ht="21.9" customHeight="1">
      <c r="A16" s="229" t="s">
        <v>43</v>
      </c>
      <c r="B16" s="226" t="s">
        <v>19</v>
      </c>
      <c r="C16" s="243" t="s">
        <v>46</v>
      </c>
      <c r="D16" s="235">
        <v>1</v>
      </c>
      <c r="E16" s="229" t="s">
        <v>24</v>
      </c>
      <c r="F16" s="236"/>
      <c r="G16" s="238">
        <f>G14*(H16*100)/100</f>
        <v>12655699.400046399</v>
      </c>
      <c r="H16" s="50">
        <v>0.1174</v>
      </c>
    </row>
    <row r="17" spans="1:9" ht="21.9" customHeight="1">
      <c r="A17" s="234"/>
      <c r="B17" s="229" t="s">
        <v>49</v>
      </c>
      <c r="C17" s="234"/>
      <c r="D17" s="235"/>
      <c r="E17" s="229"/>
      <c r="F17" s="236"/>
      <c r="G17" s="238">
        <f>G14+G16</f>
        <v>120455523.9319578</v>
      </c>
      <c r="H17" s="48"/>
      <c r="I17" s="221"/>
    </row>
    <row r="18" spans="1:9" ht="21.9" customHeight="1">
      <c r="A18" s="234"/>
      <c r="B18" s="234"/>
      <c r="C18" s="234"/>
      <c r="D18" s="235"/>
      <c r="E18" s="229"/>
      <c r="F18" s="236"/>
      <c r="G18" s="237"/>
      <c r="H18" s="48"/>
      <c r="I18" s="246"/>
    </row>
    <row r="19" spans="1:9" ht="21.9" customHeight="1">
      <c r="A19" s="229"/>
      <c r="B19" s="229" t="s">
        <v>25</v>
      </c>
      <c r="C19" s="244"/>
      <c r="D19" s="235">
        <v>1</v>
      </c>
      <c r="E19" s="229" t="s">
        <v>24</v>
      </c>
      <c r="F19" s="236"/>
      <c r="G19" s="238">
        <f>ROUNDDOWN(G17,-4)</f>
        <v>120450000</v>
      </c>
      <c r="H19" s="48"/>
      <c r="I19" s="221"/>
    </row>
    <row r="20" spans="1:9" ht="21.9" customHeight="1">
      <c r="A20" s="229"/>
      <c r="B20" s="229"/>
      <c r="C20" s="244"/>
      <c r="D20" s="235"/>
      <c r="E20" s="229"/>
      <c r="F20" s="236"/>
      <c r="G20" s="237"/>
      <c r="H20" s="48"/>
      <c r="I20" s="221"/>
    </row>
    <row r="21" spans="1:9" ht="21.9" customHeight="1">
      <c r="A21" s="229" t="s">
        <v>50</v>
      </c>
      <c r="B21" s="226" t="s">
        <v>51</v>
      </c>
      <c r="C21" s="247" t="s">
        <v>35</v>
      </c>
      <c r="D21" s="235">
        <v>1</v>
      </c>
      <c r="E21" s="229" t="s">
        <v>24</v>
      </c>
      <c r="F21" s="236"/>
      <c r="G21" s="238">
        <f>G19*(H21*100)/100</f>
        <v>12045000</v>
      </c>
      <c r="H21" s="50">
        <v>0.1</v>
      </c>
      <c r="I21" s="221"/>
    </row>
    <row r="22" spans="1:9" ht="21.9" customHeight="1">
      <c r="A22" s="229"/>
      <c r="B22" s="226"/>
      <c r="C22" s="226"/>
      <c r="D22" s="235"/>
      <c r="E22" s="229"/>
      <c r="F22" s="248"/>
      <c r="G22" s="237"/>
      <c r="H22" s="49"/>
      <c r="I22" s="221"/>
    </row>
    <row r="23" spans="1:9" ht="21.9" customHeight="1">
      <c r="A23" s="229"/>
      <c r="B23" s="229" t="s">
        <v>18</v>
      </c>
      <c r="C23" s="247"/>
      <c r="D23" s="235"/>
      <c r="E23" s="229"/>
      <c r="F23" s="248"/>
      <c r="G23" s="237"/>
      <c r="H23" s="48"/>
      <c r="I23" s="221"/>
    </row>
    <row r="24" spans="1:9" ht="21.9" customHeight="1">
      <c r="A24" s="229"/>
      <c r="B24" s="226"/>
      <c r="C24" s="244"/>
      <c r="D24" s="235"/>
      <c r="E24" s="229"/>
      <c r="F24" s="236"/>
      <c r="G24" s="237">
        <f>G19+G21</f>
        <v>132495000</v>
      </c>
      <c r="H24" s="48"/>
      <c r="I24" s="249"/>
    </row>
    <row r="25" spans="1:9" ht="21.9" customHeight="1">
      <c r="A25" s="4"/>
      <c r="B25" s="250"/>
      <c r="C25" s="250"/>
      <c r="D25" s="4" t="s">
        <v>23</v>
      </c>
      <c r="E25" s="250"/>
      <c r="F25" s="250"/>
      <c r="G25" s="250"/>
      <c r="H25" s="251">
        <v>1</v>
      </c>
      <c r="I25" s="221"/>
    </row>
    <row r="26" spans="1:9" ht="21.9" customHeight="1"/>
    <row r="27" spans="1:9" ht="21.9" customHeight="1"/>
    <row r="28" spans="1:9" ht="21.9" customHeight="1"/>
    <row r="29" spans="1:9" ht="21.9" customHeight="1"/>
    <row r="30" spans="1:9" ht="21.9" customHeight="1"/>
    <row r="31" spans="1:9" ht="21.9" customHeight="1"/>
    <row r="32" spans="1:9" ht="21.9" customHeight="1"/>
    <row r="33" ht="21.9" customHeight="1"/>
    <row r="34" ht="21.9" customHeight="1"/>
    <row r="35" ht="21.9" customHeight="1"/>
    <row r="36" ht="21.9" customHeight="1"/>
    <row r="37" ht="21.9" customHeight="1"/>
    <row r="38" ht="21.9" customHeight="1"/>
    <row r="39" ht="21.9" customHeight="1"/>
    <row r="40" ht="21.9" customHeight="1"/>
    <row r="41" ht="21.9" customHeight="1"/>
    <row r="42" ht="21.9" customHeight="1"/>
    <row r="43" ht="21.9" customHeight="1"/>
    <row r="44" ht="21.9" customHeight="1"/>
    <row r="45" ht="21.9" customHeight="1"/>
    <row r="46" ht="21.9" customHeight="1"/>
    <row r="47" ht="21.9" customHeight="1"/>
    <row r="48" ht="21.9" customHeight="1"/>
    <row r="49" ht="21.9" customHeight="1"/>
    <row r="50" ht="21.9" customHeight="1"/>
    <row r="51" ht="21.9" customHeight="1"/>
    <row r="52" ht="21.9" customHeight="1"/>
    <row r="53" ht="21.9" customHeight="1"/>
    <row r="54" ht="21.9" customHeight="1"/>
    <row r="55" ht="21.9" customHeight="1"/>
    <row r="56" ht="21.9" customHeight="1"/>
    <row r="57" ht="21.9" customHeight="1"/>
    <row r="58" ht="21.9" customHeight="1"/>
    <row r="59" ht="21.9" customHeight="1"/>
    <row r="60" ht="21.9" customHeight="1"/>
    <row r="61" ht="21.9" customHeight="1"/>
    <row r="62" ht="21.9" customHeight="1"/>
    <row r="63" ht="21.9" customHeight="1"/>
    <row r="64" ht="21.9" customHeight="1"/>
    <row r="65" ht="21.9" customHeight="1"/>
    <row r="66" ht="21.9" customHeight="1"/>
    <row r="67" ht="21.9" customHeight="1"/>
    <row r="68" ht="21.9" customHeight="1"/>
    <row r="69" ht="21.9" customHeight="1"/>
    <row r="70" ht="21.9" customHeight="1"/>
    <row r="71" ht="21.9" customHeight="1"/>
    <row r="72" ht="21.9" customHeight="1"/>
    <row r="73" ht="21.9" customHeight="1"/>
    <row r="74" ht="21.9" customHeight="1"/>
    <row r="75" ht="21.9" customHeight="1"/>
    <row r="76" ht="21.9" customHeight="1"/>
    <row r="77" ht="21.9" customHeight="1"/>
  </sheetData>
  <phoneticPr fontId="48"/>
  <printOptions horizontalCentered="1" verticalCentered="1"/>
  <pageMargins left="0.31496062992125984" right="0.31496062992125984" top="0.59055118110236227" bottom="0.59055118110236227" header="0.51181102362204722" footer="0.51181102362204722"/>
  <pageSetup paperSize="9"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sheetPr>
  <dimension ref="A1:AB32"/>
  <sheetViews>
    <sheetView showZeros="0" view="pageBreakPreview" zoomScaleNormal="100" zoomScaleSheetLayoutView="100" workbookViewId="0">
      <selection activeCell="G7" sqref="G7"/>
    </sheetView>
  </sheetViews>
  <sheetFormatPr defaultColWidth="9" defaultRowHeight="13.2"/>
  <cols>
    <col min="1" max="1" width="5.88671875" style="3" customWidth="1"/>
    <col min="2" max="2" width="28.6640625" style="3" customWidth="1"/>
    <col min="3" max="3" width="25.88671875" style="3" customWidth="1"/>
    <col min="4" max="4" width="9.6640625" style="3" customWidth="1"/>
    <col min="5" max="5" width="5.6640625" style="3" customWidth="1"/>
    <col min="6" max="6" width="11.6640625" style="3" customWidth="1"/>
    <col min="7" max="7" width="15.88671875" style="3" customWidth="1"/>
    <col min="8" max="8" width="26.88671875" style="3" customWidth="1"/>
    <col min="9" max="9" width="9" style="256"/>
    <col min="10" max="10" width="12.77734375" style="33" bestFit="1" customWidth="1"/>
    <col min="11" max="16384" width="9" style="3"/>
  </cols>
  <sheetData>
    <row r="1" spans="1:28" ht="21.9" customHeight="1">
      <c r="A1" s="19"/>
      <c r="B1" s="1"/>
      <c r="C1" s="1"/>
      <c r="D1" s="20"/>
      <c r="E1" s="19"/>
      <c r="F1" s="21"/>
      <c r="G1" s="252"/>
      <c r="H1" s="22"/>
      <c r="I1" s="253"/>
      <c r="J1" s="23"/>
      <c r="K1" s="1"/>
      <c r="L1" s="1"/>
      <c r="M1" s="1"/>
      <c r="N1" s="1"/>
      <c r="O1" s="1"/>
      <c r="P1" s="1"/>
      <c r="Q1" s="1"/>
      <c r="R1" s="1"/>
      <c r="S1" s="1"/>
      <c r="T1" s="1"/>
      <c r="U1" s="1"/>
      <c r="V1" s="1"/>
      <c r="W1" s="1"/>
      <c r="X1" s="1"/>
      <c r="Y1" s="1"/>
      <c r="Z1" s="1"/>
      <c r="AA1" s="1"/>
      <c r="AB1" s="1"/>
    </row>
    <row r="2" spans="1:28" ht="21.9" customHeight="1">
      <c r="A2" s="24"/>
      <c r="B2" s="25" t="s">
        <v>29</v>
      </c>
      <c r="C2" s="227" t="s">
        <v>30</v>
      </c>
      <c r="D2" s="26" t="s">
        <v>5</v>
      </c>
      <c r="E2" s="8" t="s">
        <v>6</v>
      </c>
      <c r="F2" s="27" t="s">
        <v>20</v>
      </c>
      <c r="G2" s="231" t="s">
        <v>21</v>
      </c>
      <c r="H2" s="28" t="s">
        <v>22</v>
      </c>
      <c r="I2" s="253"/>
      <c r="J2" s="23"/>
      <c r="K2" s="1"/>
      <c r="L2" s="1"/>
      <c r="M2" s="1"/>
      <c r="N2" s="1"/>
      <c r="O2" s="1"/>
      <c r="P2" s="1"/>
      <c r="Q2" s="1"/>
      <c r="R2" s="1"/>
      <c r="S2" s="1"/>
      <c r="T2" s="1"/>
      <c r="U2" s="1"/>
      <c r="V2" s="1"/>
      <c r="W2" s="1"/>
      <c r="X2" s="1"/>
      <c r="Y2" s="1"/>
      <c r="Z2" s="1"/>
      <c r="AA2" s="1"/>
      <c r="AB2" s="1"/>
    </row>
    <row r="3" spans="1:28" ht="21.9" customHeight="1">
      <c r="A3" s="8"/>
      <c r="B3" s="254" t="s">
        <v>34</v>
      </c>
      <c r="C3" s="25"/>
      <c r="D3" s="9"/>
      <c r="E3" s="8"/>
      <c r="F3" s="27"/>
      <c r="G3" s="237"/>
      <c r="H3" s="28"/>
      <c r="I3" s="253"/>
      <c r="J3" s="23"/>
      <c r="K3" s="1"/>
      <c r="L3" s="1"/>
      <c r="M3" s="1"/>
      <c r="N3" s="1"/>
      <c r="O3" s="1"/>
      <c r="P3" s="1"/>
      <c r="Q3" s="1"/>
      <c r="R3" s="1"/>
      <c r="S3" s="1"/>
      <c r="T3" s="1"/>
      <c r="U3" s="1"/>
      <c r="V3" s="1"/>
      <c r="W3" s="1"/>
      <c r="X3" s="1"/>
      <c r="Y3" s="1"/>
      <c r="Z3" s="1"/>
      <c r="AA3" s="1"/>
      <c r="AB3" s="1"/>
    </row>
    <row r="4" spans="1:28" ht="21.9" customHeight="1">
      <c r="A4" s="8"/>
      <c r="B4" s="25"/>
      <c r="C4" s="25"/>
      <c r="D4" s="9"/>
      <c r="E4" s="8"/>
      <c r="F4" s="255"/>
      <c r="G4" s="237"/>
      <c r="H4" s="29"/>
      <c r="I4" s="253"/>
      <c r="J4" s="23"/>
      <c r="K4" s="1"/>
      <c r="L4" s="1"/>
      <c r="M4" s="1"/>
      <c r="N4" s="1"/>
      <c r="O4" s="1"/>
      <c r="P4" s="1"/>
      <c r="Q4" s="1"/>
      <c r="R4" s="1"/>
      <c r="S4" s="1"/>
      <c r="T4" s="1"/>
      <c r="U4" s="1"/>
      <c r="V4" s="1"/>
      <c r="W4" s="1"/>
      <c r="X4" s="1"/>
      <c r="Y4" s="1"/>
      <c r="Z4" s="1"/>
      <c r="AA4" s="1"/>
      <c r="AB4" s="1"/>
    </row>
    <row r="5" spans="1:28" ht="21.9" customHeight="1">
      <c r="A5" s="8" t="s">
        <v>107</v>
      </c>
      <c r="B5" s="254" t="s">
        <v>34</v>
      </c>
      <c r="C5" s="25"/>
      <c r="D5" s="9">
        <v>1</v>
      </c>
      <c r="E5" s="8" t="s">
        <v>24</v>
      </c>
      <c r="F5" s="255"/>
      <c r="G5" s="255">
        <f>'A空調－計 '!G22</f>
        <v>78335210</v>
      </c>
      <c r="H5" s="255"/>
      <c r="I5" s="253"/>
      <c r="J5" s="23"/>
      <c r="K5" s="1"/>
      <c r="L5" s="1"/>
      <c r="M5" s="1"/>
      <c r="N5" s="1"/>
      <c r="O5" s="1"/>
      <c r="P5" s="1"/>
      <c r="Q5" s="1"/>
      <c r="R5" s="1"/>
      <c r="S5" s="1"/>
      <c r="T5" s="1"/>
      <c r="U5" s="1"/>
      <c r="V5" s="1"/>
      <c r="W5" s="1"/>
      <c r="X5" s="1"/>
      <c r="Y5" s="1"/>
      <c r="Z5" s="1"/>
      <c r="AA5" s="1"/>
      <c r="AB5" s="1"/>
    </row>
    <row r="6" spans="1:28" ht="21.9" customHeight="1">
      <c r="A6" s="8" t="s">
        <v>108</v>
      </c>
      <c r="B6" s="25" t="s">
        <v>37</v>
      </c>
      <c r="C6" s="25"/>
      <c r="D6" s="9">
        <v>1</v>
      </c>
      <c r="E6" s="8" t="s">
        <v>24</v>
      </c>
      <c r="F6" s="255"/>
      <c r="G6" s="255">
        <f>'Ｂ電気－計'!G20</f>
        <v>5401173</v>
      </c>
      <c r="H6" s="255"/>
      <c r="I6" s="253"/>
      <c r="J6" s="23"/>
      <c r="K6" s="1"/>
      <c r="L6" s="1"/>
      <c r="M6" s="1"/>
      <c r="N6" s="1"/>
      <c r="O6" s="1"/>
      <c r="P6" s="1"/>
      <c r="Q6" s="1"/>
      <c r="R6" s="1"/>
      <c r="S6" s="1"/>
      <c r="T6" s="1"/>
      <c r="U6" s="1"/>
      <c r="V6" s="1"/>
      <c r="W6" s="1"/>
      <c r="X6" s="1"/>
      <c r="Y6" s="1"/>
      <c r="Z6" s="1"/>
      <c r="AA6" s="1"/>
      <c r="AB6" s="1"/>
    </row>
    <row r="7" spans="1:28" ht="21.9" customHeight="1">
      <c r="A7" s="351" t="s">
        <v>557</v>
      </c>
      <c r="B7" s="46" t="s">
        <v>558</v>
      </c>
      <c r="C7" s="25"/>
      <c r="D7" s="9">
        <v>1</v>
      </c>
      <c r="E7" s="8" t="s">
        <v>24</v>
      </c>
      <c r="F7" s="255"/>
      <c r="G7" s="255">
        <f>'Ｃ付帯－計'!G20</f>
        <v>7866149</v>
      </c>
      <c r="H7" s="255"/>
      <c r="I7" s="253"/>
      <c r="J7" s="23"/>
      <c r="K7" s="1"/>
      <c r="L7" s="1"/>
      <c r="M7" s="1"/>
      <c r="N7" s="1"/>
      <c r="O7" s="1"/>
      <c r="P7" s="1"/>
      <c r="Q7" s="1"/>
      <c r="R7" s="1"/>
      <c r="S7" s="1"/>
      <c r="T7" s="1"/>
      <c r="U7" s="1"/>
      <c r="V7" s="1"/>
      <c r="W7" s="1"/>
      <c r="X7" s="1"/>
      <c r="Y7" s="1"/>
      <c r="Z7" s="1"/>
      <c r="AA7" s="1"/>
      <c r="AB7" s="1"/>
    </row>
    <row r="8" spans="1:28" ht="21.9" customHeight="1">
      <c r="A8" s="8"/>
      <c r="B8" s="25"/>
      <c r="C8" s="25"/>
      <c r="D8" s="9"/>
      <c r="E8" s="8"/>
      <c r="F8" s="255"/>
      <c r="G8" s="255"/>
      <c r="H8" s="255"/>
      <c r="I8" s="253"/>
      <c r="J8" s="23"/>
      <c r="K8" s="1"/>
      <c r="L8" s="1"/>
      <c r="M8" s="1"/>
      <c r="N8" s="1"/>
      <c r="O8" s="1"/>
      <c r="P8" s="1"/>
      <c r="Q8" s="1"/>
      <c r="R8" s="1"/>
      <c r="S8" s="1"/>
      <c r="T8" s="1"/>
      <c r="U8" s="1"/>
      <c r="V8" s="1"/>
      <c r="W8" s="1"/>
      <c r="X8" s="1"/>
      <c r="Y8" s="1"/>
      <c r="Z8" s="1"/>
      <c r="AA8" s="1"/>
      <c r="AB8" s="1"/>
    </row>
    <row r="9" spans="1:28" ht="21.9" customHeight="1">
      <c r="A9" s="8"/>
      <c r="B9" s="25"/>
      <c r="C9" s="25"/>
      <c r="D9" s="9"/>
      <c r="E9" s="8"/>
      <c r="F9" s="255"/>
      <c r="G9" s="255"/>
      <c r="H9" s="255"/>
      <c r="I9" s="253"/>
      <c r="J9" s="23"/>
      <c r="K9" s="1"/>
      <c r="L9" s="1"/>
      <c r="M9" s="1"/>
      <c r="N9" s="1"/>
      <c r="O9" s="1"/>
      <c r="P9" s="1"/>
      <c r="Q9" s="1"/>
      <c r="R9" s="1"/>
      <c r="S9" s="1"/>
      <c r="T9" s="1"/>
      <c r="U9" s="1"/>
      <c r="V9" s="1"/>
      <c r="W9" s="1"/>
      <c r="X9" s="1"/>
      <c r="Y9" s="1"/>
      <c r="Z9" s="1"/>
      <c r="AA9" s="1"/>
      <c r="AB9" s="1"/>
    </row>
    <row r="10" spans="1:28" ht="21.9" customHeight="1">
      <c r="A10" s="8"/>
      <c r="B10" s="25"/>
      <c r="C10" s="25"/>
      <c r="D10" s="9"/>
      <c r="E10" s="8"/>
      <c r="F10" s="10"/>
      <c r="G10" s="255"/>
      <c r="H10" s="255"/>
      <c r="I10" s="253"/>
      <c r="J10" s="23"/>
      <c r="K10" s="1"/>
      <c r="L10" s="1"/>
      <c r="M10" s="1"/>
      <c r="N10" s="1"/>
      <c r="O10" s="1"/>
      <c r="P10" s="1"/>
      <c r="Q10" s="1"/>
      <c r="R10" s="1"/>
      <c r="S10" s="1"/>
      <c r="T10" s="1"/>
      <c r="U10" s="1"/>
      <c r="V10" s="1"/>
      <c r="W10" s="1"/>
      <c r="X10" s="1"/>
      <c r="Y10" s="1"/>
      <c r="Z10" s="1"/>
      <c r="AA10" s="1"/>
      <c r="AB10" s="1"/>
    </row>
    <row r="11" spans="1:28" ht="21.9" customHeight="1">
      <c r="A11" s="8"/>
      <c r="B11" s="25"/>
      <c r="C11" s="25"/>
      <c r="D11" s="9"/>
      <c r="E11" s="8"/>
      <c r="F11" s="10"/>
      <c r="G11" s="255"/>
      <c r="H11" s="255"/>
      <c r="I11" s="253"/>
      <c r="J11" s="23"/>
      <c r="K11" s="1"/>
      <c r="L11" s="1"/>
      <c r="M11" s="1"/>
      <c r="N11" s="1"/>
      <c r="O11" s="1"/>
      <c r="P11" s="1"/>
      <c r="Q11" s="1"/>
      <c r="R11" s="1"/>
      <c r="S11" s="1"/>
      <c r="T11" s="1"/>
      <c r="U11" s="1"/>
      <c r="V11" s="1"/>
      <c r="W11" s="1"/>
      <c r="X11" s="1"/>
      <c r="Y11" s="1"/>
      <c r="Z11" s="1"/>
      <c r="AA11" s="1"/>
      <c r="AB11" s="1"/>
    </row>
    <row r="12" spans="1:28" ht="21.9" customHeight="1">
      <c r="A12" s="8"/>
      <c r="B12" s="25"/>
      <c r="C12" s="25"/>
      <c r="D12" s="9"/>
      <c r="E12" s="11"/>
      <c r="F12" s="10"/>
      <c r="G12" s="255"/>
      <c r="H12" s="255"/>
      <c r="I12" s="253"/>
      <c r="J12" s="23"/>
      <c r="K12" s="1"/>
      <c r="L12" s="1"/>
      <c r="M12" s="1"/>
      <c r="N12" s="1"/>
      <c r="O12" s="1"/>
      <c r="P12" s="1"/>
      <c r="Q12" s="1"/>
      <c r="R12" s="1"/>
      <c r="S12" s="1"/>
      <c r="T12" s="1"/>
      <c r="U12" s="1"/>
      <c r="V12" s="1"/>
      <c r="W12" s="1"/>
      <c r="X12" s="1"/>
      <c r="Y12" s="1"/>
      <c r="Z12" s="1"/>
      <c r="AA12" s="1"/>
      <c r="AB12" s="1"/>
    </row>
    <row r="13" spans="1:28" ht="21.9" customHeight="1">
      <c r="A13" s="8"/>
      <c r="B13" s="25"/>
      <c r="C13" s="25"/>
      <c r="D13" s="9"/>
      <c r="E13" s="11"/>
      <c r="F13" s="10"/>
      <c r="G13" s="255"/>
      <c r="H13" s="255"/>
      <c r="I13" s="253"/>
      <c r="J13" s="23"/>
      <c r="K13" s="1"/>
      <c r="L13" s="1"/>
      <c r="M13" s="1"/>
      <c r="N13" s="1"/>
      <c r="O13" s="1"/>
      <c r="P13" s="1"/>
      <c r="Q13" s="1"/>
      <c r="R13" s="1"/>
      <c r="S13" s="1"/>
      <c r="T13" s="1"/>
      <c r="U13" s="1"/>
      <c r="V13" s="1"/>
      <c r="W13" s="1"/>
      <c r="X13" s="1"/>
      <c r="Y13" s="1"/>
      <c r="Z13" s="1"/>
      <c r="AA13" s="1"/>
      <c r="AB13" s="1"/>
    </row>
    <row r="14" spans="1:28" ht="21.9" customHeight="1">
      <c r="A14" s="8"/>
      <c r="B14" s="25"/>
      <c r="C14" s="25"/>
      <c r="D14" s="9"/>
      <c r="E14" s="11"/>
      <c r="F14" s="10"/>
      <c r="G14" s="255"/>
      <c r="H14" s="255"/>
      <c r="I14" s="253"/>
      <c r="J14" s="23"/>
      <c r="K14" s="1"/>
      <c r="L14" s="1"/>
      <c r="M14" s="1"/>
      <c r="N14" s="1"/>
      <c r="O14" s="1"/>
      <c r="P14" s="1"/>
      <c r="Q14" s="1"/>
      <c r="R14" s="1"/>
      <c r="S14" s="1"/>
      <c r="T14" s="1"/>
      <c r="U14" s="1"/>
      <c r="V14" s="1"/>
      <c r="W14" s="1"/>
      <c r="X14" s="1"/>
      <c r="Y14" s="1"/>
      <c r="Z14" s="1"/>
      <c r="AA14" s="1"/>
      <c r="AB14" s="1"/>
    </row>
    <row r="15" spans="1:28" ht="21.9" customHeight="1">
      <c r="A15" s="8"/>
      <c r="B15" s="25"/>
      <c r="C15" s="25"/>
      <c r="D15" s="9"/>
      <c r="E15" s="11"/>
      <c r="F15" s="10"/>
      <c r="G15" s="255"/>
      <c r="H15" s="255"/>
      <c r="I15" s="253"/>
      <c r="J15" s="23"/>
      <c r="K15" s="1"/>
      <c r="L15" s="1"/>
      <c r="M15" s="1"/>
      <c r="N15" s="1"/>
      <c r="O15" s="1"/>
      <c r="P15" s="1"/>
      <c r="Q15" s="1"/>
      <c r="R15" s="1"/>
      <c r="S15" s="1"/>
      <c r="T15" s="1"/>
      <c r="U15" s="1"/>
      <c r="V15" s="1"/>
      <c r="W15" s="1"/>
      <c r="X15" s="1"/>
      <c r="Y15" s="1"/>
      <c r="Z15" s="1"/>
      <c r="AA15" s="1"/>
      <c r="AB15" s="1"/>
    </row>
    <row r="16" spans="1:28" ht="21.9" customHeight="1">
      <c r="A16" s="8"/>
      <c r="B16" s="25"/>
      <c r="C16" s="25"/>
      <c r="D16" s="9"/>
      <c r="E16" s="11"/>
      <c r="F16" s="10"/>
      <c r="G16" s="255"/>
      <c r="H16" s="255"/>
      <c r="I16" s="253"/>
      <c r="J16" s="23"/>
      <c r="K16" s="1"/>
      <c r="L16" s="1"/>
      <c r="M16" s="1"/>
      <c r="N16" s="1"/>
      <c r="O16" s="1"/>
      <c r="P16" s="1"/>
      <c r="Q16" s="1"/>
      <c r="R16" s="1"/>
      <c r="S16" s="1"/>
      <c r="T16" s="1"/>
      <c r="U16" s="1"/>
      <c r="V16" s="1"/>
      <c r="W16" s="1"/>
      <c r="X16" s="1"/>
      <c r="Y16" s="1"/>
      <c r="Z16" s="1"/>
      <c r="AA16" s="1"/>
      <c r="AB16" s="1"/>
    </row>
    <row r="17" spans="1:28" ht="21.9" customHeight="1">
      <c r="A17" s="8"/>
      <c r="B17" s="25"/>
      <c r="C17" s="25"/>
      <c r="D17" s="9"/>
      <c r="E17" s="8"/>
      <c r="F17" s="10"/>
      <c r="G17" s="255"/>
      <c r="H17" s="255"/>
      <c r="I17" s="253"/>
      <c r="J17" s="23"/>
      <c r="K17" s="1"/>
      <c r="L17" s="1"/>
      <c r="M17" s="1"/>
      <c r="N17" s="1"/>
      <c r="O17" s="1"/>
      <c r="P17" s="1"/>
      <c r="Q17" s="1"/>
      <c r="R17" s="1"/>
      <c r="S17" s="1"/>
      <c r="T17" s="1"/>
      <c r="U17" s="1"/>
      <c r="V17" s="1"/>
      <c r="W17" s="1"/>
      <c r="X17" s="1"/>
      <c r="Y17" s="1"/>
      <c r="Z17" s="1"/>
      <c r="AA17" s="1"/>
      <c r="AB17" s="1"/>
    </row>
    <row r="18" spans="1:28" ht="21.9" customHeight="1">
      <c r="A18" s="8"/>
      <c r="B18" s="25"/>
      <c r="C18" s="25"/>
      <c r="D18" s="9"/>
      <c r="E18" s="8"/>
      <c r="F18" s="10"/>
      <c r="G18" s="255"/>
      <c r="H18" s="255"/>
      <c r="I18" s="253"/>
      <c r="J18" s="23"/>
      <c r="K18" s="1"/>
      <c r="L18" s="1"/>
      <c r="M18" s="1"/>
      <c r="N18" s="1"/>
      <c r="O18" s="1"/>
      <c r="P18" s="1"/>
      <c r="Q18" s="1"/>
      <c r="R18" s="1"/>
      <c r="S18" s="1"/>
      <c r="T18" s="1"/>
      <c r="U18" s="1"/>
      <c r="V18" s="1"/>
      <c r="W18" s="1"/>
      <c r="X18" s="1"/>
      <c r="Y18" s="1"/>
      <c r="Z18" s="1"/>
      <c r="AA18" s="1"/>
      <c r="AB18" s="1"/>
    </row>
    <row r="19" spans="1:28" ht="21.9" customHeight="1">
      <c r="A19" s="8"/>
      <c r="B19" s="25"/>
      <c r="C19" s="25"/>
      <c r="D19" s="9"/>
      <c r="E19" s="8"/>
      <c r="F19" s="10"/>
      <c r="G19" s="255"/>
      <c r="H19" s="255"/>
      <c r="I19" s="253"/>
      <c r="J19" s="23"/>
      <c r="K19" s="1"/>
      <c r="L19" s="1"/>
      <c r="M19" s="1"/>
      <c r="N19" s="1"/>
      <c r="O19" s="1"/>
      <c r="P19" s="1"/>
      <c r="Q19" s="1"/>
      <c r="R19" s="1"/>
      <c r="S19" s="1"/>
      <c r="T19" s="1"/>
      <c r="U19" s="1"/>
      <c r="V19" s="1"/>
      <c r="W19" s="1"/>
      <c r="X19" s="1"/>
      <c r="Y19" s="1"/>
      <c r="Z19" s="1"/>
      <c r="AA19" s="1"/>
      <c r="AB19" s="1"/>
    </row>
    <row r="20" spans="1:28" ht="21.9" customHeight="1">
      <c r="A20" s="8"/>
      <c r="B20" s="25"/>
      <c r="C20" s="25"/>
      <c r="D20" s="9"/>
      <c r="E20" s="8"/>
      <c r="F20" s="10"/>
      <c r="G20" s="255"/>
      <c r="H20" s="255"/>
      <c r="I20" s="253"/>
      <c r="J20" s="23"/>
      <c r="K20" s="1"/>
      <c r="L20" s="1"/>
      <c r="M20" s="1"/>
      <c r="N20" s="1"/>
      <c r="O20" s="1"/>
      <c r="P20" s="1"/>
      <c r="Q20" s="1"/>
      <c r="R20" s="1"/>
      <c r="S20" s="1"/>
      <c r="T20" s="1"/>
      <c r="U20" s="1"/>
      <c r="V20" s="1"/>
      <c r="W20" s="1"/>
      <c r="X20" s="1"/>
      <c r="Y20" s="1"/>
      <c r="Z20" s="1"/>
      <c r="AA20" s="1"/>
      <c r="AB20" s="1"/>
    </row>
    <row r="21" spans="1:28" ht="21.9" customHeight="1">
      <c r="A21" s="8"/>
      <c r="B21" s="25"/>
      <c r="C21" s="25"/>
      <c r="D21" s="9"/>
      <c r="E21" s="11"/>
      <c r="F21" s="10"/>
      <c r="G21" s="255"/>
      <c r="H21" s="255"/>
      <c r="I21" s="253"/>
      <c r="J21" s="23"/>
      <c r="K21" s="1"/>
      <c r="L21" s="1"/>
      <c r="M21" s="1"/>
      <c r="N21" s="1"/>
      <c r="O21" s="1"/>
      <c r="P21" s="1"/>
      <c r="Q21" s="1"/>
      <c r="R21" s="1"/>
      <c r="S21" s="1"/>
      <c r="T21" s="1"/>
      <c r="U21" s="1"/>
      <c r="V21" s="1"/>
      <c r="W21" s="1"/>
      <c r="X21" s="1"/>
      <c r="Y21" s="1"/>
      <c r="Z21" s="1"/>
      <c r="AA21" s="1"/>
      <c r="AB21" s="1"/>
    </row>
    <row r="22" spans="1:28" ht="21.9" customHeight="1">
      <c r="A22" s="8"/>
      <c r="B22" s="8" t="s">
        <v>17</v>
      </c>
      <c r="C22" s="25"/>
      <c r="D22" s="9"/>
      <c r="E22" s="11"/>
      <c r="F22" s="10"/>
      <c r="G22" s="255">
        <f>SUM(G5:G9)</f>
        <v>91602532</v>
      </c>
      <c r="H22" s="255"/>
      <c r="I22" s="253"/>
      <c r="J22" s="23"/>
      <c r="K22" s="1"/>
      <c r="L22" s="1"/>
      <c r="M22" s="1"/>
      <c r="N22" s="1"/>
      <c r="O22" s="1"/>
      <c r="P22" s="1"/>
      <c r="Q22" s="1"/>
      <c r="R22" s="1"/>
      <c r="S22" s="1"/>
      <c r="T22" s="1"/>
      <c r="U22" s="1"/>
      <c r="V22" s="1"/>
      <c r="W22" s="1"/>
      <c r="X22" s="1"/>
      <c r="Y22" s="1"/>
      <c r="Z22" s="1"/>
      <c r="AA22" s="1"/>
      <c r="AB22" s="1"/>
    </row>
    <row r="23" spans="1:28" ht="21.9" customHeight="1">
      <c r="A23" s="8"/>
      <c r="B23" s="25"/>
      <c r="C23" s="25"/>
      <c r="D23" s="9"/>
      <c r="E23" s="11"/>
      <c r="F23" s="10"/>
      <c r="G23" s="255"/>
      <c r="H23" s="255"/>
      <c r="I23" s="253"/>
      <c r="J23" s="23"/>
      <c r="K23" s="1"/>
      <c r="L23" s="1"/>
      <c r="M23" s="1"/>
      <c r="N23" s="1"/>
      <c r="O23" s="1"/>
      <c r="P23" s="1"/>
      <c r="Q23" s="1"/>
      <c r="R23" s="1"/>
      <c r="S23" s="1"/>
      <c r="T23" s="1"/>
      <c r="U23" s="1"/>
      <c r="V23" s="1"/>
      <c r="W23" s="1"/>
      <c r="X23" s="1"/>
      <c r="Y23" s="1"/>
      <c r="Z23" s="1"/>
      <c r="AA23" s="1"/>
      <c r="AB23" s="1"/>
    </row>
    <row r="24" spans="1:28" ht="21.9" customHeight="1">
      <c r="A24" s="30"/>
      <c r="B24" s="31"/>
      <c r="C24" s="31"/>
      <c r="D24" s="30" t="s">
        <v>23</v>
      </c>
      <c r="E24" s="31"/>
      <c r="F24" s="31"/>
      <c r="G24" s="31"/>
      <c r="H24" s="32">
        <f>ROWS($H$1:H24)/24+1</f>
        <v>2</v>
      </c>
      <c r="I24" s="253"/>
      <c r="J24" s="23"/>
      <c r="K24" s="1"/>
      <c r="L24" s="1"/>
      <c r="M24" s="1"/>
      <c r="N24" s="1"/>
      <c r="O24" s="1"/>
      <c r="P24" s="1"/>
      <c r="Q24" s="1"/>
      <c r="R24" s="1"/>
      <c r="S24" s="1"/>
      <c r="T24" s="1"/>
      <c r="U24" s="1"/>
      <c r="V24" s="1"/>
      <c r="W24" s="1"/>
      <c r="X24" s="1"/>
      <c r="Y24" s="1"/>
      <c r="Z24" s="1"/>
      <c r="AA24" s="1"/>
      <c r="AB24" s="1"/>
    </row>
    <row r="25" spans="1:28" ht="21.9" customHeight="1"/>
    <row r="26" spans="1:28" ht="21.9" customHeight="1"/>
    <row r="27" spans="1:28" ht="21.9" customHeight="1"/>
    <row r="28" spans="1:28" ht="21.9" customHeight="1"/>
    <row r="29" spans="1:28" ht="21.9" customHeight="1"/>
    <row r="30" spans="1:28" ht="21.9" customHeight="1"/>
    <row r="31" spans="1:28" ht="21.9" customHeight="1"/>
    <row r="32" spans="1:28" ht="21.9" customHeight="1"/>
  </sheetData>
  <phoneticPr fontId="2"/>
  <printOptions horizontalCentered="1" verticalCentered="1"/>
  <pageMargins left="0.31496062992125984" right="0.31496062992125984" top="0.59055118110236227" bottom="0.59055118110236227" header="0.51181102362204722" footer="0.51181102362204722"/>
  <pageSetup paperSize="9" scale="102"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5E952-4ECA-4331-A5A3-4E3356D6FF9B}">
  <sheetPr>
    <tabColor theme="9"/>
  </sheetPr>
  <dimension ref="A1:AB26"/>
  <sheetViews>
    <sheetView showZeros="0" view="pageBreakPreview" topLeftCell="A4" zoomScale="120" zoomScaleNormal="100" zoomScaleSheetLayoutView="120" workbookViewId="0">
      <selection activeCell="C7" sqref="C7"/>
    </sheetView>
  </sheetViews>
  <sheetFormatPr defaultColWidth="9" defaultRowHeight="13.2"/>
  <cols>
    <col min="1" max="1" width="5.88671875" style="57" customWidth="1"/>
    <col min="2" max="2" width="28.6640625" style="57" customWidth="1"/>
    <col min="3" max="3" width="25.88671875" style="57" customWidth="1"/>
    <col min="4" max="4" width="9.6640625" style="57" customWidth="1"/>
    <col min="5" max="5" width="5.6640625" style="57" customWidth="1"/>
    <col min="6" max="6" width="11.6640625" style="57" customWidth="1"/>
    <col min="7" max="7" width="15.88671875" style="57" customWidth="1"/>
    <col min="8" max="8" width="26.88671875" style="57" customWidth="1"/>
    <col min="9" max="9" width="9" style="62"/>
    <col min="10" max="10" width="12.77734375" style="63" bestFit="1" customWidth="1"/>
    <col min="11" max="16384" width="9" style="57"/>
  </cols>
  <sheetData>
    <row r="1" spans="1:28" ht="21.9" customHeight="1">
      <c r="A1" s="19"/>
      <c r="B1" s="1"/>
      <c r="C1" s="1"/>
      <c r="D1" s="20"/>
      <c r="E1" s="19"/>
      <c r="F1" s="21"/>
      <c r="G1" s="55"/>
      <c r="H1" s="22"/>
      <c r="I1" s="56"/>
      <c r="J1" s="23"/>
      <c r="K1" s="1"/>
      <c r="L1" s="1"/>
      <c r="M1" s="1"/>
      <c r="N1" s="1"/>
      <c r="O1" s="1"/>
      <c r="P1" s="1"/>
      <c r="Q1" s="1"/>
      <c r="R1" s="1"/>
      <c r="S1" s="1"/>
      <c r="T1" s="1"/>
      <c r="U1" s="1"/>
      <c r="V1" s="1"/>
      <c r="W1" s="1"/>
      <c r="X1" s="1"/>
      <c r="Y1" s="1"/>
      <c r="Z1" s="1"/>
      <c r="AA1" s="1"/>
      <c r="AB1" s="1"/>
    </row>
    <row r="2" spans="1:28" ht="21.9" customHeight="1">
      <c r="A2" s="24"/>
      <c r="B2" s="25" t="s">
        <v>0</v>
      </c>
      <c r="C2" s="58" t="s">
        <v>1</v>
      </c>
      <c r="D2" s="26" t="s">
        <v>5</v>
      </c>
      <c r="E2" s="8" t="s">
        <v>6</v>
      </c>
      <c r="F2" s="27" t="s">
        <v>20</v>
      </c>
      <c r="G2" s="59" t="s">
        <v>21</v>
      </c>
      <c r="H2" s="28" t="s">
        <v>22</v>
      </c>
      <c r="I2" s="56"/>
      <c r="J2" s="23"/>
      <c r="K2" s="1"/>
      <c r="L2" s="1"/>
      <c r="M2" s="1"/>
      <c r="N2" s="1"/>
      <c r="O2" s="1"/>
      <c r="P2" s="1"/>
      <c r="Q2" s="1"/>
      <c r="R2" s="1"/>
      <c r="S2" s="1"/>
      <c r="T2" s="1"/>
      <c r="U2" s="1"/>
      <c r="V2" s="1"/>
      <c r="W2" s="1"/>
      <c r="X2" s="1"/>
      <c r="Y2" s="1"/>
      <c r="Z2" s="1"/>
      <c r="AA2" s="1"/>
      <c r="AB2" s="1"/>
    </row>
    <row r="3" spans="1:28" ht="21.9" customHeight="1">
      <c r="A3" s="8">
        <v>1</v>
      </c>
      <c r="B3" s="45" t="s">
        <v>34</v>
      </c>
      <c r="C3" s="25"/>
      <c r="D3" s="9"/>
      <c r="E3" s="8"/>
      <c r="F3" s="27"/>
      <c r="G3" s="60"/>
      <c r="H3" s="28"/>
      <c r="I3" s="56"/>
      <c r="J3" s="23"/>
      <c r="K3" s="1"/>
      <c r="L3" s="1"/>
      <c r="M3" s="1"/>
      <c r="N3" s="1"/>
      <c r="O3" s="1"/>
      <c r="P3" s="1"/>
      <c r="Q3" s="1"/>
      <c r="R3" s="1"/>
      <c r="S3" s="1"/>
      <c r="T3" s="1"/>
      <c r="U3" s="1"/>
      <c r="V3" s="1"/>
      <c r="W3" s="1"/>
      <c r="X3" s="1"/>
      <c r="Y3" s="1"/>
      <c r="Z3" s="1"/>
      <c r="AA3" s="1"/>
      <c r="AB3" s="1"/>
    </row>
    <row r="4" spans="1:28" ht="21.9" customHeight="1">
      <c r="A4" s="8"/>
      <c r="B4" s="25"/>
      <c r="C4" s="25"/>
      <c r="D4" s="9"/>
      <c r="E4" s="11"/>
      <c r="F4" s="61"/>
      <c r="G4" s="60"/>
      <c r="H4" s="29"/>
      <c r="I4" s="56"/>
      <c r="J4" s="23"/>
      <c r="K4" s="1"/>
      <c r="L4" s="1"/>
      <c r="M4" s="1"/>
      <c r="N4" s="1"/>
      <c r="O4" s="1"/>
      <c r="P4" s="1"/>
      <c r="Q4" s="1"/>
      <c r="R4" s="1"/>
      <c r="S4" s="1"/>
      <c r="T4" s="1"/>
      <c r="U4" s="1"/>
      <c r="V4" s="1"/>
      <c r="W4" s="1"/>
      <c r="X4" s="1"/>
      <c r="Y4" s="1"/>
      <c r="Z4" s="1"/>
      <c r="AA4" s="1"/>
      <c r="AB4" s="1"/>
    </row>
    <row r="5" spans="1:28" ht="21.9" customHeight="1">
      <c r="A5" s="8" t="s">
        <v>132</v>
      </c>
      <c r="B5" s="46" t="s">
        <v>158</v>
      </c>
      <c r="C5" s="25"/>
      <c r="D5" s="9">
        <v>1</v>
      </c>
      <c r="E5" s="11" t="s">
        <v>15</v>
      </c>
      <c r="F5" s="61"/>
      <c r="G5" s="61">
        <f>'空調(明細)'!G70</f>
        <v>37584400</v>
      </c>
      <c r="H5" s="61"/>
      <c r="I5" s="56"/>
      <c r="J5" s="23"/>
      <c r="K5" s="1"/>
      <c r="L5" s="1"/>
      <c r="M5" s="1"/>
      <c r="N5" s="1"/>
      <c r="O5" s="1"/>
      <c r="P5" s="1"/>
      <c r="Q5" s="1"/>
      <c r="R5" s="1"/>
      <c r="S5" s="1"/>
      <c r="T5" s="1"/>
      <c r="U5" s="1"/>
      <c r="V5" s="1"/>
      <c r="W5" s="1"/>
      <c r="X5" s="1"/>
      <c r="Y5" s="1"/>
      <c r="Z5" s="1"/>
      <c r="AA5" s="1"/>
      <c r="AB5" s="1"/>
    </row>
    <row r="6" spans="1:28" ht="21.9" customHeight="1">
      <c r="A6" s="8" t="s">
        <v>133</v>
      </c>
      <c r="B6" s="46" t="s">
        <v>36</v>
      </c>
      <c r="C6" s="46" t="s">
        <v>587</v>
      </c>
      <c r="D6" s="9">
        <v>1</v>
      </c>
      <c r="E6" s="11" t="s">
        <v>15</v>
      </c>
      <c r="F6" s="61"/>
      <c r="G6" s="61">
        <f>'空調(明細)'!G118</f>
        <v>27898200</v>
      </c>
      <c r="H6" s="61"/>
      <c r="I6" s="56"/>
      <c r="J6" s="23"/>
      <c r="K6" s="1"/>
      <c r="L6" s="1"/>
      <c r="M6" s="1"/>
      <c r="N6" s="1"/>
      <c r="O6" s="1"/>
      <c r="P6" s="1"/>
      <c r="Q6" s="1"/>
      <c r="R6" s="1"/>
      <c r="S6" s="1"/>
      <c r="T6" s="1"/>
      <c r="U6" s="1"/>
      <c r="V6" s="1"/>
      <c r="W6" s="1"/>
      <c r="X6" s="1"/>
      <c r="Y6" s="1"/>
      <c r="Z6" s="1"/>
      <c r="AA6" s="1"/>
      <c r="AB6" s="1"/>
    </row>
    <row r="7" spans="1:28" ht="21.9" customHeight="1">
      <c r="A7" s="8" t="s">
        <v>134</v>
      </c>
      <c r="B7" s="46" t="s">
        <v>164</v>
      </c>
      <c r="C7" s="25"/>
      <c r="D7" s="9">
        <v>1</v>
      </c>
      <c r="E7" s="11" t="s">
        <v>15</v>
      </c>
      <c r="F7" s="61"/>
      <c r="G7" s="61">
        <f>'空調(明細)'!G166</f>
        <v>5982450</v>
      </c>
      <c r="H7" s="61"/>
      <c r="I7" s="56"/>
      <c r="J7" s="23"/>
      <c r="K7" s="1"/>
      <c r="L7" s="1"/>
      <c r="M7" s="1"/>
      <c r="N7" s="1"/>
      <c r="O7" s="1"/>
      <c r="P7" s="1"/>
      <c r="Q7" s="1"/>
      <c r="R7" s="1"/>
      <c r="S7" s="1"/>
      <c r="T7" s="1"/>
      <c r="U7" s="1"/>
      <c r="V7" s="1"/>
      <c r="W7" s="1"/>
      <c r="X7" s="1"/>
      <c r="Y7" s="1"/>
      <c r="Z7" s="1"/>
      <c r="AA7" s="1"/>
      <c r="AB7" s="1"/>
    </row>
    <row r="8" spans="1:28" ht="21.9" customHeight="1">
      <c r="A8" s="351" t="s">
        <v>165</v>
      </c>
      <c r="B8" s="46" t="s">
        <v>166</v>
      </c>
      <c r="C8" s="25"/>
      <c r="D8" s="9">
        <v>1</v>
      </c>
      <c r="E8" s="11" t="s">
        <v>15</v>
      </c>
      <c r="F8" s="61"/>
      <c r="G8" s="61">
        <f>'空調(明細)'!G214</f>
        <v>6870160</v>
      </c>
      <c r="H8" s="61"/>
      <c r="I8" s="56"/>
      <c r="J8" s="23"/>
      <c r="K8" s="1"/>
      <c r="L8" s="1"/>
      <c r="M8" s="1"/>
      <c r="N8" s="1"/>
      <c r="O8" s="1"/>
      <c r="P8" s="1"/>
      <c r="Q8" s="1"/>
      <c r="R8" s="1"/>
      <c r="S8" s="1"/>
      <c r="T8" s="1"/>
      <c r="U8" s="1"/>
      <c r="V8" s="1"/>
      <c r="W8" s="1"/>
      <c r="X8" s="1"/>
      <c r="Y8" s="1"/>
      <c r="Z8" s="1"/>
      <c r="AA8" s="1"/>
      <c r="AB8" s="1"/>
    </row>
    <row r="9" spans="1:28" ht="21.9" customHeight="1">
      <c r="A9" s="351"/>
      <c r="B9" s="46"/>
      <c r="C9" s="25"/>
      <c r="D9" s="9"/>
      <c r="E9" s="11"/>
      <c r="F9" s="61"/>
      <c r="G9" s="61"/>
      <c r="H9" s="61"/>
      <c r="I9" s="56"/>
      <c r="J9" s="23"/>
      <c r="K9" s="1"/>
      <c r="L9" s="1"/>
      <c r="M9" s="1"/>
      <c r="N9" s="1"/>
      <c r="O9" s="1"/>
      <c r="P9" s="1"/>
      <c r="Q9" s="1"/>
      <c r="R9" s="1"/>
      <c r="S9" s="1"/>
      <c r="T9" s="1"/>
      <c r="U9" s="1"/>
      <c r="V9" s="1"/>
      <c r="W9" s="1"/>
      <c r="X9" s="1"/>
      <c r="Y9" s="1"/>
      <c r="Z9" s="1"/>
      <c r="AA9" s="1"/>
      <c r="AB9" s="1"/>
    </row>
    <row r="10" spans="1:28" ht="21.9" customHeight="1">
      <c r="A10" s="351"/>
      <c r="B10" s="46"/>
      <c r="C10" s="25"/>
      <c r="D10" s="9"/>
      <c r="E10" s="11"/>
      <c r="F10" s="10"/>
      <c r="G10" s="61"/>
      <c r="H10" s="61"/>
      <c r="I10" s="56"/>
      <c r="J10" s="23"/>
      <c r="K10" s="1"/>
      <c r="L10" s="1"/>
      <c r="M10" s="1"/>
      <c r="N10" s="1"/>
      <c r="O10" s="1"/>
      <c r="P10" s="1"/>
      <c r="Q10" s="1"/>
      <c r="R10" s="1"/>
      <c r="S10" s="1"/>
      <c r="T10" s="1"/>
      <c r="U10" s="1"/>
      <c r="V10" s="1"/>
      <c r="W10" s="1"/>
      <c r="X10" s="1"/>
      <c r="Y10" s="1"/>
      <c r="Z10" s="1"/>
      <c r="AA10" s="1"/>
      <c r="AB10" s="1"/>
    </row>
    <row r="11" spans="1:28" ht="21.9" customHeight="1">
      <c r="A11" s="350"/>
      <c r="B11" s="25"/>
      <c r="C11" s="25"/>
      <c r="D11" s="9"/>
      <c r="E11" s="11"/>
      <c r="F11" s="10"/>
      <c r="G11" s="61"/>
      <c r="H11" s="61"/>
      <c r="I11" s="56"/>
      <c r="J11" s="23"/>
      <c r="K11" s="1"/>
      <c r="L11" s="1"/>
      <c r="M11" s="1"/>
      <c r="N11" s="1"/>
      <c r="O11" s="1"/>
      <c r="P11" s="1"/>
      <c r="Q11" s="1"/>
      <c r="R11" s="1"/>
      <c r="S11" s="1"/>
      <c r="T11" s="1"/>
      <c r="U11" s="1"/>
      <c r="V11" s="1"/>
      <c r="W11" s="1"/>
      <c r="X11" s="1"/>
      <c r="Y11" s="1"/>
      <c r="Z11" s="1"/>
      <c r="AA11" s="1"/>
      <c r="AB11" s="1"/>
    </row>
    <row r="12" spans="1:28" ht="21.9" customHeight="1">
      <c r="A12" s="8"/>
      <c r="B12" s="25"/>
      <c r="C12" s="25"/>
      <c r="D12" s="9"/>
      <c r="E12" s="11"/>
      <c r="F12" s="10"/>
      <c r="G12" s="61"/>
      <c r="H12" s="61"/>
      <c r="I12" s="56"/>
      <c r="J12" s="23"/>
      <c r="K12" s="1"/>
      <c r="L12" s="1"/>
      <c r="M12" s="1"/>
      <c r="N12" s="1"/>
      <c r="O12" s="1"/>
      <c r="P12" s="1"/>
      <c r="Q12" s="1"/>
      <c r="R12" s="1"/>
      <c r="S12" s="1"/>
      <c r="T12" s="1"/>
      <c r="U12" s="1"/>
      <c r="V12" s="1"/>
      <c r="W12" s="1"/>
      <c r="X12" s="1"/>
      <c r="Y12" s="1"/>
      <c r="Z12" s="1"/>
      <c r="AA12" s="1"/>
      <c r="AB12" s="1"/>
    </row>
    <row r="13" spans="1:28" ht="21.9" customHeight="1">
      <c r="A13" s="8"/>
      <c r="B13" s="25"/>
      <c r="C13" s="25"/>
      <c r="D13" s="9"/>
      <c r="E13" s="11"/>
      <c r="F13" s="10"/>
      <c r="G13" s="61"/>
      <c r="H13" s="61"/>
      <c r="I13" s="56"/>
      <c r="J13" s="23"/>
      <c r="K13" s="1"/>
      <c r="L13" s="1"/>
      <c r="M13" s="1"/>
      <c r="N13" s="1"/>
      <c r="O13" s="1"/>
      <c r="P13" s="1"/>
      <c r="Q13" s="1"/>
      <c r="R13" s="1"/>
      <c r="S13" s="1"/>
      <c r="T13" s="1"/>
      <c r="U13" s="1"/>
      <c r="V13" s="1"/>
      <c r="W13" s="1"/>
      <c r="X13" s="1"/>
      <c r="Y13" s="1"/>
      <c r="Z13" s="1"/>
      <c r="AA13" s="1"/>
      <c r="AB13" s="1"/>
    </row>
    <row r="14" spans="1:28" ht="21.9" customHeight="1">
      <c r="A14" s="8"/>
      <c r="B14" s="25"/>
      <c r="C14" s="25"/>
      <c r="D14" s="9"/>
      <c r="E14" s="11"/>
      <c r="F14" s="10"/>
      <c r="G14" s="61"/>
      <c r="H14" s="61"/>
      <c r="I14" s="56"/>
      <c r="J14" s="23"/>
      <c r="K14" s="1"/>
      <c r="L14" s="1"/>
      <c r="M14" s="1"/>
      <c r="N14" s="1"/>
      <c r="O14" s="1"/>
      <c r="P14" s="1"/>
      <c r="Q14" s="1"/>
      <c r="R14" s="1"/>
      <c r="S14" s="1"/>
      <c r="T14" s="1"/>
      <c r="U14" s="1"/>
      <c r="V14" s="1"/>
      <c r="W14" s="1"/>
      <c r="X14" s="1"/>
      <c r="Y14" s="1"/>
      <c r="Z14" s="1"/>
      <c r="AA14" s="1"/>
      <c r="AB14" s="1"/>
    </row>
    <row r="15" spans="1:28" ht="21.9" customHeight="1">
      <c r="A15" s="8"/>
      <c r="B15" s="25"/>
      <c r="C15" s="25"/>
      <c r="D15" s="9"/>
      <c r="E15" s="11"/>
      <c r="F15" s="10"/>
      <c r="G15" s="61"/>
      <c r="H15" s="61"/>
      <c r="I15" s="56"/>
      <c r="J15" s="23"/>
      <c r="K15" s="1"/>
      <c r="L15" s="1"/>
      <c r="M15" s="1"/>
      <c r="N15" s="1"/>
      <c r="O15" s="1"/>
      <c r="P15" s="1"/>
      <c r="Q15" s="1"/>
      <c r="R15" s="1"/>
      <c r="S15" s="1"/>
      <c r="T15" s="1"/>
      <c r="U15" s="1"/>
      <c r="V15" s="1"/>
      <c r="W15" s="1"/>
      <c r="X15" s="1"/>
      <c r="Y15" s="1"/>
      <c r="Z15" s="1"/>
      <c r="AA15" s="1"/>
      <c r="AB15" s="1"/>
    </row>
    <row r="16" spans="1:28" ht="21.9" customHeight="1">
      <c r="A16" s="8"/>
      <c r="B16" s="25"/>
      <c r="C16" s="25"/>
      <c r="D16" s="9"/>
      <c r="E16" s="11"/>
      <c r="F16" s="10"/>
      <c r="G16" s="61"/>
      <c r="H16" s="61"/>
      <c r="I16" s="56"/>
      <c r="J16" s="23"/>
      <c r="K16" s="1"/>
      <c r="L16" s="1"/>
      <c r="M16" s="1"/>
      <c r="N16" s="1"/>
      <c r="O16" s="1"/>
      <c r="P16" s="1"/>
      <c r="Q16" s="1"/>
      <c r="R16" s="1"/>
      <c r="S16" s="1"/>
      <c r="T16" s="1"/>
      <c r="U16" s="1"/>
      <c r="V16" s="1"/>
      <c r="W16" s="1"/>
      <c r="X16" s="1"/>
      <c r="Y16" s="1"/>
      <c r="Z16" s="1"/>
      <c r="AA16" s="1"/>
      <c r="AB16" s="1"/>
    </row>
    <row r="17" spans="1:28" ht="21.9" customHeight="1">
      <c r="A17" s="8"/>
      <c r="B17" s="25"/>
      <c r="C17" s="25"/>
      <c r="D17" s="9"/>
      <c r="E17" s="8"/>
      <c r="F17" s="10"/>
      <c r="G17" s="61"/>
      <c r="H17" s="61"/>
      <c r="I17" s="56"/>
      <c r="J17" s="23"/>
      <c r="K17" s="1"/>
      <c r="L17" s="1"/>
      <c r="M17" s="1"/>
      <c r="N17" s="1"/>
      <c r="O17" s="1"/>
      <c r="P17" s="1"/>
      <c r="Q17" s="1"/>
      <c r="R17" s="1"/>
      <c r="S17" s="1"/>
      <c r="T17" s="1"/>
      <c r="U17" s="1"/>
      <c r="V17" s="1"/>
      <c r="W17" s="1"/>
      <c r="X17" s="1"/>
      <c r="Y17" s="1"/>
      <c r="Z17" s="1"/>
      <c r="AA17" s="1"/>
      <c r="AB17" s="1"/>
    </row>
    <row r="18" spans="1:28" ht="21.9" customHeight="1">
      <c r="A18" s="8"/>
      <c r="B18" s="25"/>
      <c r="C18" s="25"/>
      <c r="D18" s="9"/>
      <c r="E18" s="8"/>
      <c r="F18" s="10"/>
      <c r="G18" s="61"/>
      <c r="H18" s="61"/>
      <c r="I18" s="56"/>
      <c r="J18" s="23"/>
      <c r="K18" s="1"/>
      <c r="L18" s="1"/>
      <c r="M18" s="1"/>
      <c r="N18" s="1"/>
      <c r="O18" s="1"/>
      <c r="P18" s="1"/>
      <c r="Q18" s="1"/>
      <c r="R18" s="1"/>
      <c r="S18" s="1"/>
      <c r="T18" s="1"/>
      <c r="U18" s="1"/>
      <c r="V18" s="1"/>
      <c r="W18" s="1"/>
      <c r="X18" s="1"/>
      <c r="Y18" s="1"/>
      <c r="Z18" s="1"/>
      <c r="AA18" s="1"/>
      <c r="AB18" s="1"/>
    </row>
    <row r="19" spans="1:28" ht="21.9" customHeight="1">
      <c r="A19" s="8"/>
      <c r="B19" s="25"/>
      <c r="C19" s="25"/>
      <c r="D19" s="9"/>
      <c r="E19" s="8"/>
      <c r="F19" s="10"/>
      <c r="G19" s="61"/>
      <c r="H19" s="61"/>
      <c r="I19" s="56"/>
      <c r="J19" s="23"/>
      <c r="K19" s="1"/>
      <c r="L19" s="1"/>
      <c r="M19" s="1"/>
      <c r="N19" s="1"/>
      <c r="O19" s="1"/>
      <c r="P19" s="1"/>
      <c r="Q19" s="1"/>
      <c r="R19" s="1"/>
      <c r="S19" s="1"/>
      <c r="T19" s="1"/>
      <c r="U19" s="1"/>
      <c r="V19" s="1"/>
      <c r="W19" s="1"/>
      <c r="X19" s="1"/>
      <c r="Y19" s="1"/>
      <c r="Z19" s="1"/>
      <c r="AA19" s="1"/>
      <c r="AB19" s="1"/>
    </row>
    <row r="20" spans="1:28" ht="21.9" customHeight="1">
      <c r="A20" s="8"/>
      <c r="B20" s="25"/>
      <c r="C20" s="25"/>
      <c r="D20" s="9"/>
      <c r="E20" s="8"/>
      <c r="F20" s="10"/>
      <c r="G20" s="61"/>
      <c r="H20" s="61"/>
      <c r="I20" s="56"/>
      <c r="J20" s="23"/>
      <c r="K20" s="1"/>
      <c r="L20" s="1"/>
      <c r="M20" s="1"/>
      <c r="N20" s="1"/>
      <c r="O20" s="1"/>
      <c r="P20" s="1"/>
      <c r="Q20" s="1"/>
      <c r="R20" s="1"/>
      <c r="S20" s="1"/>
      <c r="T20" s="1"/>
      <c r="U20" s="1"/>
      <c r="V20" s="1"/>
      <c r="W20" s="1"/>
      <c r="X20" s="1"/>
      <c r="Y20" s="1"/>
      <c r="Z20" s="1"/>
      <c r="AA20" s="1"/>
      <c r="AB20" s="1"/>
    </row>
    <row r="21" spans="1:28" ht="21.9" customHeight="1">
      <c r="A21" s="8"/>
      <c r="B21" s="25"/>
      <c r="C21" s="25"/>
      <c r="D21" s="9"/>
      <c r="E21" s="11"/>
      <c r="F21" s="10"/>
      <c r="G21" s="61"/>
      <c r="H21" s="61"/>
      <c r="I21" s="56"/>
      <c r="J21" s="23"/>
      <c r="K21" s="1"/>
      <c r="L21" s="1"/>
      <c r="M21" s="1"/>
      <c r="N21" s="1"/>
      <c r="O21" s="1"/>
      <c r="P21" s="1"/>
      <c r="Q21" s="1"/>
      <c r="R21" s="1"/>
      <c r="S21" s="1"/>
      <c r="T21" s="1"/>
      <c r="U21" s="1"/>
      <c r="V21" s="1"/>
      <c r="W21" s="1"/>
      <c r="X21" s="1"/>
      <c r="Y21" s="1"/>
      <c r="Z21" s="1"/>
      <c r="AA21" s="1"/>
      <c r="AB21" s="1"/>
    </row>
    <row r="22" spans="1:28" ht="21.9" customHeight="1">
      <c r="A22" s="8"/>
      <c r="B22" s="8" t="s">
        <v>17</v>
      </c>
      <c r="C22" s="25"/>
      <c r="D22" s="9"/>
      <c r="E22" s="11"/>
      <c r="F22" s="10"/>
      <c r="G22" s="61">
        <f>SUM(G5:G21)</f>
        <v>78335210</v>
      </c>
      <c r="H22" s="61"/>
      <c r="I22" s="56"/>
      <c r="J22" s="23"/>
      <c r="K22" s="1"/>
      <c r="L22" s="1"/>
      <c r="M22" s="1"/>
      <c r="N22" s="1"/>
      <c r="O22" s="1"/>
      <c r="P22" s="1"/>
      <c r="Q22" s="1"/>
      <c r="R22" s="1"/>
      <c r="S22" s="1"/>
      <c r="T22" s="1"/>
      <c r="U22" s="1"/>
      <c r="V22" s="1"/>
      <c r="W22" s="1"/>
      <c r="X22" s="1"/>
      <c r="Y22" s="1"/>
      <c r="Z22" s="1"/>
      <c r="AA22" s="1"/>
      <c r="AB22" s="1"/>
    </row>
    <row r="23" spans="1:28" ht="21.9" customHeight="1">
      <c r="A23" s="8"/>
      <c r="B23" s="25"/>
      <c r="C23" s="25"/>
      <c r="D23" s="9"/>
      <c r="E23" s="11"/>
      <c r="F23" s="10"/>
      <c r="G23" s="61"/>
      <c r="H23" s="61"/>
      <c r="I23" s="56"/>
      <c r="J23" s="23"/>
      <c r="K23" s="1"/>
      <c r="L23" s="1"/>
      <c r="M23" s="1"/>
      <c r="N23" s="1"/>
      <c r="O23" s="1"/>
      <c r="P23" s="1"/>
      <c r="Q23" s="1"/>
      <c r="R23" s="1"/>
      <c r="S23" s="1"/>
      <c r="T23" s="1"/>
      <c r="U23" s="1"/>
      <c r="V23" s="1"/>
      <c r="W23" s="1"/>
      <c r="X23" s="1"/>
      <c r="Y23" s="1"/>
      <c r="Z23" s="1"/>
      <c r="AA23" s="1"/>
      <c r="AB23" s="1"/>
    </row>
    <row r="24" spans="1:28" ht="21.9" customHeight="1">
      <c r="A24" s="30"/>
      <c r="B24" s="31"/>
      <c r="C24" s="31"/>
      <c r="D24" s="30" t="s">
        <v>23</v>
      </c>
      <c r="E24" s="31"/>
      <c r="F24" s="31"/>
      <c r="G24" s="31"/>
      <c r="H24" s="32">
        <v>3</v>
      </c>
      <c r="I24" s="56"/>
      <c r="J24" s="23"/>
      <c r="K24" s="1"/>
      <c r="L24" s="1"/>
      <c r="M24" s="1"/>
      <c r="N24" s="1"/>
      <c r="O24" s="1"/>
      <c r="P24" s="1"/>
      <c r="Q24" s="1"/>
      <c r="R24" s="1"/>
      <c r="S24" s="1"/>
      <c r="T24" s="1"/>
      <c r="U24" s="1"/>
      <c r="V24" s="1"/>
      <c r="W24" s="1"/>
      <c r="X24" s="1"/>
      <c r="Y24" s="1"/>
      <c r="Z24" s="1"/>
      <c r="AA24" s="1"/>
      <c r="AB24" s="1"/>
    </row>
    <row r="25" spans="1:28" ht="21.9" customHeight="1"/>
    <row r="26" spans="1:28" ht="21.9" customHeight="1"/>
  </sheetData>
  <phoneticPr fontId="48"/>
  <printOptions horizontalCentered="1" verticalCentered="1"/>
  <pageMargins left="0.31496062992125984" right="0.31496062992125984" top="0.59055118110236227" bottom="0.59055118110236227" header="0.51181102362204722" footer="0.51181102362204722"/>
  <pageSetup paperSize="9" scale="102"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61A94-CA3B-42E3-BC37-D1EDBE00EC75}">
  <sheetPr>
    <tabColor theme="9"/>
  </sheetPr>
  <dimension ref="A1:T239"/>
  <sheetViews>
    <sheetView showZeros="0" view="pageBreakPreview" topLeftCell="A130" zoomScale="120" zoomScaleNormal="100" zoomScaleSheetLayoutView="120" workbookViewId="0">
      <selection activeCell="H138" sqref="H138"/>
    </sheetView>
  </sheetViews>
  <sheetFormatPr defaultColWidth="9" defaultRowHeight="13.2"/>
  <cols>
    <col min="1" max="1" width="5.88671875" style="57" customWidth="1"/>
    <col min="2" max="2" width="28.6640625" style="57" customWidth="1"/>
    <col min="3" max="3" width="25.88671875" style="57" customWidth="1"/>
    <col min="4" max="4" width="9.6640625" style="319" customWidth="1"/>
    <col min="5" max="5" width="5.6640625" style="320" customWidth="1"/>
    <col min="6" max="6" width="11.6640625" style="57" customWidth="1"/>
    <col min="7" max="7" width="15.88671875" style="57" customWidth="1"/>
    <col min="8" max="8" width="26.88671875" style="57" customWidth="1"/>
    <col min="9" max="16384" width="9" style="57"/>
  </cols>
  <sheetData>
    <row r="1" spans="1:20" ht="21.9" customHeight="1">
      <c r="A1" s="287"/>
      <c r="B1" s="288"/>
      <c r="C1" s="12"/>
      <c r="D1" s="289"/>
      <c r="E1" s="287"/>
      <c r="F1" s="290"/>
      <c r="G1" s="291"/>
      <c r="H1" s="290"/>
      <c r="I1" s="292"/>
      <c r="J1" s="292"/>
      <c r="K1" s="292"/>
      <c r="L1" s="292"/>
      <c r="M1" s="292"/>
      <c r="N1" s="292"/>
      <c r="O1" s="292"/>
      <c r="P1" s="292"/>
      <c r="Q1" s="292"/>
      <c r="R1" s="292"/>
      <c r="S1" s="292"/>
      <c r="T1" s="292"/>
    </row>
    <row r="2" spans="1:20" ht="21.9" customHeight="1">
      <c r="A2" s="293"/>
      <c r="B2" s="294" t="s">
        <v>0</v>
      </c>
      <c r="C2" s="295" t="s">
        <v>1</v>
      </c>
      <c r="D2" s="296" t="s">
        <v>5</v>
      </c>
      <c r="E2" s="297" t="s">
        <v>6</v>
      </c>
      <c r="F2" s="298" t="s">
        <v>20</v>
      </c>
      <c r="G2" s="299" t="s">
        <v>21</v>
      </c>
      <c r="H2" s="298" t="s">
        <v>3</v>
      </c>
      <c r="I2" s="292"/>
      <c r="J2" s="292"/>
      <c r="K2" s="292"/>
      <c r="L2" s="292"/>
      <c r="M2" s="292"/>
      <c r="N2" s="292"/>
      <c r="O2" s="292"/>
      <c r="P2" s="292"/>
      <c r="Q2" s="292"/>
      <c r="R2" s="292"/>
      <c r="S2" s="292"/>
      <c r="T2" s="292"/>
    </row>
    <row r="3" spans="1:20" ht="21.9" customHeight="1">
      <c r="A3" s="348" t="s">
        <v>160</v>
      </c>
      <c r="B3" s="345" t="s">
        <v>159</v>
      </c>
      <c r="C3" s="307"/>
      <c r="D3" s="296"/>
      <c r="E3" s="297"/>
      <c r="F3" s="298"/>
      <c r="G3" s="299"/>
      <c r="H3" s="298"/>
      <c r="I3" s="292"/>
      <c r="J3" s="292"/>
      <c r="K3" s="292"/>
      <c r="L3" s="292"/>
      <c r="M3" s="292"/>
      <c r="N3" s="292"/>
      <c r="O3" s="292"/>
      <c r="P3" s="292"/>
      <c r="Q3" s="292"/>
      <c r="R3" s="292"/>
      <c r="S3" s="292"/>
      <c r="T3" s="292"/>
    </row>
    <row r="4" spans="1:20" ht="21.9" customHeight="1">
      <c r="A4" s="300"/>
      <c r="B4" s="301" t="s">
        <v>135</v>
      </c>
      <c r="C4" s="307" t="s">
        <v>136</v>
      </c>
      <c r="D4" s="303"/>
      <c r="E4" s="297"/>
      <c r="F4" s="304"/>
      <c r="G4" s="305"/>
      <c r="H4" s="304"/>
      <c r="I4" s="292"/>
      <c r="J4" s="292"/>
      <c r="K4" s="292"/>
      <c r="L4" s="292"/>
      <c r="M4" s="292"/>
      <c r="N4" s="292"/>
      <c r="O4" s="292"/>
      <c r="P4" s="292"/>
      <c r="Q4" s="292"/>
      <c r="R4" s="292"/>
      <c r="S4" s="292"/>
      <c r="T4" s="292"/>
    </row>
    <row r="5" spans="1:20" ht="21.9" customHeight="1">
      <c r="A5" s="300"/>
      <c r="B5" s="345" t="s">
        <v>168</v>
      </c>
      <c r="C5" s="352" t="s">
        <v>170</v>
      </c>
      <c r="D5" s="303">
        <v>1</v>
      </c>
      <c r="E5" s="297" t="s">
        <v>53</v>
      </c>
      <c r="F5" s="304">
        <f>'GHP空調機-複単'!U10</f>
        <v>8650000</v>
      </c>
      <c r="G5" s="305">
        <f t="shared" ref="G5:G10" si="0">ROUNDDOWN(D5*F5,0)</f>
        <v>8650000</v>
      </c>
      <c r="H5" s="360" t="s">
        <v>250</v>
      </c>
      <c r="I5" s="292"/>
      <c r="J5" s="292"/>
      <c r="K5" s="292"/>
      <c r="L5" s="292"/>
      <c r="M5" s="292"/>
      <c r="N5" s="292"/>
      <c r="O5" s="292"/>
      <c r="P5" s="292"/>
      <c r="Q5" s="292"/>
      <c r="R5" s="292"/>
      <c r="S5" s="292"/>
      <c r="T5" s="292"/>
    </row>
    <row r="6" spans="1:20" ht="21.9" customHeight="1">
      <c r="A6" s="300"/>
      <c r="B6" s="301" t="s">
        <v>139</v>
      </c>
      <c r="C6" s="352" t="s">
        <v>169</v>
      </c>
      <c r="D6" s="303"/>
      <c r="E6" s="297"/>
      <c r="F6" s="304"/>
      <c r="G6" s="305"/>
      <c r="H6" s="304"/>
      <c r="I6" s="292"/>
      <c r="J6" s="292"/>
      <c r="K6" s="292"/>
      <c r="L6" s="292"/>
      <c r="M6" s="292"/>
      <c r="N6" s="292"/>
      <c r="O6" s="292"/>
      <c r="P6" s="292"/>
      <c r="Q6" s="292"/>
      <c r="R6" s="292"/>
      <c r="S6" s="292"/>
      <c r="T6" s="292"/>
    </row>
    <row r="7" spans="1:20" ht="21.9" customHeight="1">
      <c r="A7" s="300"/>
      <c r="B7" s="301" t="s">
        <v>140</v>
      </c>
      <c r="C7" s="307" t="s">
        <v>136</v>
      </c>
      <c r="D7" s="303"/>
      <c r="E7" s="297"/>
      <c r="F7" s="304"/>
      <c r="G7" s="305"/>
      <c r="H7" s="304"/>
      <c r="I7" s="292"/>
      <c r="J7" s="292"/>
      <c r="K7" s="292"/>
      <c r="L7" s="292"/>
      <c r="M7" s="292"/>
      <c r="N7" s="292"/>
      <c r="O7" s="292"/>
      <c r="P7" s="292"/>
      <c r="Q7" s="292"/>
      <c r="R7" s="292"/>
      <c r="S7" s="292"/>
      <c r="T7" s="292"/>
    </row>
    <row r="8" spans="1:20" ht="21.9" customHeight="1">
      <c r="A8" s="300"/>
      <c r="B8" s="301"/>
      <c r="C8" s="307" t="s">
        <v>136</v>
      </c>
      <c r="D8" s="303"/>
      <c r="E8" s="297"/>
      <c r="F8" s="304"/>
      <c r="G8" s="305"/>
      <c r="H8" s="304"/>
      <c r="I8" s="292"/>
      <c r="J8" s="292"/>
      <c r="K8" s="292"/>
      <c r="L8" s="292"/>
      <c r="M8" s="292"/>
      <c r="N8" s="292"/>
      <c r="O8" s="292"/>
      <c r="P8" s="292"/>
      <c r="Q8" s="292"/>
      <c r="R8" s="292"/>
      <c r="S8" s="292"/>
      <c r="T8" s="292"/>
    </row>
    <row r="9" spans="1:20" ht="21.9" customHeight="1">
      <c r="A9" s="300"/>
      <c r="B9" s="301" t="s">
        <v>141</v>
      </c>
      <c r="C9" s="307" t="s">
        <v>136</v>
      </c>
      <c r="D9" s="303"/>
      <c r="E9" s="297"/>
      <c r="F9" s="304"/>
      <c r="G9" s="305"/>
      <c r="H9" s="304"/>
      <c r="I9" s="292"/>
      <c r="J9" s="292"/>
      <c r="K9" s="292"/>
      <c r="L9" s="292"/>
      <c r="M9" s="292"/>
      <c r="N9" s="292"/>
      <c r="O9" s="292"/>
      <c r="P9" s="292"/>
      <c r="Q9" s="292"/>
      <c r="R9" s="292"/>
      <c r="S9" s="292"/>
      <c r="T9" s="292"/>
    </row>
    <row r="10" spans="1:20" ht="21.9" customHeight="1">
      <c r="A10" s="300"/>
      <c r="B10" s="301" t="s">
        <v>137</v>
      </c>
      <c r="C10" s="352" t="s">
        <v>564</v>
      </c>
      <c r="D10" s="303">
        <v>4</v>
      </c>
      <c r="E10" s="297" t="s">
        <v>53</v>
      </c>
      <c r="F10" s="304">
        <f>'GHP空調機-複単'!U11</f>
        <v>653000</v>
      </c>
      <c r="G10" s="305">
        <f t="shared" si="0"/>
        <v>2612000</v>
      </c>
      <c r="H10" s="360" t="s">
        <v>250</v>
      </c>
      <c r="I10" s="292"/>
      <c r="J10" s="292"/>
      <c r="K10" s="292"/>
      <c r="L10" s="292"/>
      <c r="M10" s="292"/>
      <c r="N10" s="292"/>
      <c r="O10" s="292"/>
      <c r="P10" s="292"/>
      <c r="Q10" s="292"/>
      <c r="R10" s="292"/>
      <c r="S10" s="292"/>
      <c r="T10" s="292"/>
    </row>
    <row r="11" spans="1:20" ht="21.9" customHeight="1">
      <c r="A11" s="300"/>
      <c r="B11" s="301" t="s">
        <v>142</v>
      </c>
      <c r="C11" s="307" t="s">
        <v>136</v>
      </c>
      <c r="D11" s="303"/>
      <c r="E11" s="297"/>
      <c r="F11" s="304"/>
      <c r="G11" s="305"/>
      <c r="H11" s="304"/>
      <c r="I11" s="292"/>
      <c r="J11" s="292"/>
      <c r="K11" s="292"/>
      <c r="L11" s="292"/>
      <c r="M11" s="292"/>
      <c r="N11" s="292"/>
      <c r="O11" s="292"/>
      <c r="P11" s="292"/>
      <c r="Q11" s="292"/>
      <c r="R11" s="292"/>
      <c r="S11" s="292"/>
      <c r="T11" s="292"/>
    </row>
    <row r="12" spans="1:20" ht="21.9" customHeight="1">
      <c r="A12" s="300"/>
      <c r="B12" s="301" t="s">
        <v>143</v>
      </c>
      <c r="C12" s="307" t="s">
        <v>136</v>
      </c>
      <c r="D12" s="303"/>
      <c r="E12" s="297"/>
      <c r="F12" s="304"/>
      <c r="G12" s="305"/>
      <c r="H12" s="304"/>
      <c r="I12" s="292"/>
      <c r="J12" s="292"/>
      <c r="K12" s="292"/>
      <c r="L12" s="292"/>
      <c r="M12" s="292"/>
      <c r="N12" s="292"/>
      <c r="O12" s="292"/>
      <c r="P12" s="292"/>
      <c r="Q12" s="292"/>
      <c r="R12" s="292"/>
      <c r="S12" s="292"/>
      <c r="T12" s="292"/>
    </row>
    <row r="13" spans="1:20" ht="21.9" customHeight="1">
      <c r="A13" s="300"/>
      <c r="B13" s="301"/>
      <c r="C13" s="307" t="s">
        <v>136</v>
      </c>
      <c r="D13" s="303"/>
      <c r="E13" s="297"/>
      <c r="F13" s="304"/>
      <c r="G13" s="305"/>
      <c r="H13" s="304"/>
      <c r="I13" s="292"/>
      <c r="J13" s="292"/>
      <c r="K13" s="292"/>
      <c r="L13" s="292"/>
      <c r="M13" s="292"/>
      <c r="N13" s="292"/>
      <c r="O13" s="292"/>
      <c r="P13" s="292"/>
      <c r="Q13" s="292"/>
      <c r="R13" s="292"/>
      <c r="S13" s="292"/>
      <c r="T13" s="292"/>
    </row>
    <row r="14" spans="1:20" ht="21.9" customHeight="1">
      <c r="A14" s="300"/>
      <c r="B14" s="301" t="s">
        <v>144</v>
      </c>
      <c r="C14" s="307" t="s">
        <v>136</v>
      </c>
      <c r="D14" s="303"/>
      <c r="E14" s="297"/>
      <c r="F14" s="304"/>
      <c r="G14" s="305"/>
      <c r="H14" s="304"/>
      <c r="I14" s="292"/>
      <c r="J14" s="292"/>
      <c r="K14" s="292"/>
      <c r="L14" s="292"/>
      <c r="M14" s="292"/>
      <c r="N14" s="292"/>
      <c r="O14" s="292"/>
      <c r="P14" s="292"/>
      <c r="Q14" s="292"/>
      <c r="R14" s="292"/>
      <c r="S14" s="292"/>
      <c r="T14" s="292"/>
    </row>
    <row r="15" spans="1:20" ht="21.9" customHeight="1">
      <c r="A15" s="300"/>
      <c r="B15" s="345" t="s">
        <v>168</v>
      </c>
      <c r="C15" s="352" t="s">
        <v>170</v>
      </c>
      <c r="D15" s="303">
        <v>1</v>
      </c>
      <c r="E15" s="297" t="s">
        <v>53</v>
      </c>
      <c r="F15" s="304">
        <f>'GHP空調機-複単'!U12</f>
        <v>7380000</v>
      </c>
      <c r="G15" s="305">
        <f t="shared" ref="G15" si="1">ROUNDDOWN(D15*F15,0)</f>
        <v>7380000</v>
      </c>
      <c r="H15" s="360" t="s">
        <v>250</v>
      </c>
      <c r="I15" s="292"/>
      <c r="J15" s="292"/>
      <c r="K15" s="292"/>
      <c r="L15" s="292"/>
      <c r="M15" s="292"/>
      <c r="N15" s="292"/>
      <c r="O15" s="292"/>
      <c r="P15" s="292"/>
      <c r="Q15" s="292"/>
      <c r="R15" s="292"/>
      <c r="S15" s="292"/>
      <c r="T15" s="292"/>
    </row>
    <row r="16" spans="1:20" ht="21.9" customHeight="1">
      <c r="A16" s="300"/>
      <c r="B16" s="301" t="s">
        <v>139</v>
      </c>
      <c r="C16" s="307" t="s">
        <v>136</v>
      </c>
      <c r="D16" s="303"/>
      <c r="E16" s="297"/>
      <c r="F16" s="304"/>
      <c r="G16" s="305"/>
      <c r="H16" s="304"/>
      <c r="I16" s="292"/>
      <c r="J16" s="292"/>
      <c r="K16" s="292"/>
      <c r="L16" s="292"/>
      <c r="M16" s="292"/>
      <c r="N16" s="292"/>
      <c r="O16" s="292"/>
      <c r="P16" s="292"/>
      <c r="Q16" s="292"/>
      <c r="R16" s="292"/>
      <c r="S16" s="292"/>
      <c r="T16" s="292"/>
    </row>
    <row r="17" spans="1:20" ht="21.9" customHeight="1">
      <c r="A17" s="300"/>
      <c r="B17" s="301" t="s">
        <v>140</v>
      </c>
      <c r="C17" s="307" t="s">
        <v>136</v>
      </c>
      <c r="D17" s="303"/>
      <c r="E17" s="297"/>
      <c r="F17" s="304"/>
      <c r="G17" s="305"/>
      <c r="H17" s="304"/>
      <c r="I17" s="292"/>
      <c r="J17" s="292"/>
      <c r="K17" s="292"/>
      <c r="L17" s="292"/>
      <c r="M17" s="292"/>
      <c r="N17" s="292"/>
      <c r="O17" s="292"/>
      <c r="P17" s="292"/>
      <c r="Q17" s="292"/>
      <c r="R17" s="292"/>
      <c r="S17" s="292"/>
      <c r="T17" s="292"/>
    </row>
    <row r="18" spans="1:20" ht="21.9" customHeight="1">
      <c r="A18" s="300"/>
      <c r="B18" s="301"/>
      <c r="C18" s="307" t="s">
        <v>136</v>
      </c>
      <c r="D18" s="296"/>
      <c r="E18" s="297"/>
      <c r="F18" s="304"/>
      <c r="G18" s="305"/>
      <c r="H18" s="304"/>
      <c r="I18" s="292"/>
      <c r="J18" s="292"/>
      <c r="K18" s="292"/>
      <c r="L18" s="292"/>
      <c r="M18" s="292"/>
      <c r="N18" s="292"/>
      <c r="O18" s="292"/>
      <c r="P18" s="292"/>
      <c r="Q18" s="292"/>
      <c r="R18" s="292"/>
      <c r="S18" s="292"/>
      <c r="T18" s="308"/>
    </row>
    <row r="19" spans="1:20" ht="21.9" customHeight="1">
      <c r="A19" s="300"/>
      <c r="B19" s="301" t="s">
        <v>145</v>
      </c>
      <c r="C19" s="307" t="s">
        <v>136</v>
      </c>
      <c r="D19" s="296"/>
      <c r="E19" s="297"/>
      <c r="F19" s="304"/>
      <c r="G19" s="305"/>
      <c r="H19" s="304"/>
      <c r="I19" s="292"/>
      <c r="J19" s="292"/>
      <c r="K19" s="292"/>
      <c r="L19" s="292"/>
      <c r="M19" s="292"/>
      <c r="N19" s="292"/>
      <c r="O19" s="292"/>
      <c r="P19" s="292"/>
      <c r="Q19" s="292"/>
      <c r="R19" s="292"/>
      <c r="S19" s="292"/>
      <c r="T19" s="308"/>
    </row>
    <row r="20" spans="1:20" ht="21.9" customHeight="1">
      <c r="A20" s="300"/>
      <c r="B20" s="301" t="s">
        <v>137</v>
      </c>
      <c r="C20" s="352" t="s">
        <v>564</v>
      </c>
      <c r="D20" s="303">
        <v>4</v>
      </c>
      <c r="E20" s="297" t="s">
        <v>53</v>
      </c>
      <c r="F20" s="304">
        <f>'GHP空調機-複単'!U13</f>
        <v>653000</v>
      </c>
      <c r="G20" s="305">
        <f t="shared" ref="G20" si="2">ROUNDDOWN(D20*F20,0)</f>
        <v>2612000</v>
      </c>
      <c r="H20" s="360" t="s">
        <v>250</v>
      </c>
      <c r="I20" s="292"/>
      <c r="J20" s="292"/>
      <c r="K20" s="292"/>
      <c r="L20" s="292"/>
      <c r="M20" s="292"/>
      <c r="N20" s="292"/>
      <c r="O20" s="292"/>
      <c r="P20" s="292"/>
      <c r="Q20" s="292"/>
      <c r="R20" s="292"/>
      <c r="S20" s="292"/>
      <c r="T20" s="292"/>
    </row>
    <row r="21" spans="1:20" ht="21.9" customHeight="1">
      <c r="A21" s="300"/>
      <c r="B21" s="301" t="s">
        <v>142</v>
      </c>
      <c r="C21" s="307" t="s">
        <v>136</v>
      </c>
      <c r="D21" s="303"/>
      <c r="E21" s="297"/>
      <c r="F21" s="304"/>
      <c r="G21" s="305"/>
      <c r="H21" s="304"/>
      <c r="I21" s="292"/>
      <c r="J21" s="292"/>
      <c r="K21" s="292"/>
      <c r="L21" s="292"/>
      <c r="M21" s="292"/>
      <c r="N21" s="292"/>
      <c r="O21" s="292"/>
      <c r="P21" s="292"/>
      <c r="Q21" s="292"/>
      <c r="R21" s="292"/>
      <c r="S21" s="292"/>
      <c r="T21" s="292"/>
    </row>
    <row r="22" spans="1:20" ht="21.9" customHeight="1">
      <c r="A22" s="300"/>
      <c r="B22" s="301" t="s">
        <v>143</v>
      </c>
      <c r="C22" s="307" t="s">
        <v>136</v>
      </c>
      <c r="D22" s="303"/>
      <c r="E22" s="297"/>
      <c r="F22" s="304"/>
      <c r="G22" s="305"/>
      <c r="H22" s="304"/>
      <c r="I22" s="292"/>
      <c r="J22" s="292"/>
      <c r="K22" s="292"/>
      <c r="L22" s="292"/>
      <c r="M22" s="292"/>
      <c r="N22" s="292"/>
      <c r="O22" s="292"/>
      <c r="P22" s="292"/>
      <c r="Q22" s="292"/>
      <c r="R22" s="292"/>
      <c r="S22" s="292"/>
      <c r="T22" s="292"/>
    </row>
    <row r="23" spans="1:20" ht="21.9" customHeight="1">
      <c r="A23" s="300"/>
      <c r="B23" s="301"/>
      <c r="C23" s="307" t="s">
        <v>136</v>
      </c>
      <c r="D23" s="303"/>
      <c r="E23" s="297"/>
      <c r="F23" s="304"/>
      <c r="G23" s="305"/>
      <c r="H23" s="304"/>
      <c r="I23" s="292"/>
      <c r="J23" s="292"/>
      <c r="K23" s="292"/>
      <c r="L23" s="292"/>
      <c r="M23" s="292"/>
      <c r="N23" s="292"/>
      <c r="O23" s="292"/>
      <c r="P23" s="292"/>
      <c r="Q23" s="292"/>
      <c r="R23" s="292"/>
      <c r="S23" s="292"/>
      <c r="T23" s="292"/>
    </row>
    <row r="24" spans="1:20" ht="21.9" customHeight="1">
      <c r="A24" s="13"/>
      <c r="B24" s="309"/>
      <c r="C24" s="309"/>
      <c r="D24" s="14" t="s">
        <v>23</v>
      </c>
      <c r="E24" s="309"/>
      <c r="F24" s="309"/>
      <c r="G24" s="309"/>
      <c r="H24" s="310">
        <f>'A空調－計 '!H24+1</f>
        <v>4</v>
      </c>
      <c r="I24" s="292"/>
      <c r="J24" s="292"/>
      <c r="K24" s="292"/>
      <c r="L24" s="292"/>
      <c r="M24" s="292"/>
      <c r="N24" s="292"/>
      <c r="O24" s="292"/>
      <c r="P24" s="292"/>
      <c r="Q24" s="292"/>
      <c r="R24" s="292"/>
      <c r="S24" s="292"/>
      <c r="T24" s="292"/>
    </row>
    <row r="25" spans="1:20" ht="21.9" customHeight="1">
      <c r="A25" s="287"/>
      <c r="B25" s="288"/>
      <c r="C25" s="12"/>
      <c r="D25" s="289"/>
      <c r="E25" s="287"/>
      <c r="F25" s="290"/>
      <c r="G25" s="291"/>
      <c r="H25" s="290"/>
      <c r="I25" s="292"/>
      <c r="J25" s="292"/>
      <c r="K25" s="292"/>
      <c r="L25" s="292"/>
      <c r="M25" s="292"/>
      <c r="N25" s="292"/>
      <c r="O25" s="292"/>
      <c r="P25" s="292"/>
      <c r="Q25" s="292"/>
      <c r="R25" s="292"/>
      <c r="S25" s="292"/>
      <c r="T25" s="292"/>
    </row>
    <row r="26" spans="1:20" ht="21.9" customHeight="1">
      <c r="A26" s="293"/>
      <c r="B26" s="294" t="s">
        <v>0</v>
      </c>
      <c r="C26" s="295" t="s">
        <v>1</v>
      </c>
      <c r="D26" s="296" t="s">
        <v>5</v>
      </c>
      <c r="E26" s="297" t="s">
        <v>6</v>
      </c>
      <c r="F26" s="298" t="s">
        <v>20</v>
      </c>
      <c r="G26" s="299" t="s">
        <v>21</v>
      </c>
      <c r="H26" s="298" t="s">
        <v>3</v>
      </c>
      <c r="I26" s="292"/>
      <c r="J26" s="292"/>
      <c r="K26" s="292"/>
      <c r="L26" s="292"/>
      <c r="M26" s="292"/>
      <c r="N26" s="292"/>
      <c r="O26" s="292"/>
      <c r="P26" s="292"/>
      <c r="Q26" s="292"/>
      <c r="R26" s="292"/>
      <c r="S26" s="292"/>
      <c r="T26" s="292"/>
    </row>
    <row r="27" spans="1:20" ht="21.9" customHeight="1">
      <c r="A27" s="300"/>
      <c r="B27" s="301" t="s">
        <v>146</v>
      </c>
      <c r="C27" s="307"/>
      <c r="D27" s="303"/>
      <c r="E27" s="297"/>
      <c r="F27" s="304"/>
      <c r="G27" s="311"/>
      <c r="H27" s="304"/>
      <c r="I27" s="292"/>
      <c r="J27" s="292"/>
      <c r="K27" s="292"/>
      <c r="L27" s="292"/>
      <c r="M27" s="292"/>
      <c r="N27" s="292"/>
      <c r="O27" s="292"/>
      <c r="P27" s="292"/>
      <c r="Q27" s="292"/>
      <c r="R27" s="292"/>
      <c r="S27" s="292"/>
      <c r="T27" s="308"/>
    </row>
    <row r="28" spans="1:20" ht="21.9" customHeight="1">
      <c r="A28" s="300"/>
      <c r="B28" s="345" t="s">
        <v>168</v>
      </c>
      <c r="C28" s="352" t="s">
        <v>170</v>
      </c>
      <c r="D28" s="303">
        <v>1</v>
      </c>
      <c r="E28" s="297" t="s">
        <v>53</v>
      </c>
      <c r="F28" s="304">
        <f>'GHP空調機-複単'!U14</f>
        <v>7380000</v>
      </c>
      <c r="G28" s="305">
        <f t="shared" ref="G28" si="3">ROUNDDOWN(D28*F28,0)</f>
        <v>7380000</v>
      </c>
      <c r="H28" s="360" t="s">
        <v>250</v>
      </c>
      <c r="I28" s="292"/>
      <c r="J28" s="292"/>
      <c r="K28" s="292"/>
      <c r="L28" s="292"/>
      <c r="M28" s="292"/>
      <c r="N28" s="292"/>
      <c r="O28" s="292"/>
      <c r="P28" s="292"/>
      <c r="Q28" s="292"/>
      <c r="R28" s="292"/>
      <c r="S28" s="292"/>
      <c r="T28" s="308"/>
    </row>
    <row r="29" spans="1:20" ht="21.9" customHeight="1">
      <c r="A29" s="300"/>
      <c r="B29" s="301" t="s">
        <v>139</v>
      </c>
      <c r="C29" s="307" t="s">
        <v>136</v>
      </c>
      <c r="D29" s="303"/>
      <c r="E29" s="297"/>
      <c r="F29" s="304"/>
      <c r="G29" s="305"/>
      <c r="H29" s="304"/>
      <c r="I29" s="292"/>
      <c r="J29" s="292"/>
      <c r="K29" s="292"/>
      <c r="L29" s="292"/>
      <c r="M29" s="292"/>
      <c r="N29" s="292"/>
      <c r="O29" s="292"/>
      <c r="P29" s="292"/>
      <c r="Q29" s="292"/>
      <c r="R29" s="292"/>
      <c r="S29" s="292"/>
      <c r="T29" s="308"/>
    </row>
    <row r="30" spans="1:20" ht="21.9" customHeight="1">
      <c r="A30" s="300"/>
      <c r="B30" s="301" t="s">
        <v>140</v>
      </c>
      <c r="C30" s="307" t="s">
        <v>136</v>
      </c>
      <c r="D30" s="303"/>
      <c r="E30" s="297"/>
      <c r="F30" s="304"/>
      <c r="G30" s="305"/>
      <c r="H30" s="304"/>
      <c r="I30" s="292"/>
      <c r="J30" s="292"/>
      <c r="K30" s="292"/>
      <c r="L30" s="292"/>
      <c r="M30" s="292"/>
      <c r="N30" s="292"/>
      <c r="O30" s="292"/>
      <c r="P30" s="292"/>
      <c r="Q30" s="292"/>
      <c r="R30" s="292"/>
      <c r="S30" s="292"/>
      <c r="T30" s="308"/>
    </row>
    <row r="31" spans="1:20" ht="21.9" customHeight="1">
      <c r="A31" s="300"/>
      <c r="B31" s="301"/>
      <c r="C31" s="307" t="s">
        <v>136</v>
      </c>
      <c r="D31" s="296"/>
      <c r="E31" s="297"/>
      <c r="F31" s="304"/>
      <c r="G31" s="305"/>
      <c r="H31" s="304"/>
      <c r="I31" s="292"/>
      <c r="J31" s="292"/>
      <c r="K31" s="292"/>
      <c r="L31" s="292"/>
      <c r="M31" s="292"/>
      <c r="N31" s="292"/>
      <c r="O31" s="292"/>
      <c r="P31" s="292"/>
      <c r="Q31" s="292"/>
      <c r="R31" s="292"/>
      <c r="S31" s="292"/>
      <c r="T31" s="292"/>
    </row>
    <row r="32" spans="1:20" ht="21.9" customHeight="1">
      <c r="A32" s="300"/>
      <c r="B32" s="301" t="s">
        <v>147</v>
      </c>
      <c r="C32" s="307" t="s">
        <v>136</v>
      </c>
      <c r="D32" s="296"/>
      <c r="E32" s="297"/>
      <c r="F32" s="304"/>
      <c r="G32" s="305"/>
      <c r="H32" s="304"/>
      <c r="I32" s="292"/>
      <c r="J32" s="292"/>
      <c r="K32" s="292"/>
      <c r="L32" s="292"/>
      <c r="M32" s="292"/>
      <c r="N32" s="292"/>
      <c r="O32" s="292"/>
      <c r="P32" s="292"/>
      <c r="Q32" s="292"/>
      <c r="R32" s="292"/>
      <c r="S32" s="292"/>
      <c r="T32" s="292"/>
    </row>
    <row r="33" spans="1:20" ht="21.9" customHeight="1">
      <c r="A33" s="300"/>
      <c r="B33" s="301" t="s">
        <v>137</v>
      </c>
      <c r="C33" s="352" t="s">
        <v>564</v>
      </c>
      <c r="D33" s="303">
        <v>4</v>
      </c>
      <c r="E33" s="297" t="s">
        <v>53</v>
      </c>
      <c r="F33" s="304">
        <f>'GHP空調機-複単'!U15</f>
        <v>653000</v>
      </c>
      <c r="G33" s="305">
        <f t="shared" ref="G33" si="4">ROUNDDOWN(D33*F33,0)</f>
        <v>2612000</v>
      </c>
      <c r="H33" s="360" t="s">
        <v>250</v>
      </c>
      <c r="I33" s="292"/>
      <c r="J33" s="292"/>
      <c r="K33" s="292"/>
      <c r="L33" s="292"/>
      <c r="M33" s="292"/>
      <c r="N33" s="292"/>
      <c r="O33" s="292"/>
      <c r="P33" s="292"/>
      <c r="Q33" s="292"/>
      <c r="R33" s="292"/>
      <c r="S33" s="292"/>
      <c r="T33" s="292"/>
    </row>
    <row r="34" spans="1:20" ht="21.9" customHeight="1">
      <c r="A34" s="300"/>
      <c r="B34" s="301" t="s">
        <v>142</v>
      </c>
      <c r="C34" s="307" t="s">
        <v>136</v>
      </c>
      <c r="D34" s="303"/>
      <c r="E34" s="297"/>
      <c r="F34" s="304"/>
      <c r="G34" s="305"/>
      <c r="H34" s="304"/>
      <c r="I34" s="292"/>
      <c r="J34" s="292"/>
      <c r="K34" s="292"/>
      <c r="L34" s="292"/>
      <c r="M34" s="292"/>
      <c r="N34" s="292"/>
      <c r="O34" s="292"/>
      <c r="P34" s="292"/>
      <c r="Q34" s="292"/>
      <c r="R34" s="292"/>
      <c r="S34" s="292"/>
      <c r="T34" s="308"/>
    </row>
    <row r="35" spans="1:20" ht="21.9" customHeight="1">
      <c r="A35" s="300"/>
      <c r="B35" s="301" t="s">
        <v>143</v>
      </c>
      <c r="C35" s="307" t="s">
        <v>136</v>
      </c>
      <c r="D35" s="303"/>
      <c r="E35" s="297"/>
      <c r="F35" s="304"/>
      <c r="G35" s="311"/>
      <c r="H35" s="304"/>
      <c r="I35" s="292"/>
      <c r="J35" s="292"/>
      <c r="K35" s="292"/>
      <c r="L35" s="292"/>
      <c r="M35" s="292"/>
      <c r="N35" s="292"/>
      <c r="O35" s="292"/>
      <c r="P35" s="292"/>
      <c r="Q35" s="292"/>
      <c r="R35" s="292"/>
      <c r="S35" s="292"/>
      <c r="T35" s="308"/>
    </row>
    <row r="36" spans="1:20" ht="21.9" customHeight="1">
      <c r="A36" s="300"/>
      <c r="B36" s="301"/>
      <c r="C36" s="307" t="s">
        <v>136</v>
      </c>
      <c r="D36" s="303"/>
      <c r="E36" s="297"/>
      <c r="F36" s="304"/>
      <c r="G36" s="305"/>
      <c r="H36" s="304"/>
      <c r="I36" s="292"/>
      <c r="J36" s="292"/>
      <c r="K36" s="292"/>
      <c r="L36" s="292"/>
      <c r="M36" s="292"/>
      <c r="N36" s="292"/>
      <c r="O36" s="292"/>
      <c r="P36" s="292"/>
      <c r="Q36" s="292"/>
      <c r="R36" s="292"/>
      <c r="S36" s="292"/>
      <c r="T36" s="308"/>
    </row>
    <row r="37" spans="1:20" ht="21.9" customHeight="1">
      <c r="A37" s="300"/>
      <c r="B37" s="345" t="s">
        <v>150</v>
      </c>
      <c r="C37" s="307" t="s">
        <v>136</v>
      </c>
      <c r="D37" s="303"/>
      <c r="E37" s="297"/>
      <c r="F37" s="304"/>
      <c r="G37" s="311"/>
      <c r="H37" s="304"/>
      <c r="I37" s="292"/>
      <c r="J37" s="292"/>
      <c r="K37" s="292"/>
      <c r="L37" s="292"/>
      <c r="M37" s="292"/>
      <c r="N37" s="292"/>
      <c r="O37" s="292"/>
      <c r="P37" s="292"/>
      <c r="Q37" s="292"/>
      <c r="R37" s="292"/>
      <c r="S37" s="292"/>
      <c r="T37" s="292"/>
    </row>
    <row r="38" spans="1:20" ht="21.9" customHeight="1">
      <c r="A38" s="300"/>
      <c r="B38" s="345" t="s">
        <v>167</v>
      </c>
      <c r="C38" s="307" t="s">
        <v>138</v>
      </c>
      <c r="D38" s="303">
        <v>1</v>
      </c>
      <c r="E38" s="297" t="s">
        <v>53</v>
      </c>
      <c r="F38" s="304">
        <f>'GHP空調機-複単'!U16</f>
        <v>3420000</v>
      </c>
      <c r="G38" s="305">
        <f t="shared" ref="G38" si="5">ROUNDDOWN(D38*F38,0)</f>
        <v>3420000</v>
      </c>
      <c r="H38" s="360" t="s">
        <v>250</v>
      </c>
      <c r="I38" s="292"/>
      <c r="J38" s="292"/>
      <c r="K38" s="292"/>
      <c r="L38" s="292"/>
      <c r="M38" s="292"/>
      <c r="N38" s="292"/>
      <c r="O38" s="292"/>
      <c r="P38" s="292"/>
      <c r="Q38" s="292"/>
      <c r="R38" s="292"/>
      <c r="S38" s="292"/>
      <c r="T38" s="308"/>
    </row>
    <row r="39" spans="1:20" ht="21.9" customHeight="1">
      <c r="A39" s="300"/>
      <c r="B39" s="301" t="s">
        <v>148</v>
      </c>
      <c r="C39" s="307" t="s">
        <v>136</v>
      </c>
      <c r="D39" s="303"/>
      <c r="E39" s="297"/>
      <c r="F39" s="304"/>
      <c r="G39" s="305"/>
      <c r="H39" s="304"/>
      <c r="I39" s="292"/>
      <c r="J39" s="292"/>
      <c r="K39" s="292"/>
      <c r="L39" s="292"/>
      <c r="M39" s="292"/>
      <c r="N39" s="292"/>
      <c r="O39" s="292"/>
      <c r="P39" s="292"/>
      <c r="Q39" s="292"/>
      <c r="R39" s="292"/>
      <c r="S39" s="292"/>
      <c r="T39" s="292"/>
    </row>
    <row r="40" spans="1:20" ht="21.9" customHeight="1">
      <c r="A40" s="300"/>
      <c r="B40" s="301" t="s">
        <v>149</v>
      </c>
      <c r="C40" s="307" t="s">
        <v>136</v>
      </c>
      <c r="D40" s="303"/>
      <c r="E40" s="297"/>
      <c r="F40" s="304"/>
      <c r="G40" s="305"/>
      <c r="H40" s="304"/>
      <c r="I40" s="292"/>
      <c r="J40" s="292"/>
      <c r="K40" s="292"/>
      <c r="L40" s="292"/>
      <c r="M40" s="292"/>
      <c r="N40" s="292"/>
      <c r="O40" s="292"/>
      <c r="P40" s="292"/>
      <c r="Q40" s="292"/>
      <c r="R40" s="292"/>
      <c r="S40" s="292"/>
      <c r="T40" s="292"/>
    </row>
    <row r="41" spans="1:20" ht="21.9" customHeight="1">
      <c r="A41" s="300"/>
      <c r="B41" s="301"/>
      <c r="C41" s="307" t="s">
        <v>136</v>
      </c>
      <c r="D41" s="296"/>
      <c r="E41" s="297"/>
      <c r="F41" s="304"/>
      <c r="G41" s="305"/>
      <c r="H41" s="304"/>
      <c r="I41" s="292"/>
      <c r="J41" s="292"/>
      <c r="K41" s="292"/>
      <c r="L41" s="292"/>
      <c r="M41" s="292"/>
      <c r="N41" s="292"/>
      <c r="O41" s="292"/>
      <c r="P41" s="292"/>
      <c r="Q41" s="292"/>
      <c r="R41" s="292"/>
      <c r="S41" s="292"/>
      <c r="T41" s="292"/>
    </row>
    <row r="42" spans="1:20" ht="21.9" customHeight="1">
      <c r="A42" s="300"/>
      <c r="B42" s="345" t="s">
        <v>560</v>
      </c>
      <c r="C42" s="307" t="s">
        <v>136</v>
      </c>
      <c r="D42" s="296"/>
      <c r="E42" s="297"/>
      <c r="F42" s="304"/>
      <c r="G42" s="305"/>
      <c r="H42" s="304"/>
      <c r="I42" s="292"/>
      <c r="J42" s="292"/>
      <c r="K42" s="292"/>
      <c r="L42" s="292"/>
      <c r="M42" s="292"/>
      <c r="N42" s="292"/>
      <c r="O42" s="292"/>
      <c r="P42" s="292"/>
      <c r="Q42" s="292"/>
      <c r="R42" s="292"/>
      <c r="S42" s="292"/>
      <c r="T42" s="292"/>
    </row>
    <row r="43" spans="1:20" ht="21.9" customHeight="1">
      <c r="A43" s="300"/>
      <c r="B43" s="345" t="s">
        <v>561</v>
      </c>
      <c r="C43" s="352" t="s">
        <v>565</v>
      </c>
      <c r="D43" s="303">
        <v>3</v>
      </c>
      <c r="E43" s="297" t="s">
        <v>53</v>
      </c>
      <c r="F43" s="304">
        <f>'GHP空調機-複単'!U17</f>
        <v>653000</v>
      </c>
      <c r="G43" s="305">
        <f t="shared" ref="G43" si="6">ROUNDDOWN(D43*F43,0)</f>
        <v>1959000</v>
      </c>
      <c r="H43" s="360" t="s">
        <v>250</v>
      </c>
      <c r="I43" s="292"/>
      <c r="J43" s="292"/>
      <c r="K43" s="292"/>
      <c r="L43" s="292"/>
      <c r="M43" s="292"/>
      <c r="N43" s="292"/>
      <c r="O43" s="292"/>
      <c r="P43" s="292"/>
      <c r="Q43" s="292"/>
      <c r="R43" s="292"/>
      <c r="S43" s="292"/>
      <c r="T43" s="292"/>
    </row>
    <row r="44" spans="1:20" ht="21.9" customHeight="1">
      <c r="A44" s="300"/>
      <c r="B44" s="345" t="s">
        <v>562</v>
      </c>
      <c r="C44" s="307" t="s">
        <v>136</v>
      </c>
      <c r="D44" s="303"/>
      <c r="E44" s="297"/>
      <c r="F44" s="304"/>
      <c r="G44" s="311"/>
      <c r="H44" s="304"/>
      <c r="I44" s="292"/>
      <c r="J44" s="292"/>
      <c r="K44" s="292"/>
      <c r="L44" s="292"/>
      <c r="M44" s="292"/>
      <c r="N44" s="292"/>
      <c r="O44" s="292"/>
      <c r="P44" s="292"/>
      <c r="Q44" s="292"/>
      <c r="R44" s="292"/>
      <c r="S44" s="292"/>
      <c r="T44" s="292"/>
    </row>
    <row r="45" spans="1:20" ht="21.9" customHeight="1">
      <c r="A45" s="300"/>
      <c r="B45" s="345" t="s">
        <v>563</v>
      </c>
      <c r="C45" s="307" t="s">
        <v>136</v>
      </c>
      <c r="D45" s="303"/>
      <c r="E45" s="297"/>
      <c r="F45" s="304"/>
      <c r="G45" s="311"/>
      <c r="H45" s="304"/>
      <c r="I45" s="292"/>
      <c r="J45" s="292"/>
      <c r="K45" s="292"/>
      <c r="L45" s="292"/>
      <c r="M45" s="292"/>
      <c r="N45" s="292"/>
      <c r="O45" s="292"/>
      <c r="P45" s="292"/>
      <c r="Q45" s="292"/>
      <c r="R45" s="292"/>
      <c r="S45" s="292"/>
      <c r="T45" s="292"/>
    </row>
    <row r="46" spans="1:20" ht="21.9" customHeight="1">
      <c r="A46" s="300"/>
      <c r="B46" s="301"/>
      <c r="C46" s="307" t="s">
        <v>136</v>
      </c>
      <c r="D46" s="303"/>
      <c r="E46" s="297"/>
      <c r="F46" s="304"/>
      <c r="G46" s="311">
        <f>SUM(H45)</f>
        <v>0</v>
      </c>
      <c r="H46" s="304"/>
      <c r="I46" s="292"/>
      <c r="J46" s="292"/>
      <c r="K46" s="292"/>
      <c r="L46" s="292"/>
      <c r="M46" s="292"/>
      <c r="N46" s="292"/>
      <c r="O46" s="292"/>
      <c r="P46" s="292"/>
      <c r="Q46" s="292"/>
      <c r="R46" s="292"/>
      <c r="S46" s="292"/>
      <c r="T46" s="292"/>
    </row>
    <row r="47" spans="1:20" ht="21.9" customHeight="1">
      <c r="A47" s="300"/>
      <c r="B47" s="301"/>
      <c r="C47" s="307" t="s">
        <v>136</v>
      </c>
      <c r="D47" s="303"/>
      <c r="E47" s="297"/>
      <c r="F47" s="304"/>
      <c r="G47" s="317"/>
      <c r="H47" s="304"/>
      <c r="I47" s="292"/>
      <c r="J47" s="292"/>
      <c r="K47" s="292"/>
      <c r="L47" s="292"/>
      <c r="M47" s="292"/>
      <c r="N47" s="292"/>
      <c r="O47" s="292"/>
      <c r="P47" s="292"/>
      <c r="Q47" s="292"/>
      <c r="R47" s="292"/>
      <c r="S47" s="292"/>
      <c r="T47" s="292"/>
    </row>
    <row r="48" spans="1:20" ht="21.9" customHeight="1">
      <c r="A48" s="13"/>
      <c r="B48" s="309"/>
      <c r="C48" s="309"/>
      <c r="D48" s="14" t="s">
        <v>23</v>
      </c>
      <c r="E48" s="309"/>
      <c r="F48" s="309"/>
      <c r="G48" s="309"/>
      <c r="H48" s="310">
        <f>+H24+1</f>
        <v>5</v>
      </c>
      <c r="I48" s="292"/>
      <c r="J48" s="292"/>
      <c r="K48" s="292"/>
      <c r="L48" s="292"/>
      <c r="M48" s="292"/>
      <c r="N48" s="292"/>
      <c r="O48" s="292"/>
      <c r="P48" s="292"/>
      <c r="Q48" s="292"/>
      <c r="R48" s="292"/>
      <c r="S48" s="292"/>
      <c r="T48" s="292"/>
    </row>
    <row r="49" spans="1:20" ht="21.9" customHeight="1">
      <c r="A49" s="287"/>
      <c r="B49" s="288"/>
      <c r="C49" s="12"/>
      <c r="D49" s="289"/>
      <c r="E49" s="287"/>
      <c r="F49" s="290"/>
      <c r="G49" s="291"/>
      <c r="H49" s="290"/>
      <c r="I49" s="292"/>
      <c r="J49" s="292"/>
      <c r="K49" s="292"/>
      <c r="L49" s="292"/>
      <c r="M49" s="292"/>
      <c r="N49" s="292"/>
      <c r="O49" s="292"/>
      <c r="P49" s="292"/>
      <c r="Q49" s="292"/>
      <c r="R49" s="292"/>
      <c r="S49" s="292"/>
      <c r="T49" s="292"/>
    </row>
    <row r="50" spans="1:20" ht="21.9" customHeight="1">
      <c r="A50" s="293"/>
      <c r="B50" s="294" t="s">
        <v>0</v>
      </c>
      <c r="C50" s="295" t="s">
        <v>1</v>
      </c>
      <c r="D50" s="296" t="s">
        <v>5</v>
      </c>
      <c r="E50" s="297" t="s">
        <v>6</v>
      </c>
      <c r="F50" s="298" t="s">
        <v>20</v>
      </c>
      <c r="G50" s="299" t="s">
        <v>21</v>
      </c>
      <c r="H50" s="298" t="s">
        <v>3</v>
      </c>
      <c r="I50" s="292"/>
      <c r="J50" s="292"/>
      <c r="K50" s="292"/>
      <c r="L50" s="292"/>
      <c r="M50" s="292"/>
      <c r="N50" s="292"/>
      <c r="O50" s="292"/>
      <c r="P50" s="292"/>
      <c r="Q50" s="292"/>
      <c r="R50" s="292"/>
      <c r="S50" s="292"/>
      <c r="T50" s="292"/>
    </row>
    <row r="51" spans="1:20" ht="21.9" customHeight="1">
      <c r="A51" s="302"/>
      <c r="B51" s="365" t="s">
        <v>505</v>
      </c>
      <c r="C51" s="637" t="s">
        <v>506</v>
      </c>
      <c r="D51" s="314">
        <v>6</v>
      </c>
      <c r="E51" s="353" t="s">
        <v>503</v>
      </c>
      <c r="F51" s="304">
        <f>'GHP空調機-複単'!U22</f>
        <v>33600</v>
      </c>
      <c r="G51" s="305">
        <f t="shared" ref="G51:G53" si="7">ROUNDDOWN(D51*F51,0)</f>
        <v>201600</v>
      </c>
      <c r="H51" s="360" t="s">
        <v>250</v>
      </c>
      <c r="I51" s="292"/>
      <c r="J51" s="292"/>
      <c r="K51" s="292"/>
      <c r="L51" s="292"/>
      <c r="M51" s="292"/>
      <c r="N51" s="292"/>
      <c r="O51" s="292"/>
      <c r="P51" s="292"/>
      <c r="Q51" s="292"/>
      <c r="R51" s="292"/>
      <c r="S51" s="292"/>
      <c r="T51" s="292"/>
    </row>
    <row r="52" spans="1:20" ht="21.9" customHeight="1">
      <c r="A52" s="302"/>
      <c r="B52" s="636" t="s">
        <v>504</v>
      </c>
      <c r="C52" s="637" t="s">
        <v>506</v>
      </c>
      <c r="D52" s="303">
        <v>1</v>
      </c>
      <c r="E52" s="353" t="s">
        <v>54</v>
      </c>
      <c r="F52" s="304">
        <f>'GHP空調機-複単'!U23</f>
        <v>152000</v>
      </c>
      <c r="G52" s="305">
        <f t="shared" si="7"/>
        <v>152000</v>
      </c>
      <c r="H52" s="360" t="s">
        <v>250</v>
      </c>
      <c r="I52" s="292"/>
      <c r="J52" s="292"/>
      <c r="K52" s="292"/>
      <c r="L52" s="292"/>
      <c r="M52" s="292"/>
      <c r="N52" s="292"/>
      <c r="O52" s="292"/>
      <c r="P52" s="292"/>
      <c r="Q52" s="292"/>
      <c r="R52" s="292"/>
      <c r="S52" s="292"/>
      <c r="T52" s="308"/>
    </row>
    <row r="53" spans="1:20" ht="21.9" customHeight="1">
      <c r="A53" s="302"/>
      <c r="B53" s="365" t="s">
        <v>502</v>
      </c>
      <c r="C53" s="637" t="s">
        <v>506</v>
      </c>
      <c r="D53" s="314">
        <v>2</v>
      </c>
      <c r="E53" s="353" t="s">
        <v>503</v>
      </c>
      <c r="F53" s="304">
        <f>'GHP空調機-複単'!U24</f>
        <v>42400</v>
      </c>
      <c r="G53" s="305">
        <f t="shared" si="7"/>
        <v>84800</v>
      </c>
      <c r="H53" s="360" t="s">
        <v>250</v>
      </c>
      <c r="I53" s="292"/>
      <c r="J53" s="292"/>
      <c r="K53" s="292"/>
      <c r="L53" s="292"/>
      <c r="M53" s="292"/>
      <c r="N53" s="292"/>
      <c r="O53" s="292"/>
      <c r="P53" s="292"/>
      <c r="Q53" s="292"/>
      <c r="R53" s="292"/>
      <c r="S53" s="292"/>
      <c r="T53" s="292"/>
    </row>
    <row r="54" spans="1:20" ht="21.9" customHeight="1">
      <c r="A54" s="300"/>
      <c r="B54" s="345"/>
      <c r="C54" s="307"/>
      <c r="D54" s="303"/>
      <c r="E54" s="297"/>
      <c r="F54" s="304"/>
      <c r="G54" s="311"/>
      <c r="H54" s="304"/>
      <c r="I54" s="292"/>
      <c r="J54" s="292"/>
      <c r="K54" s="292"/>
      <c r="L54" s="292"/>
      <c r="M54" s="292"/>
      <c r="N54" s="292"/>
      <c r="O54" s="292"/>
      <c r="P54" s="292"/>
      <c r="Q54" s="292"/>
      <c r="R54" s="292"/>
      <c r="S54" s="292"/>
      <c r="T54" s="292"/>
    </row>
    <row r="55" spans="1:20" ht="21.9" customHeight="1">
      <c r="A55" s="302"/>
      <c r="B55" s="365" t="s">
        <v>507</v>
      </c>
      <c r="C55" s="313"/>
      <c r="D55" s="303">
        <v>1</v>
      </c>
      <c r="E55" s="297" t="s">
        <v>54</v>
      </c>
      <c r="F55" s="304">
        <f>'代価-2'!M48</f>
        <v>521000</v>
      </c>
      <c r="G55" s="305">
        <f t="shared" ref="G55" si="8">ROUNDDOWN(D55*F55,0)</f>
        <v>521000</v>
      </c>
      <c r="H55" s="360" t="s">
        <v>273</v>
      </c>
      <c r="I55" s="292"/>
      <c r="J55" s="292"/>
      <c r="K55" s="292"/>
      <c r="L55" s="292"/>
      <c r="M55" s="292"/>
      <c r="N55" s="292"/>
      <c r="O55" s="292"/>
      <c r="P55" s="292"/>
      <c r="Q55" s="292"/>
      <c r="R55" s="292"/>
      <c r="S55" s="292"/>
      <c r="T55" s="292"/>
    </row>
    <row r="56" spans="1:20" ht="21.9" customHeight="1">
      <c r="A56" s="302"/>
      <c r="B56" s="341"/>
      <c r="C56" s="313"/>
      <c r="D56" s="303"/>
      <c r="E56" s="297"/>
      <c r="F56" s="304"/>
      <c r="G56" s="305"/>
      <c r="H56" s="304"/>
      <c r="I56" s="292"/>
      <c r="J56" s="292"/>
      <c r="K56" s="292"/>
      <c r="L56" s="292"/>
      <c r="M56" s="292"/>
      <c r="N56" s="292"/>
      <c r="O56" s="292"/>
      <c r="P56" s="292"/>
      <c r="Q56" s="292"/>
      <c r="R56" s="292"/>
      <c r="S56" s="292"/>
      <c r="T56" s="292"/>
    </row>
    <row r="57" spans="1:20" ht="21.9" customHeight="1">
      <c r="A57" s="302"/>
      <c r="B57" s="341"/>
      <c r="C57" s="313"/>
      <c r="D57" s="303"/>
      <c r="E57" s="297"/>
      <c r="F57" s="304"/>
      <c r="G57" s="305"/>
      <c r="H57" s="304"/>
      <c r="I57" s="292"/>
      <c r="J57" s="292"/>
      <c r="K57" s="292"/>
      <c r="L57" s="292"/>
      <c r="M57" s="292"/>
      <c r="N57" s="292"/>
      <c r="O57" s="292"/>
      <c r="P57" s="292"/>
      <c r="Q57" s="292"/>
      <c r="R57" s="292"/>
      <c r="S57" s="292"/>
      <c r="T57" s="292"/>
    </row>
    <row r="58" spans="1:20" ht="21.9" customHeight="1">
      <c r="A58" s="302"/>
      <c r="B58" s="341"/>
      <c r="C58" s="313"/>
      <c r="D58" s="303"/>
      <c r="E58" s="297"/>
      <c r="F58" s="304"/>
      <c r="G58" s="305"/>
      <c r="H58" s="304"/>
      <c r="I58" s="292"/>
      <c r="J58" s="292"/>
      <c r="K58" s="292"/>
      <c r="L58" s="292"/>
      <c r="M58" s="292"/>
      <c r="N58" s="292"/>
      <c r="O58" s="292"/>
      <c r="P58" s="292"/>
      <c r="Q58" s="292"/>
      <c r="R58" s="292"/>
      <c r="S58" s="292"/>
      <c r="T58" s="292"/>
    </row>
    <row r="59" spans="1:20" ht="21.9" customHeight="1">
      <c r="A59" s="302"/>
      <c r="B59" s="341"/>
      <c r="C59" s="313"/>
      <c r="D59" s="303"/>
      <c r="E59" s="297"/>
      <c r="F59" s="304"/>
      <c r="G59" s="305"/>
      <c r="H59" s="304"/>
      <c r="I59" s="292"/>
      <c r="J59" s="292"/>
      <c r="K59" s="292"/>
      <c r="L59" s="292"/>
      <c r="M59" s="292"/>
      <c r="N59" s="292"/>
      <c r="O59" s="292"/>
      <c r="P59" s="292"/>
      <c r="Q59" s="292"/>
      <c r="R59" s="292"/>
      <c r="S59" s="292"/>
      <c r="T59" s="292"/>
    </row>
    <row r="60" spans="1:20" ht="21.9" customHeight="1">
      <c r="A60" s="302"/>
      <c r="B60" s="341"/>
      <c r="C60" s="313"/>
      <c r="D60" s="303"/>
      <c r="E60" s="297"/>
      <c r="F60" s="304"/>
      <c r="G60" s="305"/>
      <c r="H60" s="304"/>
      <c r="I60" s="292"/>
      <c r="J60" s="292"/>
      <c r="K60" s="292"/>
      <c r="L60" s="292"/>
      <c r="M60" s="292"/>
      <c r="N60" s="292"/>
      <c r="O60" s="292"/>
      <c r="P60" s="292"/>
      <c r="Q60" s="292"/>
      <c r="R60" s="292"/>
      <c r="S60" s="292"/>
      <c r="T60" s="292"/>
    </row>
    <row r="61" spans="1:20" ht="21.9" customHeight="1">
      <c r="A61" s="302"/>
      <c r="B61" s="341"/>
      <c r="C61" s="313"/>
      <c r="D61" s="303"/>
      <c r="E61" s="297"/>
      <c r="F61" s="304"/>
      <c r="G61" s="305"/>
      <c r="H61" s="304"/>
      <c r="I61" s="292"/>
      <c r="J61" s="292"/>
      <c r="K61" s="292"/>
      <c r="L61" s="292"/>
      <c r="M61" s="292"/>
      <c r="N61" s="292"/>
      <c r="O61" s="292"/>
      <c r="P61" s="292"/>
      <c r="Q61" s="292"/>
      <c r="R61" s="292"/>
      <c r="S61" s="292"/>
      <c r="T61" s="292"/>
    </row>
    <row r="62" spans="1:20" ht="21.9" customHeight="1">
      <c r="A62" s="302"/>
      <c r="B62" s="341"/>
      <c r="C62" s="313"/>
      <c r="D62" s="303"/>
      <c r="E62" s="297"/>
      <c r="F62" s="304"/>
      <c r="G62" s="305"/>
      <c r="H62" s="304"/>
      <c r="I62" s="292"/>
      <c r="J62" s="292"/>
      <c r="K62" s="292"/>
      <c r="L62" s="292"/>
      <c r="M62" s="292"/>
      <c r="N62" s="292"/>
      <c r="O62" s="292"/>
      <c r="P62" s="292"/>
      <c r="Q62" s="292"/>
      <c r="R62" s="292"/>
      <c r="S62" s="292"/>
      <c r="T62" s="292"/>
    </row>
    <row r="63" spans="1:20" ht="21.9" customHeight="1">
      <c r="A63" s="300"/>
      <c r="B63" s="301"/>
      <c r="C63" s="307"/>
      <c r="D63" s="303"/>
      <c r="E63" s="297"/>
      <c r="F63" s="304"/>
      <c r="G63" s="305"/>
      <c r="H63" s="304"/>
      <c r="I63" s="292"/>
      <c r="J63" s="292"/>
      <c r="K63" s="292"/>
      <c r="L63" s="292"/>
      <c r="M63" s="292"/>
      <c r="N63" s="292"/>
      <c r="O63" s="292"/>
      <c r="P63" s="292"/>
      <c r="Q63" s="292"/>
      <c r="R63" s="292"/>
      <c r="S63" s="292"/>
      <c r="T63" s="308"/>
    </row>
    <row r="64" spans="1:20" ht="21.9" customHeight="1">
      <c r="A64" s="300"/>
      <c r="B64" s="301"/>
      <c r="C64" s="307"/>
      <c r="D64" s="303"/>
      <c r="E64" s="297"/>
      <c r="F64" s="304"/>
      <c r="G64" s="311"/>
      <c r="H64" s="304"/>
      <c r="I64" s="292"/>
      <c r="J64" s="292"/>
      <c r="K64" s="292"/>
      <c r="L64" s="292"/>
      <c r="M64" s="292"/>
      <c r="N64" s="292"/>
      <c r="O64" s="292"/>
      <c r="P64" s="292"/>
      <c r="Q64" s="292"/>
      <c r="R64" s="292"/>
      <c r="S64" s="292"/>
      <c r="T64" s="292"/>
    </row>
    <row r="65" spans="1:20" ht="21.9" customHeight="1">
      <c r="A65" s="300"/>
      <c r="B65" s="301"/>
      <c r="C65" s="307"/>
      <c r="D65" s="303"/>
      <c r="E65" s="297"/>
      <c r="F65" s="304"/>
      <c r="G65" s="311"/>
      <c r="H65" s="304"/>
      <c r="I65" s="292"/>
      <c r="J65" s="292"/>
      <c r="K65" s="292"/>
      <c r="L65" s="292"/>
      <c r="M65" s="292"/>
      <c r="N65" s="292"/>
      <c r="O65" s="292"/>
      <c r="P65" s="292"/>
      <c r="Q65" s="292"/>
      <c r="R65" s="292"/>
      <c r="S65" s="292"/>
      <c r="T65" s="292"/>
    </row>
    <row r="66" spans="1:20" ht="21.9" customHeight="1">
      <c r="A66" s="302"/>
      <c r="B66" s="341"/>
      <c r="C66" s="313"/>
      <c r="D66" s="314"/>
      <c r="E66" s="297"/>
      <c r="F66" s="304"/>
      <c r="G66" s="305"/>
      <c r="H66" s="304"/>
      <c r="I66" s="292"/>
      <c r="J66" s="292"/>
      <c r="K66" s="292"/>
      <c r="L66" s="292"/>
      <c r="M66" s="292"/>
      <c r="N66" s="292"/>
      <c r="O66" s="292"/>
      <c r="P66" s="292"/>
      <c r="Q66" s="292"/>
      <c r="R66" s="292"/>
      <c r="S66" s="292"/>
      <c r="T66" s="292"/>
    </row>
    <row r="67" spans="1:20" ht="21.9" customHeight="1">
      <c r="A67" s="300"/>
      <c r="B67" s="345"/>
      <c r="C67" s="307"/>
      <c r="D67" s="303"/>
      <c r="E67" s="297"/>
      <c r="F67" s="304"/>
      <c r="G67" s="311"/>
      <c r="H67" s="304"/>
      <c r="I67" s="292"/>
      <c r="J67" s="292"/>
      <c r="K67" s="292"/>
      <c r="L67" s="292"/>
      <c r="M67" s="292"/>
      <c r="N67" s="292"/>
      <c r="O67" s="292"/>
      <c r="P67" s="292"/>
      <c r="Q67" s="292"/>
      <c r="R67" s="292"/>
      <c r="S67" s="292"/>
      <c r="T67" s="292"/>
    </row>
    <row r="68" spans="1:20" ht="21.9" customHeight="1">
      <c r="A68" s="300"/>
      <c r="B68" s="301"/>
      <c r="C68" s="307"/>
      <c r="D68" s="303"/>
      <c r="E68" s="297"/>
      <c r="F68" s="304"/>
      <c r="G68" s="311"/>
      <c r="H68" s="304"/>
      <c r="I68" s="292"/>
      <c r="J68" s="292"/>
      <c r="K68" s="292"/>
      <c r="L68" s="292"/>
      <c r="M68" s="292"/>
      <c r="N68" s="292"/>
      <c r="O68" s="292"/>
      <c r="P68" s="292"/>
      <c r="Q68" s="292"/>
      <c r="R68" s="292"/>
      <c r="S68" s="292"/>
      <c r="T68" s="292"/>
    </row>
    <row r="69" spans="1:20" ht="21.9" customHeight="1">
      <c r="A69" s="300"/>
      <c r="B69" s="301"/>
      <c r="C69" s="307"/>
      <c r="D69" s="303"/>
      <c r="E69" s="297"/>
      <c r="F69" s="304"/>
      <c r="G69" s="311"/>
      <c r="H69" s="304"/>
      <c r="I69" s="292"/>
      <c r="J69" s="292"/>
      <c r="K69" s="292"/>
      <c r="L69" s="292"/>
      <c r="M69" s="292"/>
      <c r="N69" s="292"/>
      <c r="O69" s="292"/>
      <c r="P69" s="292"/>
      <c r="Q69" s="292"/>
      <c r="R69" s="292"/>
      <c r="S69" s="292"/>
      <c r="T69" s="292"/>
    </row>
    <row r="70" spans="1:20" ht="21.9" customHeight="1">
      <c r="A70" s="302"/>
      <c r="B70" s="297" t="s">
        <v>56</v>
      </c>
      <c r="C70" s="307"/>
      <c r="D70" s="314"/>
      <c r="E70" s="297"/>
      <c r="F70" s="304"/>
      <c r="G70" s="311">
        <f>SUM(G3:G69)</f>
        <v>37584400</v>
      </c>
      <c r="H70" s="304"/>
      <c r="I70" s="292"/>
      <c r="J70" s="292"/>
      <c r="K70" s="292"/>
      <c r="L70" s="292"/>
      <c r="M70" s="292"/>
      <c r="N70" s="292"/>
      <c r="O70" s="292"/>
      <c r="P70" s="292"/>
      <c r="Q70" s="292"/>
      <c r="R70" s="292"/>
      <c r="S70" s="292"/>
      <c r="T70" s="292"/>
    </row>
    <row r="71" spans="1:20" ht="21.9" customHeight="1">
      <c r="A71" s="302"/>
      <c r="B71" s="312"/>
      <c r="C71" s="313"/>
      <c r="D71" s="314"/>
      <c r="E71" s="297"/>
      <c r="F71" s="304"/>
      <c r="G71" s="311"/>
      <c r="H71" s="304"/>
      <c r="I71" s="292"/>
      <c r="J71" s="292"/>
      <c r="K71" s="292"/>
      <c r="L71" s="292"/>
      <c r="M71" s="292"/>
      <c r="N71" s="292"/>
      <c r="O71" s="292"/>
      <c r="P71" s="292"/>
      <c r="Q71" s="292"/>
      <c r="R71" s="292"/>
      <c r="S71" s="292"/>
      <c r="T71" s="292"/>
    </row>
    <row r="72" spans="1:20" ht="21.9" customHeight="1">
      <c r="A72" s="13"/>
      <c r="B72" s="309"/>
      <c r="C72" s="309"/>
      <c r="D72" s="14" t="s">
        <v>23</v>
      </c>
      <c r="E72" s="309"/>
      <c r="F72" s="309"/>
      <c r="G72" s="309"/>
      <c r="H72" s="310">
        <f>+H48+1</f>
        <v>6</v>
      </c>
      <c r="I72" s="292"/>
      <c r="J72" s="292"/>
      <c r="K72" s="292"/>
      <c r="L72" s="292"/>
      <c r="M72" s="292"/>
      <c r="N72" s="292"/>
      <c r="O72" s="292"/>
      <c r="P72" s="292"/>
      <c r="Q72" s="292"/>
      <c r="R72" s="292"/>
      <c r="S72" s="292"/>
      <c r="T72" s="292"/>
    </row>
    <row r="73" spans="1:20" ht="21.9" customHeight="1">
      <c r="A73" s="287"/>
      <c r="B73" s="288"/>
      <c r="C73" s="12"/>
      <c r="D73" s="289"/>
      <c r="E73" s="287"/>
      <c r="F73" s="290"/>
      <c r="G73" s="291"/>
      <c r="H73" s="290"/>
      <c r="I73" s="292"/>
      <c r="J73" s="292"/>
      <c r="K73" s="292"/>
      <c r="L73" s="292"/>
      <c r="M73" s="292"/>
      <c r="N73" s="292"/>
      <c r="O73" s="292"/>
      <c r="P73" s="292"/>
      <c r="Q73" s="292"/>
      <c r="R73" s="292"/>
      <c r="S73" s="292"/>
      <c r="T73" s="292"/>
    </row>
    <row r="74" spans="1:20" ht="21.9" customHeight="1">
      <c r="A74" s="293"/>
      <c r="B74" s="294" t="s">
        <v>0</v>
      </c>
      <c r="C74" s="295" t="s">
        <v>1</v>
      </c>
      <c r="D74" s="296" t="s">
        <v>5</v>
      </c>
      <c r="E74" s="297" t="s">
        <v>6</v>
      </c>
      <c r="F74" s="298" t="s">
        <v>20</v>
      </c>
      <c r="G74" s="299" t="s">
        <v>21</v>
      </c>
      <c r="H74" s="298" t="s">
        <v>3</v>
      </c>
      <c r="I74" s="292"/>
      <c r="J74" s="292"/>
      <c r="K74" s="292"/>
      <c r="L74" s="292"/>
      <c r="M74" s="292"/>
      <c r="N74" s="292"/>
      <c r="O74" s="292"/>
      <c r="P74" s="292"/>
      <c r="Q74" s="292"/>
      <c r="R74" s="292"/>
      <c r="S74" s="292"/>
      <c r="T74" s="292"/>
    </row>
    <row r="75" spans="1:20" ht="21.9" customHeight="1">
      <c r="A75" s="349" t="s">
        <v>161</v>
      </c>
      <c r="B75" s="345" t="s">
        <v>162</v>
      </c>
      <c r="C75" s="307"/>
      <c r="D75" s="314"/>
      <c r="E75" s="297"/>
      <c r="F75" s="304"/>
      <c r="G75" s="311"/>
      <c r="H75" s="304"/>
      <c r="I75" s="292"/>
      <c r="J75" s="292"/>
      <c r="K75" s="292"/>
      <c r="L75" s="292"/>
      <c r="M75" s="292"/>
      <c r="N75" s="292"/>
      <c r="O75" s="292"/>
      <c r="P75" s="292"/>
      <c r="Q75" s="292"/>
      <c r="R75" s="292"/>
      <c r="S75" s="292"/>
      <c r="T75" s="308"/>
    </row>
    <row r="76" spans="1:20" ht="21.9" customHeight="1">
      <c r="A76" s="306"/>
      <c r="B76" s="315"/>
      <c r="C76" s="316" t="s">
        <v>136</v>
      </c>
      <c r="D76" s="314"/>
      <c r="E76" s="297"/>
      <c r="F76" s="304"/>
      <c r="G76" s="311"/>
      <c r="H76" s="304"/>
      <c r="I76" s="292"/>
      <c r="J76" s="292"/>
      <c r="K76" s="292"/>
      <c r="L76" s="292"/>
      <c r="M76" s="292"/>
      <c r="N76" s="292"/>
      <c r="O76" s="292"/>
      <c r="P76" s="292"/>
      <c r="Q76" s="292"/>
      <c r="R76" s="292"/>
      <c r="S76" s="292"/>
      <c r="T76" s="292"/>
    </row>
    <row r="77" spans="1:20" ht="21.9" customHeight="1">
      <c r="A77" s="302"/>
      <c r="B77" s="354" t="s">
        <v>172</v>
      </c>
      <c r="C77" s="316" t="s">
        <v>136</v>
      </c>
      <c r="D77" s="314"/>
      <c r="E77" s="297"/>
      <c r="F77" s="304"/>
      <c r="G77" s="311"/>
      <c r="H77" s="304"/>
      <c r="I77" s="292"/>
      <c r="J77" s="292"/>
      <c r="K77" s="292"/>
      <c r="L77" s="292"/>
      <c r="M77" s="292"/>
      <c r="N77" s="292"/>
      <c r="O77" s="292"/>
      <c r="P77" s="292"/>
      <c r="Q77" s="292"/>
      <c r="R77" s="292"/>
      <c r="S77" s="292"/>
      <c r="T77" s="292"/>
    </row>
    <row r="78" spans="1:20" ht="21.9" customHeight="1">
      <c r="A78" s="302"/>
      <c r="B78" s="316"/>
      <c r="C78" s="316" t="s">
        <v>136</v>
      </c>
      <c r="D78" s="314"/>
      <c r="E78" s="297"/>
      <c r="F78" s="304"/>
      <c r="G78" s="305"/>
      <c r="H78" s="304"/>
      <c r="I78" s="292"/>
      <c r="J78" s="292"/>
      <c r="K78" s="292"/>
      <c r="L78" s="292"/>
      <c r="M78" s="292"/>
      <c r="N78" s="292"/>
      <c r="O78" s="292"/>
      <c r="P78" s="292"/>
      <c r="Q78" s="292"/>
      <c r="R78" s="292"/>
      <c r="S78" s="292"/>
      <c r="T78" s="292"/>
    </row>
    <row r="79" spans="1:20" ht="21.9" customHeight="1">
      <c r="A79" s="302"/>
      <c r="B79" s="354" t="s">
        <v>245</v>
      </c>
      <c r="C79" s="354" t="s">
        <v>246</v>
      </c>
      <c r="D79" s="314">
        <v>34</v>
      </c>
      <c r="E79" s="353" t="s">
        <v>171</v>
      </c>
      <c r="F79" s="304">
        <v>2990</v>
      </c>
      <c r="G79" s="305">
        <f t="shared" ref="G79" si="9">ROUNDDOWN(D79*F79,0)</f>
        <v>101660</v>
      </c>
      <c r="H79" s="360" t="s">
        <v>554</v>
      </c>
      <c r="I79" s="292"/>
      <c r="J79" s="292"/>
      <c r="K79" s="292"/>
      <c r="L79" s="292"/>
      <c r="M79" s="292"/>
      <c r="N79" s="292"/>
      <c r="O79" s="292"/>
      <c r="P79" s="292"/>
      <c r="Q79" s="292"/>
      <c r="R79" s="292"/>
      <c r="S79" s="292"/>
      <c r="T79" s="292"/>
    </row>
    <row r="80" spans="1:20" ht="21.9" customHeight="1">
      <c r="A80" s="302"/>
      <c r="B80" s="354" t="s">
        <v>245</v>
      </c>
      <c r="C80" s="354" t="s">
        <v>247</v>
      </c>
      <c r="D80" s="314">
        <v>24</v>
      </c>
      <c r="E80" s="353" t="s">
        <v>171</v>
      </c>
      <c r="F80" s="304">
        <v>4210</v>
      </c>
      <c r="G80" s="305">
        <f t="shared" ref="G80:G82" si="10">ROUNDDOWN(D80*F80,0)</f>
        <v>101040</v>
      </c>
      <c r="H80" s="360" t="s">
        <v>554</v>
      </c>
      <c r="I80" s="292"/>
      <c r="J80" s="292"/>
      <c r="K80" s="292"/>
      <c r="L80" s="292"/>
      <c r="M80" s="292"/>
      <c r="N80" s="292"/>
      <c r="O80" s="292"/>
      <c r="P80" s="292"/>
      <c r="Q80" s="292"/>
      <c r="R80" s="292"/>
      <c r="S80" s="292"/>
      <c r="T80" s="292"/>
    </row>
    <row r="81" spans="1:20" ht="21.9" customHeight="1">
      <c r="A81" s="302"/>
      <c r="B81" s="354" t="s">
        <v>245</v>
      </c>
      <c r="C81" s="354" t="s">
        <v>249</v>
      </c>
      <c r="D81" s="314">
        <v>42</v>
      </c>
      <c r="E81" s="353" t="s">
        <v>171</v>
      </c>
      <c r="F81" s="304">
        <v>2560</v>
      </c>
      <c r="G81" s="305">
        <f t="shared" si="10"/>
        <v>107520</v>
      </c>
      <c r="H81" s="360" t="s">
        <v>554</v>
      </c>
      <c r="I81" s="292"/>
      <c r="J81" s="292"/>
      <c r="K81" s="292"/>
      <c r="L81" s="292"/>
      <c r="M81" s="292"/>
      <c r="N81" s="292"/>
      <c r="O81" s="292"/>
      <c r="P81" s="292"/>
      <c r="Q81" s="292"/>
      <c r="R81" s="292"/>
      <c r="S81" s="292"/>
      <c r="T81" s="292"/>
    </row>
    <row r="82" spans="1:20" ht="21.9" customHeight="1">
      <c r="A82" s="302"/>
      <c r="B82" s="354" t="s">
        <v>245</v>
      </c>
      <c r="C82" s="354" t="s">
        <v>248</v>
      </c>
      <c r="D82" s="314">
        <v>9</v>
      </c>
      <c r="E82" s="353" t="s">
        <v>171</v>
      </c>
      <c r="F82" s="304">
        <v>3610</v>
      </c>
      <c r="G82" s="305">
        <f t="shared" si="10"/>
        <v>32490</v>
      </c>
      <c r="H82" s="360" t="s">
        <v>554</v>
      </c>
      <c r="I82" s="292"/>
      <c r="J82" s="292"/>
      <c r="K82" s="292"/>
      <c r="L82" s="292"/>
      <c r="M82" s="292"/>
      <c r="N82" s="292"/>
      <c r="O82" s="292"/>
      <c r="P82" s="292"/>
      <c r="Q82" s="292"/>
      <c r="R82" s="292"/>
      <c r="S82" s="292"/>
      <c r="T82" s="292"/>
    </row>
    <row r="83" spans="1:20" ht="21.9" customHeight="1">
      <c r="A83" s="302"/>
      <c r="B83" s="354" t="s">
        <v>245</v>
      </c>
      <c r="C83" s="354" t="s">
        <v>269</v>
      </c>
      <c r="D83" s="314">
        <v>20</v>
      </c>
      <c r="E83" s="353" t="s">
        <v>171</v>
      </c>
      <c r="F83" s="304">
        <v>4420</v>
      </c>
      <c r="G83" s="305">
        <f t="shared" ref="G83" si="11">ROUNDDOWN(D83*F83,0)</f>
        <v>88400</v>
      </c>
      <c r="H83" s="360" t="s">
        <v>554</v>
      </c>
      <c r="I83" s="292"/>
      <c r="J83" s="292"/>
      <c r="K83" s="292"/>
      <c r="L83" s="292"/>
      <c r="M83" s="292"/>
      <c r="N83" s="292"/>
      <c r="O83" s="292"/>
      <c r="P83" s="292"/>
      <c r="Q83" s="292"/>
      <c r="R83" s="292"/>
      <c r="S83" s="292"/>
      <c r="T83" s="292"/>
    </row>
    <row r="84" spans="1:20" ht="21.9" customHeight="1">
      <c r="A84" s="302"/>
      <c r="B84" s="354"/>
      <c r="C84" s="354"/>
      <c r="D84" s="314"/>
      <c r="E84" s="353"/>
      <c r="F84" s="304"/>
      <c r="G84" s="305"/>
      <c r="H84" s="360"/>
      <c r="I84" s="292"/>
      <c r="J84" s="292"/>
      <c r="K84" s="292"/>
      <c r="L84" s="292"/>
      <c r="M84" s="292"/>
      <c r="N84" s="292"/>
      <c r="O84" s="292"/>
      <c r="P84" s="292"/>
      <c r="Q84" s="292"/>
      <c r="R84" s="292"/>
      <c r="S84" s="292"/>
      <c r="T84" s="292"/>
    </row>
    <row r="85" spans="1:20" ht="21.9" customHeight="1">
      <c r="A85" s="302"/>
      <c r="B85" s="316"/>
      <c r="C85" s="316" t="s">
        <v>136</v>
      </c>
      <c r="D85" s="314"/>
      <c r="E85" s="297"/>
      <c r="F85" s="304"/>
      <c r="G85" s="311"/>
      <c r="H85" s="304"/>
      <c r="I85" s="292"/>
      <c r="J85" s="292"/>
      <c r="K85" s="292"/>
      <c r="L85" s="292"/>
      <c r="M85" s="292"/>
      <c r="N85" s="292"/>
      <c r="O85" s="292"/>
      <c r="P85" s="292"/>
      <c r="Q85" s="292"/>
      <c r="R85" s="292"/>
      <c r="S85" s="292"/>
      <c r="T85" s="292"/>
    </row>
    <row r="86" spans="1:20" ht="21.9" customHeight="1">
      <c r="A86" s="302"/>
      <c r="B86" s="316"/>
      <c r="C86" s="316" t="s">
        <v>136</v>
      </c>
      <c r="D86" s="314"/>
      <c r="E86" s="297"/>
      <c r="F86" s="304"/>
      <c r="G86" s="311"/>
      <c r="H86" s="304"/>
      <c r="I86" s="292"/>
      <c r="J86" s="292"/>
      <c r="K86" s="292"/>
      <c r="L86" s="292"/>
      <c r="M86" s="292"/>
      <c r="N86" s="292"/>
      <c r="O86" s="292"/>
      <c r="P86" s="292"/>
      <c r="Q86" s="292"/>
      <c r="R86" s="292"/>
      <c r="S86" s="292"/>
      <c r="T86" s="292"/>
    </row>
    <row r="87" spans="1:20" ht="21.9" customHeight="1">
      <c r="A87" s="302"/>
      <c r="B87" s="354" t="s">
        <v>173</v>
      </c>
      <c r="C87" s="316" t="s">
        <v>136</v>
      </c>
      <c r="D87" s="314"/>
      <c r="E87" s="297"/>
      <c r="F87" s="304"/>
      <c r="G87" s="311"/>
      <c r="H87" s="304"/>
      <c r="I87" s="292"/>
      <c r="J87" s="292"/>
      <c r="K87" s="292"/>
      <c r="L87" s="292"/>
      <c r="M87" s="292"/>
      <c r="N87" s="292"/>
      <c r="O87" s="292"/>
      <c r="P87" s="292"/>
      <c r="Q87" s="292"/>
      <c r="R87" s="292"/>
      <c r="S87" s="292"/>
      <c r="T87" s="292"/>
    </row>
    <row r="88" spans="1:20" ht="21.9" customHeight="1">
      <c r="A88" s="302"/>
      <c r="B88" s="354"/>
      <c r="C88" s="316" t="s">
        <v>136</v>
      </c>
      <c r="D88" s="314"/>
      <c r="E88" s="297"/>
      <c r="F88" s="304"/>
      <c r="G88" s="311"/>
      <c r="H88" s="304"/>
      <c r="I88" s="292"/>
      <c r="J88" s="292"/>
      <c r="K88" s="292"/>
      <c r="L88" s="292"/>
      <c r="M88" s="292"/>
      <c r="N88" s="292"/>
      <c r="O88" s="292"/>
      <c r="P88" s="292"/>
      <c r="Q88" s="292"/>
      <c r="R88" s="292"/>
      <c r="S88" s="292"/>
      <c r="T88" s="292"/>
    </row>
    <row r="89" spans="1:20" ht="21.9" customHeight="1">
      <c r="A89" s="302"/>
      <c r="B89" s="354" t="s">
        <v>278</v>
      </c>
      <c r="C89" s="316" t="s">
        <v>151</v>
      </c>
      <c r="D89" s="314">
        <v>168</v>
      </c>
      <c r="E89" s="353" t="s">
        <v>171</v>
      </c>
      <c r="F89" s="304">
        <v>3950</v>
      </c>
      <c r="G89" s="305">
        <f t="shared" ref="G89:G95" si="12">ROUNDDOWN(D89*F89,0)</f>
        <v>663600</v>
      </c>
      <c r="H89" s="360" t="s">
        <v>554</v>
      </c>
      <c r="I89" s="292"/>
      <c r="J89" s="292"/>
      <c r="K89" s="292"/>
      <c r="L89" s="292"/>
      <c r="M89" s="292"/>
      <c r="N89" s="292"/>
      <c r="O89" s="292"/>
      <c r="P89" s="292"/>
      <c r="Q89" s="292"/>
      <c r="R89" s="292"/>
      <c r="S89" s="292"/>
      <c r="T89" s="292"/>
    </row>
    <row r="90" spans="1:20" ht="21.9" customHeight="1">
      <c r="A90" s="302"/>
      <c r="B90" s="316" t="s">
        <v>152</v>
      </c>
      <c r="C90" s="316" t="s">
        <v>153</v>
      </c>
      <c r="D90" s="314">
        <v>5</v>
      </c>
      <c r="E90" s="353" t="s">
        <v>171</v>
      </c>
      <c r="F90" s="304">
        <v>4810</v>
      </c>
      <c r="G90" s="305">
        <f t="shared" si="12"/>
        <v>24050</v>
      </c>
      <c r="H90" s="360" t="s">
        <v>554</v>
      </c>
      <c r="I90" s="292"/>
      <c r="J90" s="292"/>
      <c r="K90" s="292"/>
      <c r="L90" s="292"/>
      <c r="M90" s="292"/>
      <c r="N90" s="292"/>
      <c r="O90" s="292"/>
      <c r="P90" s="292"/>
      <c r="Q90" s="292"/>
      <c r="R90" s="292"/>
      <c r="S90" s="292"/>
      <c r="T90" s="292"/>
    </row>
    <row r="91" spans="1:20" ht="21.9" customHeight="1">
      <c r="A91" s="302"/>
      <c r="B91" s="316" t="s">
        <v>152</v>
      </c>
      <c r="C91" s="316" t="s">
        <v>154</v>
      </c>
      <c r="D91" s="314">
        <v>344</v>
      </c>
      <c r="E91" s="353" t="s">
        <v>171</v>
      </c>
      <c r="F91" s="304">
        <v>6410</v>
      </c>
      <c r="G91" s="305">
        <f t="shared" si="12"/>
        <v>2205040</v>
      </c>
      <c r="H91" s="360" t="s">
        <v>554</v>
      </c>
      <c r="I91" s="292"/>
      <c r="J91" s="292"/>
      <c r="K91" s="292"/>
      <c r="L91" s="292"/>
      <c r="M91" s="292"/>
      <c r="N91" s="292"/>
      <c r="O91" s="292"/>
      <c r="P91" s="292"/>
      <c r="Q91" s="292"/>
      <c r="R91" s="292"/>
      <c r="S91" s="292"/>
      <c r="T91" s="292"/>
    </row>
    <row r="92" spans="1:20" ht="21.9" customHeight="1">
      <c r="A92" s="302"/>
      <c r="B92" s="316"/>
      <c r="C92" s="316"/>
      <c r="D92" s="314"/>
      <c r="E92" s="353"/>
      <c r="F92" s="304"/>
      <c r="G92" s="305"/>
      <c r="H92" s="304"/>
      <c r="I92" s="292"/>
      <c r="J92" s="292"/>
      <c r="K92" s="292"/>
      <c r="L92" s="292"/>
      <c r="M92" s="292"/>
      <c r="N92" s="292"/>
      <c r="O92" s="292"/>
      <c r="P92" s="292"/>
      <c r="Q92" s="292"/>
      <c r="R92" s="292"/>
      <c r="S92" s="292"/>
      <c r="T92" s="292"/>
    </row>
    <row r="93" spans="1:20" ht="21.9" customHeight="1">
      <c r="A93" s="302"/>
      <c r="B93" s="354" t="s">
        <v>279</v>
      </c>
      <c r="C93" s="316" t="s">
        <v>154</v>
      </c>
      <c r="D93" s="314">
        <v>156</v>
      </c>
      <c r="E93" s="353" t="s">
        <v>171</v>
      </c>
      <c r="F93" s="304">
        <v>8770</v>
      </c>
      <c r="G93" s="305">
        <f t="shared" si="12"/>
        <v>1368120</v>
      </c>
      <c r="H93" s="360" t="s">
        <v>554</v>
      </c>
      <c r="I93" s="292"/>
      <c r="J93" s="292"/>
      <c r="K93" s="292"/>
      <c r="L93" s="292"/>
      <c r="M93" s="292"/>
      <c r="N93" s="292"/>
      <c r="O93" s="292"/>
      <c r="P93" s="292"/>
      <c r="Q93" s="292"/>
      <c r="R93" s="292"/>
      <c r="S93" s="292"/>
      <c r="T93" s="292"/>
    </row>
    <row r="94" spans="1:20" ht="21.9" customHeight="1">
      <c r="A94" s="302"/>
      <c r="B94" s="316" t="s">
        <v>152</v>
      </c>
      <c r="C94" s="316" t="s">
        <v>155</v>
      </c>
      <c r="D94" s="314">
        <v>12</v>
      </c>
      <c r="E94" s="353" t="s">
        <v>171</v>
      </c>
      <c r="F94" s="304">
        <v>10420</v>
      </c>
      <c r="G94" s="305">
        <f t="shared" si="12"/>
        <v>125040</v>
      </c>
      <c r="H94" s="360" t="s">
        <v>554</v>
      </c>
      <c r="I94" s="292"/>
      <c r="J94" s="292"/>
      <c r="K94" s="292"/>
      <c r="L94" s="292"/>
      <c r="M94" s="292"/>
      <c r="N94" s="292"/>
      <c r="O94" s="292"/>
      <c r="P94" s="292"/>
      <c r="Q94" s="292"/>
      <c r="R94" s="292"/>
      <c r="S94" s="292"/>
      <c r="T94" s="292"/>
    </row>
    <row r="95" spans="1:20" ht="21.9" customHeight="1">
      <c r="A95" s="302"/>
      <c r="B95" s="316" t="s">
        <v>152</v>
      </c>
      <c r="C95" s="354" t="s">
        <v>174</v>
      </c>
      <c r="D95" s="314">
        <v>349</v>
      </c>
      <c r="E95" s="353" t="s">
        <v>171</v>
      </c>
      <c r="F95" s="304">
        <v>18440</v>
      </c>
      <c r="G95" s="305">
        <f t="shared" si="12"/>
        <v>6435560</v>
      </c>
      <c r="H95" s="360" t="s">
        <v>554</v>
      </c>
      <c r="I95" s="292"/>
      <c r="J95" s="292"/>
      <c r="K95" s="292"/>
      <c r="L95" s="292"/>
      <c r="M95" s="292"/>
      <c r="N95" s="292"/>
      <c r="O95" s="292"/>
      <c r="P95" s="292"/>
      <c r="Q95" s="292"/>
      <c r="R95" s="292"/>
      <c r="S95" s="292"/>
      <c r="T95" s="292"/>
    </row>
    <row r="96" spans="1:20" ht="21.9" customHeight="1">
      <c r="A96" s="13"/>
      <c r="B96" s="309"/>
      <c r="C96" s="309"/>
      <c r="D96" s="14" t="s">
        <v>2</v>
      </c>
      <c r="E96" s="309"/>
      <c r="F96" s="309"/>
      <c r="G96" s="309"/>
      <c r="H96" s="310">
        <f>+H72+1</f>
        <v>7</v>
      </c>
      <c r="I96" s="292"/>
      <c r="J96" s="292"/>
      <c r="K96" s="292"/>
      <c r="L96" s="292"/>
      <c r="M96" s="292"/>
      <c r="N96" s="292"/>
      <c r="O96" s="292"/>
      <c r="P96" s="292"/>
      <c r="Q96" s="292"/>
      <c r="R96" s="292"/>
      <c r="S96" s="292"/>
      <c r="T96" s="292"/>
    </row>
    <row r="97" spans="1:20" ht="21.9" customHeight="1">
      <c r="A97" s="287"/>
      <c r="B97" s="288"/>
      <c r="C97" s="12"/>
      <c r="D97" s="289"/>
      <c r="E97" s="287"/>
      <c r="F97" s="290"/>
      <c r="G97" s="291"/>
      <c r="H97" s="290"/>
      <c r="I97" s="292"/>
      <c r="J97" s="292"/>
      <c r="K97" s="292"/>
      <c r="L97" s="292"/>
      <c r="M97" s="292"/>
      <c r="N97" s="292"/>
      <c r="O97" s="292"/>
      <c r="P97" s="292"/>
      <c r="Q97" s="292"/>
      <c r="R97" s="292"/>
      <c r="S97" s="292"/>
      <c r="T97" s="292"/>
    </row>
    <row r="98" spans="1:20" ht="21.9" customHeight="1">
      <c r="A98" s="293"/>
      <c r="B98" s="294" t="s">
        <v>0</v>
      </c>
      <c r="C98" s="295" t="s">
        <v>1</v>
      </c>
      <c r="D98" s="296" t="s">
        <v>5</v>
      </c>
      <c r="E98" s="297" t="s">
        <v>6</v>
      </c>
      <c r="F98" s="298" t="s">
        <v>20</v>
      </c>
      <c r="G98" s="299" t="s">
        <v>21</v>
      </c>
      <c r="H98" s="298" t="s">
        <v>3</v>
      </c>
      <c r="I98" s="292"/>
      <c r="J98" s="292"/>
      <c r="K98" s="292"/>
      <c r="L98" s="292"/>
      <c r="M98" s="292"/>
      <c r="N98" s="292"/>
      <c r="O98" s="292"/>
      <c r="P98" s="292"/>
      <c r="Q98" s="292"/>
      <c r="R98" s="292"/>
      <c r="S98" s="292"/>
      <c r="T98" s="292"/>
    </row>
    <row r="99" spans="1:20" ht="21.9" customHeight="1">
      <c r="A99" s="302"/>
      <c r="B99" s="354" t="s">
        <v>244</v>
      </c>
      <c r="C99" s="354" t="s">
        <v>280</v>
      </c>
      <c r="D99" s="314">
        <v>6</v>
      </c>
      <c r="E99" s="353" t="s">
        <v>251</v>
      </c>
      <c r="F99" s="304">
        <v>12470</v>
      </c>
      <c r="G99" s="305">
        <f t="shared" ref="G99:G100" si="13">ROUNDDOWN(D99*F99,0)</f>
        <v>74820</v>
      </c>
      <c r="H99" s="360" t="s">
        <v>554</v>
      </c>
      <c r="I99" s="292"/>
      <c r="J99" s="292"/>
      <c r="K99" s="292"/>
      <c r="L99" s="292"/>
      <c r="M99" s="292"/>
      <c r="N99" s="292"/>
      <c r="O99" s="292"/>
      <c r="P99" s="292"/>
      <c r="Q99" s="292"/>
      <c r="R99" s="292"/>
      <c r="S99" s="292"/>
      <c r="T99" s="308"/>
    </row>
    <row r="100" spans="1:20" ht="21.9" customHeight="1">
      <c r="A100" s="302"/>
      <c r="B100" s="354" t="s">
        <v>501</v>
      </c>
      <c r="C100" s="354" t="s">
        <v>500</v>
      </c>
      <c r="D100" s="314">
        <v>14</v>
      </c>
      <c r="E100" s="353" t="s">
        <v>125</v>
      </c>
      <c r="F100" s="304">
        <v>7090</v>
      </c>
      <c r="G100" s="305">
        <f t="shared" si="13"/>
        <v>99260</v>
      </c>
      <c r="H100" s="360" t="s">
        <v>554</v>
      </c>
      <c r="I100" s="292"/>
      <c r="J100" s="292"/>
      <c r="K100" s="292"/>
      <c r="L100" s="292"/>
      <c r="M100" s="292"/>
      <c r="N100" s="292"/>
      <c r="O100" s="292"/>
      <c r="P100" s="292"/>
      <c r="Q100" s="292"/>
      <c r="R100" s="292"/>
      <c r="S100" s="292"/>
      <c r="T100" s="308"/>
    </row>
    <row r="101" spans="1:20" ht="21.9" customHeight="1">
      <c r="A101" s="302"/>
      <c r="B101" s="354" t="s">
        <v>501</v>
      </c>
      <c r="C101" s="354" t="s">
        <v>549</v>
      </c>
      <c r="D101" s="314">
        <v>1</v>
      </c>
      <c r="E101" s="353" t="s">
        <v>125</v>
      </c>
      <c r="F101" s="304">
        <v>8030</v>
      </c>
      <c r="G101" s="305">
        <f t="shared" ref="G101" si="14">ROUNDDOWN(D101*F101,0)</f>
        <v>8030</v>
      </c>
      <c r="H101" s="360" t="s">
        <v>554</v>
      </c>
      <c r="I101" s="292"/>
      <c r="J101" s="292"/>
      <c r="K101" s="292"/>
      <c r="L101" s="292"/>
      <c r="M101" s="292"/>
      <c r="N101" s="292"/>
      <c r="O101" s="292"/>
      <c r="P101" s="292"/>
      <c r="Q101" s="292"/>
      <c r="R101" s="292"/>
      <c r="S101" s="292"/>
      <c r="T101" s="308"/>
    </row>
    <row r="102" spans="1:20" ht="21.9" customHeight="1">
      <c r="A102" s="302"/>
      <c r="B102" s="354" t="s">
        <v>501</v>
      </c>
      <c r="C102" s="354" t="s">
        <v>553</v>
      </c>
      <c r="D102" s="314">
        <v>1</v>
      </c>
      <c r="E102" s="353" t="s">
        <v>125</v>
      </c>
      <c r="F102" s="304">
        <v>9170</v>
      </c>
      <c r="G102" s="305">
        <f t="shared" ref="G102" si="15">ROUNDDOWN(D102*F102,0)</f>
        <v>9170</v>
      </c>
      <c r="H102" s="360" t="s">
        <v>554</v>
      </c>
      <c r="I102" s="292"/>
      <c r="J102" s="292"/>
      <c r="K102" s="292"/>
      <c r="L102" s="292"/>
      <c r="M102" s="292"/>
      <c r="N102" s="292"/>
      <c r="O102" s="292"/>
      <c r="P102" s="292"/>
      <c r="Q102" s="292"/>
      <c r="R102" s="292"/>
      <c r="S102" s="292"/>
      <c r="T102" s="308"/>
    </row>
    <row r="103" spans="1:20" ht="21.9" customHeight="1">
      <c r="A103" s="302"/>
      <c r="B103" s="354" t="s">
        <v>228</v>
      </c>
      <c r="C103" s="354" t="s">
        <v>271</v>
      </c>
      <c r="D103" s="314">
        <v>1</v>
      </c>
      <c r="E103" s="353" t="s">
        <v>241</v>
      </c>
      <c r="F103" s="304">
        <f>'代価-1 '!G23</f>
        <v>2780000</v>
      </c>
      <c r="G103" s="305">
        <f t="shared" ref="G103" si="16">ROUNDDOWN(D103*F103,0)</f>
        <v>2780000</v>
      </c>
      <c r="H103" s="360" t="s">
        <v>274</v>
      </c>
      <c r="I103" s="292"/>
      <c r="J103" s="292"/>
      <c r="K103" s="292"/>
      <c r="L103" s="292"/>
      <c r="M103" s="292"/>
      <c r="N103" s="292"/>
      <c r="O103" s="292"/>
      <c r="P103" s="292"/>
      <c r="Q103" s="292"/>
      <c r="R103" s="292"/>
      <c r="S103" s="292"/>
      <c r="T103" s="292"/>
    </row>
    <row r="104" spans="1:20" ht="21.9" customHeight="1">
      <c r="A104" s="302"/>
      <c r="B104" s="354" t="s">
        <v>270</v>
      </c>
      <c r="C104" s="316" t="s">
        <v>136</v>
      </c>
      <c r="D104" s="314">
        <v>1</v>
      </c>
      <c r="E104" s="353" t="s">
        <v>241</v>
      </c>
      <c r="F104" s="304">
        <f>'代価-1 '!G46</f>
        <v>13582600</v>
      </c>
      <c r="G104" s="305">
        <f t="shared" ref="G104" si="17">ROUNDDOWN(D104*F104,0)</f>
        <v>13582600</v>
      </c>
      <c r="H104" s="360" t="s">
        <v>275</v>
      </c>
      <c r="I104" s="292"/>
      <c r="J104" s="292"/>
      <c r="K104" s="292"/>
      <c r="L104" s="292"/>
      <c r="M104" s="292"/>
      <c r="N104" s="292"/>
      <c r="O104" s="292"/>
      <c r="P104" s="292"/>
      <c r="Q104" s="292"/>
      <c r="R104" s="292"/>
      <c r="S104" s="292"/>
      <c r="T104" s="292"/>
    </row>
    <row r="105" spans="1:20" ht="21.9" customHeight="1">
      <c r="A105" s="302"/>
      <c r="B105" s="316"/>
      <c r="C105" s="316"/>
      <c r="D105" s="314"/>
      <c r="E105" s="297"/>
      <c r="F105" s="304"/>
      <c r="G105" s="305"/>
      <c r="H105" s="304"/>
      <c r="I105" s="292"/>
      <c r="J105" s="292"/>
      <c r="K105" s="292"/>
      <c r="L105" s="292"/>
      <c r="M105" s="292"/>
      <c r="N105" s="292"/>
      <c r="O105" s="292"/>
      <c r="P105" s="292"/>
      <c r="Q105" s="292"/>
      <c r="R105" s="292"/>
      <c r="S105" s="292"/>
      <c r="T105" s="292"/>
    </row>
    <row r="106" spans="1:20" ht="21.9" customHeight="1">
      <c r="A106" s="302"/>
      <c r="B106" s="354" t="s">
        <v>252</v>
      </c>
      <c r="C106" s="354" t="s">
        <v>271</v>
      </c>
      <c r="D106" s="314">
        <v>1</v>
      </c>
      <c r="E106" s="353" t="s">
        <v>241</v>
      </c>
      <c r="F106" s="304">
        <f>'代価-1 '!G69</f>
        <v>53600</v>
      </c>
      <c r="G106" s="305">
        <f t="shared" ref="G106" si="18">ROUNDDOWN(D106*F106,0)</f>
        <v>53600</v>
      </c>
      <c r="H106" s="360" t="s">
        <v>276</v>
      </c>
      <c r="I106" s="292"/>
      <c r="J106" s="292"/>
      <c r="K106" s="292"/>
      <c r="L106" s="292"/>
      <c r="M106" s="292"/>
      <c r="N106" s="292"/>
      <c r="O106" s="292"/>
      <c r="P106" s="292"/>
      <c r="Q106" s="292"/>
      <c r="R106" s="292"/>
      <c r="S106" s="292"/>
      <c r="T106" s="292"/>
    </row>
    <row r="107" spans="1:20" ht="21.9" customHeight="1">
      <c r="A107" s="302"/>
      <c r="B107" s="315"/>
      <c r="C107" s="316"/>
      <c r="D107" s="314"/>
      <c r="E107" s="297"/>
      <c r="F107" s="304"/>
      <c r="G107" s="311"/>
      <c r="H107" s="304"/>
      <c r="I107" s="292"/>
      <c r="J107" s="292"/>
      <c r="K107" s="292"/>
      <c r="L107" s="292"/>
      <c r="M107" s="292"/>
      <c r="N107" s="292"/>
      <c r="O107" s="292"/>
      <c r="P107" s="292"/>
      <c r="Q107" s="292"/>
      <c r="R107" s="292"/>
      <c r="S107" s="292"/>
      <c r="T107" s="292"/>
    </row>
    <row r="108" spans="1:20" ht="21.9" customHeight="1">
      <c r="A108" s="302"/>
      <c r="B108" s="354" t="s">
        <v>289</v>
      </c>
      <c r="C108" s="316"/>
      <c r="D108" s="314"/>
      <c r="E108" s="353"/>
      <c r="F108" s="304"/>
      <c r="G108" s="305"/>
      <c r="H108" s="360"/>
      <c r="I108" s="292"/>
      <c r="J108" s="292"/>
      <c r="K108" s="292"/>
      <c r="L108" s="292"/>
      <c r="M108" s="292"/>
      <c r="N108" s="292"/>
      <c r="O108" s="292"/>
      <c r="P108" s="292"/>
      <c r="Q108" s="292"/>
      <c r="R108" s="292"/>
      <c r="S108" s="292"/>
      <c r="T108" s="292"/>
    </row>
    <row r="109" spans="1:20" ht="21.9" customHeight="1">
      <c r="A109" s="302"/>
      <c r="B109" s="354" t="s">
        <v>552</v>
      </c>
      <c r="C109" s="354" t="s">
        <v>588</v>
      </c>
      <c r="D109" s="314">
        <v>1</v>
      </c>
      <c r="E109" s="353" t="s">
        <v>171</v>
      </c>
      <c r="F109" s="304">
        <v>1270</v>
      </c>
      <c r="G109" s="305">
        <f t="shared" ref="G109" si="19">ROUNDDOWN(D109*F109,0)</f>
        <v>1270</v>
      </c>
      <c r="H109" s="360" t="s">
        <v>554</v>
      </c>
      <c r="I109" s="292"/>
      <c r="J109" s="292"/>
      <c r="K109" s="292"/>
      <c r="L109" s="292"/>
      <c r="M109" s="292"/>
      <c r="N109" s="292"/>
      <c r="O109" s="292"/>
      <c r="P109" s="292"/>
      <c r="Q109" s="292"/>
      <c r="R109" s="292"/>
      <c r="S109" s="292"/>
      <c r="T109" s="292"/>
    </row>
    <row r="110" spans="1:20" ht="21.9" customHeight="1">
      <c r="A110" s="302"/>
      <c r="B110" s="354" t="s">
        <v>288</v>
      </c>
      <c r="C110" s="354" t="s">
        <v>589</v>
      </c>
      <c r="D110" s="314">
        <v>1</v>
      </c>
      <c r="E110" s="353" t="s">
        <v>171</v>
      </c>
      <c r="F110" s="304">
        <v>3850</v>
      </c>
      <c r="G110" s="305">
        <f t="shared" ref="G110" si="20">ROUNDDOWN(D110*F110,0)</f>
        <v>3850</v>
      </c>
      <c r="H110" s="360" t="s">
        <v>554</v>
      </c>
      <c r="I110" s="292"/>
      <c r="J110" s="292"/>
      <c r="K110" s="292"/>
      <c r="L110" s="292"/>
      <c r="M110" s="292"/>
      <c r="N110" s="292"/>
      <c r="O110" s="292"/>
      <c r="P110" s="292"/>
      <c r="Q110" s="292"/>
      <c r="R110" s="292"/>
      <c r="S110" s="292"/>
      <c r="T110" s="292"/>
    </row>
    <row r="111" spans="1:20" ht="21.9" customHeight="1">
      <c r="A111" s="302"/>
      <c r="B111" s="354"/>
      <c r="C111" s="354"/>
      <c r="D111" s="314"/>
      <c r="E111" s="353"/>
      <c r="F111" s="304"/>
      <c r="G111" s="305"/>
      <c r="H111" s="360"/>
      <c r="I111" s="292"/>
      <c r="J111" s="292"/>
      <c r="K111" s="292"/>
      <c r="L111" s="292"/>
      <c r="M111" s="292"/>
      <c r="N111" s="292"/>
      <c r="O111" s="292"/>
      <c r="P111" s="292"/>
      <c r="Q111" s="292"/>
      <c r="R111" s="292"/>
      <c r="S111" s="292"/>
      <c r="T111" s="292"/>
    </row>
    <row r="112" spans="1:20" ht="21.9" customHeight="1">
      <c r="A112" s="302"/>
      <c r="B112" s="354" t="s">
        <v>290</v>
      </c>
      <c r="C112" s="354" t="s">
        <v>291</v>
      </c>
      <c r="D112" s="314">
        <v>1</v>
      </c>
      <c r="E112" s="353" t="s">
        <v>294</v>
      </c>
      <c r="F112" s="304">
        <v>7070</v>
      </c>
      <c r="G112" s="305">
        <f t="shared" ref="G112:G114" si="21">ROUNDDOWN(D112*F112,0)</f>
        <v>7070</v>
      </c>
      <c r="H112" s="360" t="s">
        <v>554</v>
      </c>
      <c r="I112" s="292"/>
      <c r="J112" s="292"/>
      <c r="K112" s="292"/>
      <c r="L112" s="292"/>
      <c r="M112" s="292"/>
      <c r="N112" s="292"/>
      <c r="O112" s="292"/>
      <c r="P112" s="292"/>
      <c r="Q112" s="292"/>
      <c r="R112" s="292"/>
      <c r="S112" s="292"/>
      <c r="T112" s="292"/>
    </row>
    <row r="113" spans="1:20" ht="21.9" customHeight="1">
      <c r="A113" s="302"/>
      <c r="B113" s="354" t="s">
        <v>292</v>
      </c>
      <c r="C113" s="354" t="s">
        <v>293</v>
      </c>
      <c r="D113" s="314">
        <v>1</v>
      </c>
      <c r="E113" s="353" t="s">
        <v>294</v>
      </c>
      <c r="F113" s="304">
        <v>6580</v>
      </c>
      <c r="G113" s="305">
        <f t="shared" si="21"/>
        <v>6580</v>
      </c>
      <c r="H113" s="360" t="s">
        <v>554</v>
      </c>
      <c r="I113" s="292"/>
      <c r="J113" s="292"/>
      <c r="K113" s="292"/>
      <c r="L113" s="292"/>
      <c r="M113" s="292"/>
      <c r="N113" s="292"/>
      <c r="O113" s="292"/>
      <c r="P113" s="292"/>
      <c r="Q113" s="292"/>
      <c r="R113" s="292"/>
      <c r="S113" s="292"/>
      <c r="T113" s="292"/>
    </row>
    <row r="114" spans="1:20" ht="21.9" customHeight="1">
      <c r="A114" s="302"/>
      <c r="B114" s="354" t="s">
        <v>548</v>
      </c>
      <c r="C114" s="316"/>
      <c r="D114" s="314">
        <v>1</v>
      </c>
      <c r="E114" s="353" t="s">
        <v>125</v>
      </c>
      <c r="F114" s="304">
        <v>19730</v>
      </c>
      <c r="G114" s="305">
        <f t="shared" si="21"/>
        <v>19730</v>
      </c>
      <c r="H114" s="360" t="s">
        <v>554</v>
      </c>
      <c r="I114" s="292"/>
      <c r="J114" s="292"/>
      <c r="K114" s="292"/>
      <c r="L114" s="292"/>
      <c r="M114" s="292"/>
      <c r="N114" s="292"/>
      <c r="O114" s="292"/>
      <c r="P114" s="292"/>
      <c r="Q114" s="292"/>
      <c r="R114" s="292"/>
      <c r="S114" s="292"/>
      <c r="T114" s="292"/>
    </row>
    <row r="115" spans="1:20" ht="21.9" customHeight="1">
      <c r="A115" s="302"/>
      <c r="B115" s="354" t="s">
        <v>295</v>
      </c>
      <c r="C115" s="354" t="s">
        <v>581</v>
      </c>
      <c r="D115" s="314">
        <v>1</v>
      </c>
      <c r="E115" s="353" t="s">
        <v>15</v>
      </c>
      <c r="F115" s="304">
        <f>'代価-3 '!G69</f>
        <v>0</v>
      </c>
      <c r="G115" s="305">
        <f t="shared" ref="G115" si="22">ROUNDDOWN(D115*F115,0)</f>
        <v>0</v>
      </c>
      <c r="H115" s="360" t="s">
        <v>304</v>
      </c>
      <c r="I115" s="292"/>
      <c r="J115" s="292"/>
      <c r="K115" s="292"/>
      <c r="L115" s="292"/>
      <c r="M115" s="292"/>
      <c r="N115" s="292"/>
      <c r="O115" s="292"/>
      <c r="P115" s="292"/>
      <c r="Q115" s="292"/>
      <c r="R115" s="292"/>
      <c r="S115" s="292"/>
      <c r="T115" s="292"/>
    </row>
    <row r="116" spans="1:20" ht="21.9" customHeight="1">
      <c r="A116" s="302"/>
      <c r="B116" s="354" t="s">
        <v>542</v>
      </c>
      <c r="C116" s="354" t="s">
        <v>452</v>
      </c>
      <c r="D116" s="314">
        <v>1</v>
      </c>
      <c r="E116" s="353" t="s">
        <v>15</v>
      </c>
      <c r="F116" s="304">
        <f>'代価-3 '!G92</f>
        <v>-300</v>
      </c>
      <c r="G116" s="305">
        <f t="shared" ref="G116" si="23">ROUNDDOWN(D116*F116,0)</f>
        <v>-300</v>
      </c>
      <c r="H116" s="360" t="s">
        <v>543</v>
      </c>
      <c r="I116" s="292"/>
      <c r="J116" s="292"/>
      <c r="K116" s="292"/>
      <c r="L116" s="292"/>
      <c r="M116" s="292"/>
      <c r="N116" s="292"/>
      <c r="O116" s="292"/>
      <c r="P116" s="292"/>
      <c r="Q116" s="292"/>
      <c r="R116" s="292"/>
      <c r="S116" s="292"/>
      <c r="T116" s="292"/>
    </row>
    <row r="117" spans="1:20" ht="21.9" customHeight="1">
      <c r="A117" s="302"/>
      <c r="B117" s="315"/>
      <c r="C117" s="316"/>
      <c r="D117" s="314"/>
      <c r="E117" s="297"/>
      <c r="F117" s="304"/>
      <c r="G117" s="311"/>
      <c r="H117" s="304"/>
      <c r="I117" s="292"/>
      <c r="J117" s="292"/>
      <c r="K117" s="292"/>
      <c r="L117" s="292"/>
      <c r="M117" s="292"/>
      <c r="N117" s="292"/>
      <c r="O117" s="292"/>
      <c r="P117" s="292"/>
      <c r="Q117" s="292"/>
      <c r="R117" s="292"/>
      <c r="S117" s="292"/>
      <c r="T117" s="292"/>
    </row>
    <row r="118" spans="1:20" ht="21.9" customHeight="1">
      <c r="A118" s="302"/>
      <c r="B118" s="297" t="s">
        <v>56</v>
      </c>
      <c r="C118" s="307"/>
      <c r="D118" s="314"/>
      <c r="E118" s="297"/>
      <c r="F118" s="304"/>
      <c r="G118" s="311">
        <f>SUM(G75:G117)</f>
        <v>27898200</v>
      </c>
      <c r="H118" s="304"/>
      <c r="I118" s="292"/>
      <c r="J118" s="292"/>
      <c r="K118" s="292"/>
      <c r="L118" s="292"/>
      <c r="M118" s="292"/>
      <c r="N118" s="292"/>
      <c r="O118" s="292"/>
      <c r="P118" s="292"/>
      <c r="Q118" s="292"/>
      <c r="R118" s="292"/>
      <c r="S118" s="292"/>
      <c r="T118" s="292"/>
    </row>
    <row r="119" spans="1:20" ht="21.9" customHeight="1">
      <c r="A119" s="302"/>
      <c r="B119" s="294"/>
      <c r="C119" s="307"/>
      <c r="D119" s="314"/>
      <c r="E119" s="297"/>
      <c r="F119" s="304"/>
      <c r="G119" s="311"/>
      <c r="H119" s="304"/>
      <c r="I119" s="292"/>
      <c r="J119" s="292"/>
      <c r="K119" s="292"/>
      <c r="L119" s="292"/>
      <c r="M119" s="292"/>
      <c r="N119" s="292"/>
      <c r="O119" s="292"/>
      <c r="P119" s="292"/>
      <c r="Q119" s="292"/>
      <c r="R119" s="292"/>
      <c r="S119" s="292"/>
      <c r="T119" s="292"/>
    </row>
    <row r="120" spans="1:20" ht="21.9" customHeight="1">
      <c r="A120" s="13"/>
      <c r="B120" s="309"/>
      <c r="C120" s="309"/>
      <c r="D120" s="14" t="s">
        <v>23</v>
      </c>
      <c r="E120" s="309"/>
      <c r="F120" s="309"/>
      <c r="G120" s="309"/>
      <c r="H120" s="310">
        <f>+H96+1</f>
        <v>8</v>
      </c>
      <c r="I120" s="292"/>
      <c r="J120" s="292"/>
      <c r="K120" s="292"/>
      <c r="L120" s="292"/>
      <c r="M120" s="292"/>
      <c r="N120" s="292"/>
      <c r="O120" s="292"/>
      <c r="P120" s="292"/>
      <c r="Q120" s="292"/>
      <c r="R120" s="292"/>
      <c r="S120" s="292"/>
      <c r="T120" s="292"/>
    </row>
    <row r="121" spans="1:20" ht="21.9" customHeight="1">
      <c r="A121" s="287"/>
      <c r="B121" s="288"/>
      <c r="C121" s="12"/>
      <c r="D121" s="289"/>
      <c r="E121" s="287"/>
      <c r="F121" s="290"/>
      <c r="G121" s="291"/>
      <c r="H121" s="290"/>
      <c r="I121" s="292"/>
      <c r="J121" s="292"/>
      <c r="K121" s="292"/>
      <c r="L121" s="292"/>
      <c r="M121" s="292"/>
      <c r="N121" s="292"/>
      <c r="O121" s="292"/>
      <c r="P121" s="292"/>
      <c r="Q121" s="292"/>
      <c r="R121" s="292"/>
      <c r="S121" s="292"/>
      <c r="T121" s="292"/>
    </row>
    <row r="122" spans="1:20" ht="21.9" customHeight="1">
      <c r="A122" s="293"/>
      <c r="B122" s="294" t="s">
        <v>0</v>
      </c>
      <c r="C122" s="295" t="s">
        <v>1</v>
      </c>
      <c r="D122" s="296" t="s">
        <v>5</v>
      </c>
      <c r="E122" s="297" t="s">
        <v>6</v>
      </c>
      <c r="F122" s="298" t="s">
        <v>20</v>
      </c>
      <c r="G122" s="299" t="s">
        <v>21</v>
      </c>
      <c r="H122" s="298" t="s">
        <v>3</v>
      </c>
      <c r="I122" s="292"/>
      <c r="J122" s="292"/>
      <c r="K122" s="292"/>
      <c r="L122" s="292"/>
      <c r="M122" s="292"/>
      <c r="N122" s="292"/>
      <c r="O122" s="292"/>
      <c r="P122" s="292"/>
      <c r="Q122" s="292"/>
      <c r="R122" s="292"/>
      <c r="S122" s="292"/>
      <c r="T122" s="292"/>
    </row>
    <row r="123" spans="1:20" ht="21.9" customHeight="1">
      <c r="A123" s="349" t="s">
        <v>163</v>
      </c>
      <c r="B123" s="345" t="s">
        <v>156</v>
      </c>
      <c r="C123" s="307"/>
      <c r="D123" s="314"/>
      <c r="E123" s="297"/>
      <c r="F123" s="304"/>
      <c r="G123" s="311"/>
      <c r="H123" s="304"/>
      <c r="I123" s="292"/>
      <c r="J123" s="292"/>
      <c r="K123" s="292"/>
      <c r="L123" s="292"/>
      <c r="M123" s="292"/>
      <c r="N123" s="292"/>
      <c r="O123" s="292"/>
      <c r="P123" s="292"/>
      <c r="Q123" s="292"/>
      <c r="R123" s="292"/>
      <c r="S123" s="292"/>
      <c r="T123" s="308"/>
    </row>
    <row r="124" spans="1:20" ht="21.9" customHeight="1">
      <c r="A124" s="306"/>
      <c r="B124" s="315"/>
      <c r="C124" s="316" t="s">
        <v>136</v>
      </c>
      <c r="D124" s="314"/>
      <c r="E124" s="297"/>
      <c r="F124" s="304"/>
      <c r="G124" s="311"/>
      <c r="H124" s="304"/>
      <c r="I124" s="292"/>
      <c r="J124" s="292"/>
      <c r="K124" s="292"/>
      <c r="L124" s="292"/>
      <c r="M124" s="292"/>
      <c r="N124" s="292"/>
      <c r="O124" s="292"/>
      <c r="P124" s="292"/>
      <c r="Q124" s="292"/>
      <c r="R124" s="292"/>
      <c r="S124" s="292"/>
      <c r="T124" s="292"/>
    </row>
    <row r="125" spans="1:20" ht="21.9" customHeight="1">
      <c r="A125" s="362"/>
      <c r="B125" s="359" t="s">
        <v>508</v>
      </c>
      <c r="C125" s="316"/>
      <c r="D125" s="639">
        <v>1</v>
      </c>
      <c r="E125" s="638" t="s">
        <v>268</v>
      </c>
      <c r="F125" s="304">
        <f>'（計装工事） '!U10</f>
        <v>1870050</v>
      </c>
      <c r="G125" s="305">
        <f>ROUNDDOWN(D125*F125,0)</f>
        <v>1870050</v>
      </c>
      <c r="H125" s="666"/>
      <c r="I125" s="292"/>
      <c r="J125" s="292"/>
      <c r="K125" s="292"/>
      <c r="L125" s="292"/>
      <c r="M125" s="292"/>
      <c r="N125" s="292"/>
      <c r="O125" s="292"/>
      <c r="P125" s="292"/>
      <c r="Q125" s="292"/>
      <c r="R125" s="292"/>
      <c r="S125" s="292"/>
      <c r="T125" s="292"/>
    </row>
    <row r="126" spans="1:20" ht="21.9" customHeight="1">
      <c r="A126" s="302"/>
      <c r="B126" s="359" t="s">
        <v>509</v>
      </c>
      <c r="C126" s="316"/>
      <c r="D126" s="639">
        <v>1</v>
      </c>
      <c r="E126" s="638" t="s">
        <v>268</v>
      </c>
      <c r="F126" s="304">
        <f>'（計装工事） '!U11</f>
        <v>1775150</v>
      </c>
      <c r="G126" s="305">
        <f>ROUNDDOWN(D126*F126,0)</f>
        <v>1775150</v>
      </c>
      <c r="H126" s="666"/>
      <c r="I126" s="292"/>
      <c r="J126" s="292"/>
      <c r="K126" s="292"/>
      <c r="L126" s="292"/>
      <c r="M126" s="292"/>
      <c r="N126" s="292"/>
      <c r="O126" s="292"/>
      <c r="P126" s="292"/>
      <c r="Q126" s="292"/>
      <c r="R126" s="292"/>
      <c r="S126" s="292"/>
      <c r="T126" s="292"/>
    </row>
    <row r="127" spans="1:20" ht="21.9" customHeight="1">
      <c r="A127" s="362"/>
      <c r="B127" s="359" t="s">
        <v>510</v>
      </c>
      <c r="C127" s="316"/>
      <c r="D127" s="639">
        <v>1</v>
      </c>
      <c r="E127" s="638" t="s">
        <v>511</v>
      </c>
      <c r="F127" s="304">
        <f>'（計装工事） '!U12</f>
        <v>547300</v>
      </c>
      <c r="G127" s="305">
        <f>ROUNDDOWN(D127*F127,0)</f>
        <v>547300</v>
      </c>
      <c r="H127" s="666"/>
      <c r="I127" s="292"/>
      <c r="J127" s="292"/>
      <c r="K127" s="292"/>
      <c r="L127" s="292"/>
      <c r="M127" s="292"/>
      <c r="N127" s="292"/>
      <c r="O127" s="292"/>
      <c r="P127" s="292"/>
      <c r="Q127" s="292"/>
      <c r="R127" s="292"/>
      <c r="S127" s="292"/>
      <c r="T127" s="292"/>
    </row>
    <row r="128" spans="1:20" ht="21.9" customHeight="1">
      <c r="A128" s="362"/>
      <c r="B128" s="359" t="s">
        <v>512</v>
      </c>
      <c r="C128" s="316"/>
      <c r="D128" s="640"/>
      <c r="E128" s="297"/>
      <c r="F128" s="304">
        <f>'（計装工事） '!U13</f>
        <v>0</v>
      </c>
      <c r="G128" s="305"/>
      <c r="H128" s="360"/>
      <c r="I128" s="292"/>
      <c r="J128" s="292"/>
      <c r="K128" s="292"/>
      <c r="L128" s="292"/>
      <c r="M128" s="292"/>
      <c r="N128" s="292"/>
      <c r="O128" s="292"/>
      <c r="P128" s="292"/>
      <c r="Q128" s="292"/>
      <c r="R128" s="292"/>
      <c r="S128" s="292"/>
      <c r="T128" s="292"/>
    </row>
    <row r="129" spans="1:20" ht="21.9" customHeight="1">
      <c r="A129" s="362"/>
      <c r="B129" s="359" t="s">
        <v>513</v>
      </c>
      <c r="C129" s="316" t="s">
        <v>904</v>
      </c>
      <c r="D129" s="639">
        <v>1006</v>
      </c>
      <c r="E129" s="638" t="s">
        <v>518</v>
      </c>
      <c r="F129" s="304">
        <v>690</v>
      </c>
      <c r="G129" s="305">
        <f t="shared" ref="G129:G139" si="24">ROUNDDOWN(D129*F129,0)</f>
        <v>694140</v>
      </c>
      <c r="H129" s="666" t="s">
        <v>905</v>
      </c>
      <c r="I129" s="292"/>
      <c r="J129" s="292"/>
      <c r="K129" s="292"/>
      <c r="L129" s="292"/>
      <c r="M129" s="292"/>
      <c r="N129" s="292"/>
      <c r="O129" s="292"/>
      <c r="P129" s="292"/>
      <c r="Q129" s="292"/>
      <c r="R129" s="292"/>
      <c r="S129" s="292"/>
      <c r="T129" s="292"/>
    </row>
    <row r="130" spans="1:20" ht="21.9" customHeight="1">
      <c r="A130" s="362"/>
      <c r="B130" s="359" t="s">
        <v>514</v>
      </c>
      <c r="C130" s="316" t="s">
        <v>904</v>
      </c>
      <c r="D130" s="639">
        <v>130</v>
      </c>
      <c r="E130" s="638" t="s">
        <v>518</v>
      </c>
      <c r="F130" s="304">
        <v>830</v>
      </c>
      <c r="G130" s="305">
        <f t="shared" si="24"/>
        <v>107900</v>
      </c>
      <c r="H130" s="666" t="s">
        <v>905</v>
      </c>
      <c r="I130" s="292"/>
      <c r="J130" s="292"/>
      <c r="K130" s="292"/>
      <c r="L130" s="292"/>
      <c r="M130" s="292"/>
      <c r="N130" s="292"/>
      <c r="O130" s="292"/>
      <c r="P130" s="292"/>
      <c r="Q130" s="292"/>
      <c r="R130" s="292"/>
      <c r="S130" s="292"/>
      <c r="T130" s="292"/>
    </row>
    <row r="131" spans="1:20" ht="21.9" customHeight="1">
      <c r="A131" s="362"/>
      <c r="B131" s="359" t="s">
        <v>515</v>
      </c>
      <c r="C131" s="316" t="s">
        <v>906</v>
      </c>
      <c r="D131" s="639">
        <v>18</v>
      </c>
      <c r="E131" s="638" t="s">
        <v>518</v>
      </c>
      <c r="F131" s="304">
        <v>1620</v>
      </c>
      <c r="G131" s="305">
        <f t="shared" si="24"/>
        <v>29160</v>
      </c>
      <c r="H131" s="666" t="s">
        <v>905</v>
      </c>
      <c r="I131" s="292"/>
      <c r="J131" s="292"/>
      <c r="K131" s="292"/>
      <c r="L131" s="292"/>
      <c r="M131" s="292"/>
      <c r="N131" s="292"/>
      <c r="O131" s="292"/>
      <c r="P131" s="292"/>
      <c r="Q131" s="292"/>
      <c r="R131" s="292"/>
      <c r="S131" s="292"/>
      <c r="T131" s="292"/>
    </row>
    <row r="132" spans="1:20" ht="21.9" customHeight="1">
      <c r="A132" s="302"/>
      <c r="B132" s="359" t="s">
        <v>516</v>
      </c>
      <c r="C132" s="316" t="s">
        <v>904</v>
      </c>
      <c r="D132" s="639">
        <v>181</v>
      </c>
      <c r="E132" s="638" t="s">
        <v>518</v>
      </c>
      <c r="F132" s="304">
        <v>1660</v>
      </c>
      <c r="G132" s="305">
        <f t="shared" si="24"/>
        <v>300460</v>
      </c>
      <c r="H132" s="666" t="s">
        <v>905</v>
      </c>
      <c r="I132" s="292"/>
      <c r="J132" s="292"/>
      <c r="K132" s="292"/>
      <c r="L132" s="292"/>
      <c r="M132" s="292"/>
      <c r="N132" s="292"/>
      <c r="O132" s="292"/>
      <c r="P132" s="292"/>
      <c r="Q132" s="292"/>
      <c r="R132" s="292"/>
      <c r="S132" s="292"/>
      <c r="T132" s="292"/>
    </row>
    <row r="133" spans="1:20" ht="21.9" customHeight="1">
      <c r="A133" s="302"/>
      <c r="B133" s="359" t="s">
        <v>517</v>
      </c>
      <c r="C133" s="316" t="s">
        <v>906</v>
      </c>
      <c r="D133" s="639">
        <v>3</v>
      </c>
      <c r="E133" s="638" t="s">
        <v>518</v>
      </c>
      <c r="F133" s="304">
        <v>1040</v>
      </c>
      <c r="G133" s="305">
        <f t="shared" si="24"/>
        <v>3120</v>
      </c>
      <c r="H133" s="666" t="s">
        <v>905</v>
      </c>
      <c r="I133" s="292"/>
      <c r="J133" s="292"/>
      <c r="K133" s="292"/>
      <c r="L133" s="292"/>
      <c r="M133" s="292"/>
      <c r="N133" s="292"/>
      <c r="O133" s="292"/>
      <c r="P133" s="292"/>
      <c r="Q133" s="292"/>
      <c r="R133" s="292"/>
      <c r="S133" s="292"/>
      <c r="T133" s="292"/>
    </row>
    <row r="134" spans="1:20" ht="21.9" customHeight="1">
      <c r="A134" s="302"/>
      <c r="B134" s="359" t="s">
        <v>519</v>
      </c>
      <c r="C134" s="316" t="s">
        <v>907</v>
      </c>
      <c r="D134" s="639">
        <v>4</v>
      </c>
      <c r="E134" s="667" t="s">
        <v>680</v>
      </c>
      <c r="F134" s="304">
        <v>3370</v>
      </c>
      <c r="G134" s="305">
        <f t="shared" si="24"/>
        <v>13480</v>
      </c>
      <c r="H134" s="666" t="s">
        <v>905</v>
      </c>
      <c r="I134" s="292"/>
      <c r="J134" s="292"/>
      <c r="K134" s="292"/>
      <c r="L134" s="292"/>
      <c r="M134" s="292"/>
      <c r="N134" s="292"/>
      <c r="O134" s="292"/>
      <c r="P134" s="292"/>
      <c r="Q134" s="292"/>
      <c r="R134" s="292"/>
      <c r="S134" s="292"/>
      <c r="T134" s="292"/>
    </row>
    <row r="135" spans="1:20" ht="21.9" customHeight="1">
      <c r="A135" s="302"/>
      <c r="B135" s="668" t="s">
        <v>908</v>
      </c>
      <c r="C135" s="316" t="s">
        <v>909</v>
      </c>
      <c r="D135" s="639">
        <v>7</v>
      </c>
      <c r="E135" s="667" t="s">
        <v>680</v>
      </c>
      <c r="F135" s="304">
        <v>8630</v>
      </c>
      <c r="G135" s="305">
        <f t="shared" si="24"/>
        <v>60410</v>
      </c>
      <c r="H135" s="666" t="s">
        <v>905</v>
      </c>
      <c r="I135" s="292"/>
      <c r="J135" s="292"/>
      <c r="K135" s="292"/>
      <c r="L135" s="292"/>
      <c r="M135" s="292"/>
      <c r="N135" s="292"/>
      <c r="O135" s="292"/>
      <c r="P135" s="292"/>
      <c r="Q135" s="292"/>
      <c r="R135" s="292"/>
      <c r="S135" s="292"/>
      <c r="T135" s="292"/>
    </row>
    <row r="136" spans="1:20" ht="21.9" customHeight="1">
      <c r="A136" s="302"/>
      <c r="B136" s="668" t="s">
        <v>910</v>
      </c>
      <c r="C136" s="316" t="s">
        <v>911</v>
      </c>
      <c r="D136" s="639">
        <v>10</v>
      </c>
      <c r="E136" s="667" t="s">
        <v>680</v>
      </c>
      <c r="F136" s="304">
        <v>16700</v>
      </c>
      <c r="G136" s="305">
        <f t="shared" si="24"/>
        <v>167000</v>
      </c>
      <c r="H136" s="666" t="s">
        <v>905</v>
      </c>
      <c r="I136" s="292"/>
      <c r="J136" s="292"/>
      <c r="K136" s="292"/>
      <c r="L136" s="292"/>
      <c r="M136" s="292"/>
      <c r="N136" s="292"/>
      <c r="O136" s="292"/>
      <c r="P136" s="292"/>
      <c r="Q136" s="292"/>
      <c r="R136" s="292"/>
      <c r="S136" s="292"/>
      <c r="T136" s="292"/>
    </row>
    <row r="137" spans="1:20" ht="21.9" customHeight="1">
      <c r="A137" s="302"/>
      <c r="B137" s="668" t="s">
        <v>912</v>
      </c>
      <c r="C137" s="316" t="s">
        <v>913</v>
      </c>
      <c r="D137" s="639">
        <v>3</v>
      </c>
      <c r="E137" s="667" t="s">
        <v>680</v>
      </c>
      <c r="F137" s="304">
        <v>4840</v>
      </c>
      <c r="G137" s="305">
        <f t="shared" si="24"/>
        <v>14520</v>
      </c>
      <c r="H137" s="666" t="s">
        <v>905</v>
      </c>
      <c r="I137" s="292"/>
      <c r="J137" s="292"/>
      <c r="K137" s="292"/>
      <c r="L137" s="292"/>
      <c r="M137" s="292"/>
      <c r="N137" s="292"/>
      <c r="O137" s="292"/>
      <c r="P137" s="292"/>
      <c r="Q137" s="292"/>
      <c r="R137" s="292"/>
      <c r="S137" s="292"/>
      <c r="T137" s="292"/>
    </row>
    <row r="138" spans="1:20" ht="21.9" customHeight="1">
      <c r="A138" s="302"/>
      <c r="B138" s="668" t="s">
        <v>914</v>
      </c>
      <c r="C138" s="316" t="s">
        <v>915</v>
      </c>
      <c r="D138" s="639">
        <v>12</v>
      </c>
      <c r="E138" s="667" t="s">
        <v>680</v>
      </c>
      <c r="F138" s="304">
        <v>6320</v>
      </c>
      <c r="G138" s="305">
        <f t="shared" si="24"/>
        <v>75840</v>
      </c>
      <c r="H138" s="666" t="s">
        <v>905</v>
      </c>
      <c r="I138" s="292"/>
      <c r="J138" s="292"/>
      <c r="K138" s="292"/>
      <c r="L138" s="292"/>
      <c r="M138" s="292"/>
      <c r="N138" s="292"/>
      <c r="O138" s="292"/>
      <c r="P138" s="292"/>
      <c r="Q138" s="292"/>
      <c r="R138" s="292"/>
      <c r="S138" s="292"/>
      <c r="T138" s="292"/>
    </row>
    <row r="139" spans="1:20" ht="21.9" customHeight="1">
      <c r="A139" s="302"/>
      <c r="B139" s="668" t="s">
        <v>916</v>
      </c>
      <c r="C139" s="316" t="s">
        <v>917</v>
      </c>
      <c r="D139" s="639">
        <v>28</v>
      </c>
      <c r="E139" s="667" t="s">
        <v>680</v>
      </c>
      <c r="F139" s="304">
        <v>7640</v>
      </c>
      <c r="G139" s="305">
        <f t="shared" si="24"/>
        <v>213920</v>
      </c>
      <c r="H139" s="666" t="s">
        <v>905</v>
      </c>
      <c r="I139" s="292"/>
      <c r="J139" s="292"/>
      <c r="K139" s="292"/>
      <c r="L139" s="292"/>
      <c r="M139" s="292"/>
      <c r="N139" s="292"/>
      <c r="O139" s="292"/>
      <c r="P139" s="292"/>
      <c r="Q139" s="292"/>
      <c r="R139" s="292"/>
      <c r="S139" s="292"/>
      <c r="T139" s="292"/>
    </row>
    <row r="140" spans="1:20" ht="21.9" customHeight="1">
      <c r="A140" s="302"/>
      <c r="B140" s="359" t="s">
        <v>525</v>
      </c>
      <c r="C140" s="316" t="s">
        <v>918</v>
      </c>
      <c r="D140" s="639"/>
      <c r="E140" s="638"/>
      <c r="F140" s="304"/>
      <c r="G140" s="305"/>
      <c r="H140" s="360"/>
      <c r="I140" s="292"/>
      <c r="J140" s="292"/>
      <c r="K140" s="292"/>
      <c r="L140" s="292"/>
      <c r="M140" s="292"/>
      <c r="N140" s="292"/>
      <c r="O140" s="292"/>
      <c r="P140" s="292"/>
      <c r="Q140" s="292"/>
      <c r="R140" s="292"/>
      <c r="S140" s="292"/>
      <c r="T140" s="292"/>
    </row>
    <row r="141" spans="1:20" ht="21.9" customHeight="1">
      <c r="A141" s="302"/>
      <c r="B141" s="668" t="s">
        <v>919</v>
      </c>
      <c r="C141" s="316" t="s">
        <v>920</v>
      </c>
      <c r="D141" s="639">
        <v>2</v>
      </c>
      <c r="E141" s="667" t="s">
        <v>335</v>
      </c>
      <c r="F141" s="304">
        <v>17800</v>
      </c>
      <c r="G141" s="305">
        <f>ROUNDDOWN(D141*F141,0)</f>
        <v>35600</v>
      </c>
      <c r="H141" s="666" t="s">
        <v>905</v>
      </c>
      <c r="I141" s="292"/>
      <c r="J141" s="292"/>
      <c r="K141" s="292"/>
      <c r="L141" s="292"/>
      <c r="M141" s="292"/>
      <c r="N141" s="292"/>
      <c r="O141" s="292"/>
      <c r="P141" s="292"/>
      <c r="Q141" s="292"/>
      <c r="R141" s="292"/>
      <c r="S141" s="292"/>
      <c r="T141" s="292"/>
    </row>
    <row r="142" spans="1:20" ht="21.9" customHeight="1">
      <c r="A142" s="302"/>
      <c r="B142" s="668" t="s">
        <v>921</v>
      </c>
      <c r="C142" s="669" t="s">
        <v>922</v>
      </c>
      <c r="D142" s="639">
        <v>2</v>
      </c>
      <c r="E142" s="667" t="s">
        <v>326</v>
      </c>
      <c r="F142" s="304">
        <v>37200</v>
      </c>
      <c r="G142" s="305">
        <f>ROUNDDOWN(D142*F142,0)</f>
        <v>74400</v>
      </c>
      <c r="H142" s="666" t="s">
        <v>905</v>
      </c>
      <c r="I142" s="292"/>
      <c r="J142" s="292"/>
      <c r="K142" s="292"/>
      <c r="L142" s="292"/>
      <c r="M142" s="292"/>
      <c r="N142" s="292"/>
      <c r="O142" s="292"/>
      <c r="P142" s="292"/>
      <c r="Q142" s="292"/>
      <c r="R142" s="292"/>
      <c r="S142" s="292"/>
      <c r="T142" s="292"/>
    </row>
    <row r="143" spans="1:20" ht="21.9" customHeight="1">
      <c r="A143" s="302"/>
      <c r="B143" s="359" t="s">
        <v>528</v>
      </c>
      <c r="C143" s="316" t="s">
        <v>918</v>
      </c>
      <c r="D143" s="639"/>
      <c r="E143" s="638"/>
      <c r="F143" s="304"/>
      <c r="G143" s="305"/>
      <c r="H143" s="360"/>
      <c r="I143" s="292"/>
      <c r="J143" s="292"/>
      <c r="K143" s="292"/>
      <c r="L143" s="292"/>
      <c r="M143" s="292"/>
      <c r="N143" s="292"/>
      <c r="O143" s="292"/>
      <c r="P143" s="292"/>
      <c r="Q143" s="292"/>
      <c r="R143" s="292"/>
      <c r="S143" s="292"/>
      <c r="T143" s="292"/>
    </row>
    <row r="144" spans="1:20" ht="21.9" customHeight="1">
      <c r="A144" s="13"/>
      <c r="B144" s="309"/>
      <c r="C144" s="309"/>
      <c r="D144" s="14" t="s">
        <v>2</v>
      </c>
      <c r="E144" s="309"/>
      <c r="F144" s="309"/>
      <c r="G144" s="309"/>
      <c r="H144" s="310">
        <f>+H120+1</f>
        <v>9</v>
      </c>
      <c r="I144" s="292"/>
      <c r="J144" s="292"/>
      <c r="K144" s="292"/>
      <c r="L144" s="292"/>
      <c r="M144" s="292"/>
      <c r="N144" s="292"/>
      <c r="O144" s="292"/>
      <c r="P144" s="292"/>
      <c r="Q144" s="292"/>
      <c r="R144" s="292"/>
      <c r="S144" s="292"/>
      <c r="T144" s="292"/>
    </row>
    <row r="145" spans="1:20" ht="21.9" customHeight="1">
      <c r="A145" s="287"/>
      <c r="B145" s="288"/>
      <c r="C145" s="12"/>
      <c r="D145" s="289"/>
      <c r="E145" s="287"/>
      <c r="F145" s="290"/>
      <c r="G145" s="291"/>
      <c r="H145" s="290"/>
      <c r="I145" s="292"/>
      <c r="J145" s="292"/>
      <c r="K145" s="292"/>
      <c r="L145" s="292"/>
      <c r="M145" s="292"/>
      <c r="N145" s="292"/>
      <c r="O145" s="292"/>
      <c r="P145" s="292"/>
      <c r="Q145" s="292"/>
      <c r="R145" s="292"/>
      <c r="S145" s="292"/>
      <c r="T145" s="292"/>
    </row>
    <row r="146" spans="1:20" ht="21.9" customHeight="1">
      <c r="A146" s="293"/>
      <c r="B146" s="294" t="s">
        <v>0</v>
      </c>
      <c r="C146" s="295" t="s">
        <v>1</v>
      </c>
      <c r="D146" s="296" t="s">
        <v>5</v>
      </c>
      <c r="E146" s="297" t="s">
        <v>6</v>
      </c>
      <c r="F146" s="298" t="s">
        <v>20</v>
      </c>
      <c r="G146" s="299" t="s">
        <v>21</v>
      </c>
      <c r="H146" s="298" t="s">
        <v>3</v>
      </c>
      <c r="I146" s="292"/>
      <c r="J146" s="292"/>
      <c r="K146" s="292"/>
      <c r="L146" s="292"/>
      <c r="M146" s="292"/>
      <c r="N146" s="292"/>
      <c r="O146" s="292"/>
      <c r="P146" s="292"/>
      <c r="Q146" s="292"/>
      <c r="R146" s="292"/>
      <c r="S146" s="292"/>
      <c r="T146" s="292"/>
    </row>
    <row r="147" spans="1:20" ht="21.9" customHeight="1">
      <c r="A147" s="349"/>
      <c r="B147" s="354" t="s">
        <v>541</v>
      </c>
      <c r="C147" s="354" t="s">
        <v>918</v>
      </c>
      <c r="D147" s="314"/>
      <c r="E147" s="353"/>
      <c r="F147" s="304"/>
      <c r="G147" s="305"/>
      <c r="H147" s="360"/>
      <c r="I147" s="292"/>
      <c r="J147" s="292"/>
      <c r="K147" s="292"/>
      <c r="L147" s="292"/>
      <c r="M147" s="292"/>
      <c r="N147" s="292"/>
      <c r="O147" s="292"/>
      <c r="P147" s="292"/>
      <c r="Q147" s="292"/>
      <c r="R147" s="292"/>
      <c r="S147" s="292"/>
      <c r="T147" s="308"/>
    </row>
    <row r="148" spans="1:20" ht="21.9" customHeight="1">
      <c r="A148" s="306"/>
      <c r="B148" s="354" t="s">
        <v>923</v>
      </c>
      <c r="C148" s="354"/>
      <c r="D148" s="314">
        <v>1</v>
      </c>
      <c r="E148" s="670" t="s">
        <v>24</v>
      </c>
      <c r="F148" s="304"/>
      <c r="G148" s="305">
        <f>ROUNDDOWN(D148*F148,0)</f>
        <v>0</v>
      </c>
      <c r="H148" s="666"/>
      <c r="I148" s="292"/>
      <c r="J148" s="292"/>
      <c r="K148" s="292"/>
      <c r="L148" s="292"/>
      <c r="M148" s="292"/>
      <c r="N148" s="292"/>
      <c r="O148" s="292"/>
      <c r="P148" s="292"/>
      <c r="Q148" s="292"/>
      <c r="R148" s="292"/>
      <c r="S148" s="292"/>
      <c r="T148" s="292"/>
    </row>
    <row r="149" spans="1:20" ht="21.9" customHeight="1">
      <c r="A149" s="362"/>
      <c r="B149" s="354" t="s">
        <v>924</v>
      </c>
      <c r="C149" s="354"/>
      <c r="D149" s="314">
        <v>1</v>
      </c>
      <c r="E149" s="670" t="s">
        <v>24</v>
      </c>
      <c r="F149" s="304"/>
      <c r="G149" s="305">
        <f>ROUNDDOWN(D149*F149,0)</f>
        <v>0</v>
      </c>
      <c r="H149" s="666"/>
      <c r="I149" s="292"/>
      <c r="J149" s="292"/>
      <c r="K149" s="292"/>
      <c r="L149" s="292"/>
      <c r="M149" s="292"/>
      <c r="N149" s="292"/>
      <c r="O149" s="292"/>
      <c r="P149" s="292"/>
      <c r="Q149" s="292"/>
      <c r="R149" s="292"/>
      <c r="S149" s="292"/>
      <c r="T149" s="292"/>
    </row>
    <row r="150" spans="1:20" ht="21.9" customHeight="1">
      <c r="A150" s="302"/>
      <c r="B150" s="354" t="s">
        <v>925</v>
      </c>
      <c r="C150" s="354"/>
      <c r="D150" s="314">
        <v>1</v>
      </c>
      <c r="E150" s="670" t="s">
        <v>24</v>
      </c>
      <c r="F150" s="304"/>
      <c r="G150" s="305">
        <f>ROUNDDOWN(D150*F150,0)</f>
        <v>0</v>
      </c>
      <c r="H150" s="666"/>
      <c r="I150" s="292"/>
      <c r="J150" s="292"/>
      <c r="K150" s="292"/>
      <c r="L150" s="292"/>
      <c r="M150" s="292"/>
      <c r="N150" s="292"/>
      <c r="O150" s="292"/>
      <c r="P150" s="292"/>
      <c r="Q150" s="292"/>
      <c r="R150" s="292"/>
      <c r="S150" s="292"/>
      <c r="T150" s="292"/>
    </row>
    <row r="151" spans="1:20" ht="21.9" customHeight="1">
      <c r="A151" s="362"/>
      <c r="B151" s="354" t="s">
        <v>926</v>
      </c>
      <c r="C151" s="354"/>
      <c r="D151" s="314">
        <v>1</v>
      </c>
      <c r="E151" s="670" t="s">
        <v>24</v>
      </c>
      <c r="F151" s="304"/>
      <c r="G151" s="305">
        <f>ROUNDDOWN(D151*F151,0)</f>
        <v>0</v>
      </c>
      <c r="H151" s="666"/>
      <c r="I151" s="292"/>
      <c r="J151" s="292"/>
      <c r="K151" s="292"/>
      <c r="L151" s="292"/>
      <c r="M151" s="292"/>
      <c r="N151" s="292"/>
      <c r="O151" s="292"/>
      <c r="P151" s="292"/>
      <c r="Q151" s="292"/>
      <c r="R151" s="292"/>
      <c r="S151" s="292"/>
      <c r="T151" s="292"/>
    </row>
    <row r="152" spans="1:20" ht="21.9" customHeight="1">
      <c r="A152" s="362"/>
      <c r="B152" s="354" t="s">
        <v>927</v>
      </c>
      <c r="C152" s="354"/>
      <c r="D152" s="314">
        <v>1</v>
      </c>
      <c r="E152" s="670" t="s">
        <v>24</v>
      </c>
      <c r="F152" s="304"/>
      <c r="G152" s="305">
        <f>ROUNDDOWN(D152*F152,0)</f>
        <v>0</v>
      </c>
      <c r="H152" s="666"/>
      <c r="I152" s="292"/>
      <c r="J152" s="292"/>
      <c r="K152" s="292"/>
      <c r="L152" s="292"/>
      <c r="M152" s="292"/>
      <c r="N152" s="292"/>
      <c r="O152" s="292"/>
      <c r="P152" s="292"/>
      <c r="Q152" s="292"/>
      <c r="R152" s="292"/>
      <c r="S152" s="292"/>
      <c r="T152" s="292"/>
    </row>
    <row r="153" spans="1:20" ht="21.9" customHeight="1">
      <c r="A153" s="362"/>
      <c r="B153" s="354"/>
      <c r="C153" s="354"/>
      <c r="D153" s="314"/>
      <c r="E153" s="353"/>
      <c r="F153" s="304"/>
      <c r="G153" s="305"/>
      <c r="H153" s="360"/>
      <c r="I153" s="292"/>
      <c r="J153" s="292"/>
      <c r="K153" s="292"/>
      <c r="L153" s="292"/>
      <c r="M153" s="292"/>
      <c r="N153" s="292"/>
      <c r="O153" s="292"/>
      <c r="P153" s="292"/>
      <c r="Q153" s="292"/>
      <c r="R153" s="292"/>
      <c r="S153" s="292"/>
      <c r="T153" s="292"/>
    </row>
    <row r="154" spans="1:20" ht="21.9" customHeight="1">
      <c r="A154" s="362"/>
      <c r="B154" s="354"/>
      <c r="C154" s="354"/>
      <c r="D154" s="314"/>
      <c r="E154" s="353"/>
      <c r="F154" s="304"/>
      <c r="G154" s="305"/>
      <c r="H154" s="360"/>
      <c r="I154" s="292"/>
      <c r="J154" s="292"/>
      <c r="K154" s="292"/>
      <c r="L154" s="292"/>
      <c r="M154" s="292"/>
      <c r="N154" s="292"/>
      <c r="O154" s="292"/>
      <c r="P154" s="292"/>
      <c r="Q154" s="292"/>
      <c r="R154" s="292"/>
      <c r="S154" s="292"/>
      <c r="T154" s="292"/>
    </row>
    <row r="155" spans="1:20" ht="21.9" customHeight="1">
      <c r="A155" s="362"/>
      <c r="B155" s="354"/>
      <c r="C155" s="354"/>
      <c r="D155" s="314"/>
      <c r="E155" s="353"/>
      <c r="F155" s="304"/>
      <c r="G155" s="305"/>
      <c r="H155" s="360"/>
      <c r="I155" s="292"/>
      <c r="J155" s="292"/>
      <c r="K155" s="292"/>
      <c r="L155" s="292"/>
      <c r="M155" s="292"/>
      <c r="N155" s="292"/>
      <c r="O155" s="292"/>
      <c r="P155" s="292"/>
      <c r="Q155" s="292"/>
      <c r="R155" s="292"/>
      <c r="S155" s="292"/>
      <c r="T155" s="292"/>
    </row>
    <row r="156" spans="1:20" ht="21.9" customHeight="1">
      <c r="A156" s="302"/>
      <c r="B156" s="354"/>
      <c r="C156" s="354"/>
      <c r="D156" s="314"/>
      <c r="E156" s="353"/>
      <c r="F156" s="304"/>
      <c r="G156" s="305"/>
      <c r="H156" s="360"/>
      <c r="I156" s="292"/>
      <c r="J156" s="292"/>
      <c r="K156" s="292"/>
      <c r="L156" s="292"/>
      <c r="M156" s="292"/>
      <c r="N156" s="292"/>
      <c r="O156" s="292"/>
      <c r="P156" s="292"/>
      <c r="Q156" s="292"/>
      <c r="R156" s="292"/>
      <c r="S156" s="292"/>
      <c r="T156" s="292"/>
    </row>
    <row r="157" spans="1:20" ht="21.9" customHeight="1">
      <c r="A157" s="302"/>
      <c r="B157" s="354"/>
      <c r="C157" s="354"/>
      <c r="D157" s="314"/>
      <c r="E157" s="353"/>
      <c r="F157" s="304"/>
      <c r="G157" s="305"/>
      <c r="H157" s="360"/>
      <c r="I157" s="292"/>
      <c r="J157" s="292"/>
      <c r="K157" s="292"/>
      <c r="L157" s="292"/>
      <c r="M157" s="292"/>
      <c r="N157" s="292"/>
      <c r="O157" s="292"/>
      <c r="P157" s="292"/>
      <c r="Q157" s="292"/>
      <c r="R157" s="292"/>
      <c r="S157" s="292"/>
      <c r="T157" s="292"/>
    </row>
    <row r="158" spans="1:20" ht="21.9" customHeight="1">
      <c r="A158" s="302"/>
      <c r="B158" s="354"/>
      <c r="C158" s="354"/>
      <c r="D158" s="314"/>
      <c r="E158" s="353"/>
      <c r="F158" s="304"/>
      <c r="G158" s="305"/>
      <c r="H158" s="360"/>
      <c r="I158" s="292"/>
      <c r="J158" s="292"/>
      <c r="K158" s="292"/>
      <c r="L158" s="292"/>
      <c r="M158" s="292"/>
      <c r="N158" s="292"/>
      <c r="O158" s="292"/>
      <c r="P158" s="292"/>
      <c r="Q158" s="292"/>
      <c r="R158" s="292"/>
      <c r="S158" s="292"/>
      <c r="T158" s="292"/>
    </row>
    <row r="159" spans="1:20" ht="21.9" customHeight="1">
      <c r="A159" s="302"/>
      <c r="B159" s="315"/>
      <c r="C159" s="316"/>
      <c r="D159" s="314"/>
      <c r="E159" s="297"/>
      <c r="F159" s="304"/>
      <c r="G159" s="311"/>
      <c r="H159" s="304"/>
      <c r="I159" s="292"/>
      <c r="J159" s="292"/>
      <c r="K159" s="292"/>
      <c r="L159" s="292"/>
      <c r="M159" s="292"/>
      <c r="N159" s="292"/>
      <c r="O159" s="292"/>
      <c r="P159" s="292"/>
      <c r="Q159" s="292"/>
      <c r="R159" s="292"/>
      <c r="S159" s="292"/>
      <c r="T159" s="292"/>
    </row>
    <row r="160" spans="1:20" ht="21.9" customHeight="1">
      <c r="A160" s="302"/>
      <c r="B160" s="315"/>
      <c r="C160" s="316"/>
      <c r="D160" s="314"/>
      <c r="E160" s="297"/>
      <c r="F160" s="304"/>
      <c r="G160" s="311"/>
      <c r="H160" s="304"/>
      <c r="I160" s="292"/>
      <c r="J160" s="292"/>
      <c r="K160" s="292"/>
      <c r="L160" s="292"/>
      <c r="M160" s="292"/>
      <c r="N160" s="292"/>
      <c r="O160" s="292"/>
      <c r="P160" s="292"/>
      <c r="Q160" s="292"/>
      <c r="R160" s="292"/>
      <c r="S160" s="292"/>
      <c r="T160" s="292"/>
    </row>
    <row r="161" spans="1:20" ht="21.9" customHeight="1">
      <c r="A161" s="302"/>
      <c r="B161" s="315"/>
      <c r="C161" s="316"/>
      <c r="D161" s="314"/>
      <c r="E161" s="297"/>
      <c r="F161" s="304"/>
      <c r="G161" s="311"/>
      <c r="H161" s="304"/>
      <c r="I161" s="292"/>
      <c r="J161" s="292"/>
      <c r="K161" s="292"/>
      <c r="L161" s="292"/>
      <c r="M161" s="292"/>
      <c r="N161" s="292"/>
      <c r="O161" s="292"/>
      <c r="P161" s="292"/>
      <c r="Q161" s="292"/>
      <c r="R161" s="292"/>
      <c r="S161" s="292"/>
      <c r="T161" s="292"/>
    </row>
    <row r="162" spans="1:20" ht="21.9" customHeight="1">
      <c r="A162" s="302"/>
      <c r="B162" s="315"/>
      <c r="C162" s="316"/>
      <c r="D162" s="314"/>
      <c r="E162" s="297"/>
      <c r="F162" s="304"/>
      <c r="G162" s="311"/>
      <c r="H162" s="304"/>
      <c r="I162" s="292"/>
      <c r="J162" s="292"/>
      <c r="K162" s="292"/>
      <c r="L162" s="292"/>
      <c r="M162" s="292"/>
      <c r="N162" s="292"/>
      <c r="O162" s="292"/>
      <c r="P162" s="292"/>
      <c r="Q162" s="292"/>
      <c r="R162" s="292"/>
      <c r="S162" s="292"/>
      <c r="T162" s="292"/>
    </row>
    <row r="163" spans="1:20" ht="21.9" customHeight="1">
      <c r="A163" s="302"/>
      <c r="B163" s="315"/>
      <c r="C163" s="316"/>
      <c r="D163" s="314"/>
      <c r="E163" s="297"/>
      <c r="F163" s="304"/>
      <c r="G163" s="311"/>
      <c r="H163" s="304"/>
      <c r="I163" s="292"/>
      <c r="J163" s="292"/>
      <c r="K163" s="292"/>
      <c r="L163" s="292"/>
      <c r="M163" s="292"/>
      <c r="N163" s="292"/>
      <c r="O163" s="292"/>
      <c r="P163" s="292"/>
      <c r="Q163" s="292"/>
      <c r="R163" s="292"/>
      <c r="S163" s="292"/>
      <c r="T163" s="292"/>
    </row>
    <row r="164" spans="1:20" ht="21.9" customHeight="1">
      <c r="A164" s="302"/>
      <c r="B164" s="315"/>
      <c r="C164" s="316"/>
      <c r="D164" s="314"/>
      <c r="E164" s="297"/>
      <c r="F164" s="304"/>
      <c r="G164" s="311"/>
      <c r="H164" s="304"/>
      <c r="I164" s="292"/>
      <c r="J164" s="292"/>
      <c r="K164" s="292"/>
      <c r="L164" s="292"/>
      <c r="M164" s="292"/>
      <c r="N164" s="292"/>
      <c r="O164" s="292"/>
      <c r="P164" s="292"/>
      <c r="Q164" s="292"/>
      <c r="R164" s="292"/>
      <c r="S164" s="292"/>
      <c r="T164" s="292"/>
    </row>
    <row r="165" spans="1:20" ht="21.9" customHeight="1">
      <c r="A165" s="302"/>
      <c r="B165" s="315"/>
      <c r="C165" s="316"/>
      <c r="D165" s="314"/>
      <c r="E165" s="297"/>
      <c r="F165" s="304"/>
      <c r="G165" s="311"/>
      <c r="H165" s="304"/>
      <c r="I165" s="292"/>
      <c r="J165" s="292"/>
      <c r="K165" s="292"/>
      <c r="L165" s="292"/>
      <c r="M165" s="292"/>
      <c r="N165" s="292"/>
      <c r="O165" s="292"/>
      <c r="P165" s="292"/>
      <c r="Q165" s="292"/>
      <c r="R165" s="292"/>
      <c r="S165" s="292"/>
      <c r="T165" s="292"/>
    </row>
    <row r="166" spans="1:20" ht="21.9" customHeight="1">
      <c r="A166" s="302"/>
      <c r="B166" s="297" t="s">
        <v>56</v>
      </c>
      <c r="C166" s="307"/>
      <c r="D166" s="314"/>
      <c r="E166" s="297"/>
      <c r="F166" s="304"/>
      <c r="G166" s="311">
        <f>SUM(G123:G165)</f>
        <v>5982450</v>
      </c>
      <c r="H166" s="304"/>
      <c r="I166" s="292"/>
      <c r="J166" s="292"/>
      <c r="K166" s="292"/>
      <c r="L166" s="292"/>
      <c r="M166" s="292"/>
      <c r="N166" s="292"/>
      <c r="O166" s="292"/>
      <c r="P166" s="292"/>
      <c r="Q166" s="292"/>
      <c r="R166" s="292"/>
      <c r="S166" s="292"/>
      <c r="T166" s="292"/>
    </row>
    <row r="167" spans="1:20" ht="21.9" customHeight="1">
      <c r="A167" s="302"/>
      <c r="B167" s="315"/>
      <c r="C167" s="316"/>
      <c r="D167" s="314"/>
      <c r="E167" s="297"/>
      <c r="F167" s="304"/>
      <c r="G167" s="317"/>
      <c r="H167" s="304"/>
      <c r="I167" s="292"/>
      <c r="J167" s="292"/>
      <c r="K167" s="292"/>
      <c r="L167" s="292"/>
      <c r="M167" s="292"/>
      <c r="N167" s="292"/>
      <c r="O167" s="292"/>
      <c r="P167" s="292"/>
      <c r="Q167" s="292"/>
      <c r="R167" s="292"/>
      <c r="S167" s="292"/>
      <c r="T167" s="292"/>
    </row>
    <row r="168" spans="1:20" ht="21.9" customHeight="1">
      <c r="A168" s="13"/>
      <c r="B168" s="309"/>
      <c r="C168" s="309"/>
      <c r="D168" s="14" t="s">
        <v>2</v>
      </c>
      <c r="E168" s="309"/>
      <c r="F168" s="309"/>
      <c r="G168" s="309"/>
      <c r="H168" s="310">
        <f>+H144+1</f>
        <v>10</v>
      </c>
      <c r="I168" s="292"/>
      <c r="J168" s="292"/>
      <c r="K168" s="292"/>
      <c r="L168" s="292"/>
      <c r="M168" s="292"/>
      <c r="N168" s="292"/>
      <c r="O168" s="292"/>
      <c r="P168" s="292"/>
      <c r="Q168" s="292"/>
      <c r="R168" s="292"/>
      <c r="S168" s="292"/>
      <c r="T168" s="292"/>
    </row>
    <row r="169" spans="1:20" ht="21.9" customHeight="1">
      <c r="A169" s="287"/>
      <c r="B169" s="288"/>
      <c r="C169" s="12"/>
      <c r="D169" s="289"/>
      <c r="E169" s="287"/>
      <c r="F169" s="290"/>
      <c r="G169" s="291"/>
      <c r="H169" s="290"/>
      <c r="I169" s="292"/>
      <c r="J169" s="292"/>
      <c r="K169" s="292"/>
      <c r="L169" s="292"/>
      <c r="M169" s="292"/>
      <c r="N169" s="292"/>
      <c r="O169" s="292"/>
      <c r="P169" s="292"/>
      <c r="Q169" s="292"/>
      <c r="R169" s="292"/>
      <c r="S169" s="292"/>
      <c r="T169" s="292"/>
    </row>
    <row r="170" spans="1:20" ht="21.9" customHeight="1">
      <c r="A170" s="293"/>
      <c r="B170" s="294" t="s">
        <v>0</v>
      </c>
      <c r="C170" s="295" t="s">
        <v>1</v>
      </c>
      <c r="D170" s="296" t="s">
        <v>5</v>
      </c>
      <c r="E170" s="297" t="s">
        <v>6</v>
      </c>
      <c r="F170" s="298" t="s">
        <v>20</v>
      </c>
      <c r="G170" s="299" t="s">
        <v>21</v>
      </c>
      <c r="H170" s="298" t="s">
        <v>3</v>
      </c>
      <c r="I170" s="292"/>
      <c r="J170" s="292"/>
      <c r="K170" s="292"/>
      <c r="L170" s="292"/>
      <c r="M170" s="292"/>
      <c r="N170" s="292"/>
      <c r="O170" s="292"/>
      <c r="P170" s="292"/>
      <c r="Q170" s="292"/>
      <c r="R170" s="292"/>
      <c r="S170" s="292"/>
      <c r="T170" s="292"/>
    </row>
    <row r="171" spans="1:20" ht="21.9" customHeight="1">
      <c r="A171" s="349" t="s">
        <v>272</v>
      </c>
      <c r="B171" s="345" t="s">
        <v>157</v>
      </c>
      <c r="C171" s="316"/>
      <c r="D171" s="314">
        <v>1</v>
      </c>
      <c r="E171" s="297" t="s">
        <v>54</v>
      </c>
      <c r="F171" s="304"/>
      <c r="G171" s="311"/>
      <c r="H171" s="304"/>
      <c r="I171" s="292"/>
      <c r="J171" s="292"/>
      <c r="K171" s="292"/>
      <c r="L171" s="292"/>
      <c r="M171" s="292"/>
      <c r="N171" s="292"/>
      <c r="O171" s="292"/>
      <c r="P171" s="292"/>
      <c r="Q171" s="292"/>
      <c r="R171" s="292"/>
      <c r="S171" s="292"/>
      <c r="T171" s="308"/>
    </row>
    <row r="172" spans="1:20" ht="21.9" customHeight="1">
      <c r="A172" s="302"/>
      <c r="B172" s="347"/>
      <c r="C172" s="316"/>
      <c r="D172" s="314"/>
      <c r="E172" s="297"/>
      <c r="F172" s="304"/>
      <c r="G172" s="311"/>
      <c r="H172" s="304"/>
      <c r="I172" s="292"/>
      <c r="J172" s="292"/>
      <c r="K172" s="292"/>
      <c r="L172" s="292"/>
      <c r="M172" s="292"/>
      <c r="N172" s="292"/>
      <c r="O172" s="292"/>
      <c r="P172" s="292"/>
      <c r="Q172" s="292"/>
      <c r="R172" s="292"/>
      <c r="S172" s="292"/>
      <c r="T172" s="292"/>
    </row>
    <row r="173" spans="1:20" ht="21.9" customHeight="1">
      <c r="A173" s="358">
        <v>1</v>
      </c>
      <c r="B173" s="359" t="s">
        <v>187</v>
      </c>
      <c r="C173" s="316"/>
      <c r="D173" s="9">
        <v>1</v>
      </c>
      <c r="E173" s="11" t="s">
        <v>15</v>
      </c>
      <c r="F173" s="304">
        <f>'ガス工事　大垣ガス'!U10</f>
        <v>28800</v>
      </c>
      <c r="G173" s="305">
        <f t="shared" ref="G173:G185" si="25">ROUNDDOWN(D173*F173,0)</f>
        <v>28800</v>
      </c>
      <c r="H173" s="360" t="s">
        <v>218</v>
      </c>
      <c r="I173" s="292"/>
      <c r="J173" s="292"/>
      <c r="K173" s="292"/>
      <c r="L173" s="292"/>
      <c r="M173" s="292"/>
      <c r="N173" s="292"/>
      <c r="O173" s="292"/>
      <c r="P173" s="292"/>
      <c r="Q173" s="292"/>
      <c r="R173" s="292"/>
      <c r="S173" s="292"/>
      <c r="T173" s="292"/>
    </row>
    <row r="174" spans="1:20" ht="21.9" customHeight="1">
      <c r="A174" s="358">
        <v>2</v>
      </c>
      <c r="B174" s="359" t="s">
        <v>188</v>
      </c>
      <c r="C174" s="316"/>
      <c r="D174" s="9">
        <v>6</v>
      </c>
      <c r="E174" s="11" t="s">
        <v>197</v>
      </c>
      <c r="F174" s="304">
        <f>'ガス工事　大垣ガス'!U11</f>
        <v>7500</v>
      </c>
      <c r="G174" s="305">
        <f t="shared" si="25"/>
        <v>45000</v>
      </c>
      <c r="H174" s="360" t="s">
        <v>218</v>
      </c>
      <c r="I174" s="292"/>
      <c r="J174" s="292"/>
      <c r="K174" s="292"/>
      <c r="L174" s="292"/>
      <c r="M174" s="292"/>
      <c r="N174" s="292"/>
      <c r="O174" s="292"/>
      <c r="P174" s="292"/>
      <c r="Q174" s="292"/>
      <c r="R174" s="292"/>
      <c r="S174" s="292"/>
      <c r="T174" s="292"/>
    </row>
    <row r="175" spans="1:20" ht="21.9" customHeight="1">
      <c r="A175" s="358">
        <v>3</v>
      </c>
      <c r="B175" s="359" t="s">
        <v>189</v>
      </c>
      <c r="C175" s="316"/>
      <c r="D175" s="9">
        <v>23</v>
      </c>
      <c r="E175" s="11" t="s">
        <v>197</v>
      </c>
      <c r="F175" s="304">
        <f>'ガス工事　大垣ガス'!U12</f>
        <v>17820</v>
      </c>
      <c r="G175" s="305">
        <f t="shared" si="25"/>
        <v>409860</v>
      </c>
      <c r="H175" s="360" t="s">
        <v>218</v>
      </c>
      <c r="I175" s="292"/>
      <c r="J175" s="292"/>
      <c r="K175" s="292"/>
      <c r="L175" s="292"/>
      <c r="M175" s="292"/>
      <c r="N175" s="292"/>
      <c r="O175" s="292"/>
      <c r="P175" s="292"/>
      <c r="Q175" s="292"/>
      <c r="R175" s="292"/>
      <c r="S175" s="292"/>
      <c r="T175" s="292"/>
    </row>
    <row r="176" spans="1:20" ht="21.9" customHeight="1">
      <c r="A176" s="358">
        <v>4</v>
      </c>
      <c r="B176" s="359" t="s">
        <v>190</v>
      </c>
      <c r="C176" s="316"/>
      <c r="D176" s="9">
        <v>1</v>
      </c>
      <c r="E176" s="11" t="s">
        <v>15</v>
      </c>
      <c r="F176" s="304">
        <f>'ガス工事　大垣ガス'!U13</f>
        <v>191300</v>
      </c>
      <c r="G176" s="305">
        <f t="shared" si="25"/>
        <v>191300</v>
      </c>
      <c r="H176" s="360" t="s">
        <v>218</v>
      </c>
      <c r="I176" s="292"/>
      <c r="J176" s="292"/>
      <c r="K176" s="292"/>
      <c r="L176" s="292"/>
      <c r="M176" s="292"/>
      <c r="N176" s="292"/>
      <c r="O176" s="292"/>
      <c r="P176" s="292"/>
      <c r="Q176" s="292"/>
      <c r="R176" s="292"/>
      <c r="S176" s="292"/>
      <c r="T176" s="292"/>
    </row>
    <row r="177" spans="1:20" ht="21.9" customHeight="1">
      <c r="A177" s="358">
        <v>5</v>
      </c>
      <c r="B177" s="359" t="s">
        <v>191</v>
      </c>
      <c r="C177" s="316" t="s">
        <v>136</v>
      </c>
      <c r="D177" s="9">
        <v>1</v>
      </c>
      <c r="E177" s="11" t="s">
        <v>15</v>
      </c>
      <c r="F177" s="304">
        <f>'ガス工事　大垣ガス'!U14</f>
        <v>28800</v>
      </c>
      <c r="G177" s="305">
        <f t="shared" si="25"/>
        <v>28800</v>
      </c>
      <c r="H177" s="360" t="s">
        <v>218</v>
      </c>
      <c r="I177" s="292"/>
      <c r="J177" s="292"/>
      <c r="K177" s="292"/>
      <c r="L177" s="292"/>
      <c r="M177" s="292"/>
      <c r="N177" s="292"/>
      <c r="O177" s="292"/>
      <c r="P177" s="292"/>
      <c r="Q177" s="292"/>
      <c r="R177" s="292"/>
      <c r="S177" s="292"/>
      <c r="T177" s="292"/>
    </row>
    <row r="178" spans="1:20" ht="21.9" customHeight="1">
      <c r="A178" s="358">
        <v>6</v>
      </c>
      <c r="B178" s="361" t="s">
        <v>306</v>
      </c>
      <c r="C178" s="316"/>
      <c r="D178" s="9">
        <v>1</v>
      </c>
      <c r="E178" s="11" t="s">
        <v>198</v>
      </c>
      <c r="F178" s="304">
        <f>'ガス工事　大垣ガス'!U15</f>
        <v>3650</v>
      </c>
      <c r="G178" s="305">
        <f t="shared" ref="G178:G179" si="26">ROUNDDOWN(D178*F178,0)</f>
        <v>3650</v>
      </c>
      <c r="H178" s="360" t="s">
        <v>218</v>
      </c>
      <c r="I178" s="292"/>
      <c r="J178" s="292"/>
      <c r="K178" s="292"/>
      <c r="L178" s="292"/>
      <c r="M178" s="292"/>
      <c r="N178" s="292"/>
      <c r="O178" s="292"/>
      <c r="P178" s="292"/>
      <c r="Q178" s="292"/>
      <c r="R178" s="292"/>
      <c r="S178" s="292"/>
      <c r="T178" s="292"/>
    </row>
    <row r="179" spans="1:20" ht="21.9" customHeight="1">
      <c r="A179" s="358">
        <v>7</v>
      </c>
      <c r="B179" s="361" t="s">
        <v>307</v>
      </c>
      <c r="C179" s="316"/>
      <c r="D179" s="9">
        <v>1</v>
      </c>
      <c r="E179" s="11" t="s">
        <v>199</v>
      </c>
      <c r="F179" s="304">
        <f>'ガス工事　大垣ガス'!U16</f>
        <v>4680</v>
      </c>
      <c r="G179" s="305">
        <f t="shared" si="26"/>
        <v>4680</v>
      </c>
      <c r="H179" s="360" t="s">
        <v>218</v>
      </c>
      <c r="I179" s="292"/>
      <c r="J179" s="292"/>
      <c r="K179" s="292"/>
      <c r="L179" s="292"/>
      <c r="M179" s="292"/>
      <c r="N179" s="292"/>
      <c r="O179" s="292"/>
      <c r="P179" s="292"/>
      <c r="Q179" s="292"/>
      <c r="R179" s="292"/>
      <c r="S179" s="292"/>
      <c r="T179" s="292"/>
    </row>
    <row r="180" spans="1:20" ht="21.9" customHeight="1">
      <c r="A180" s="358">
        <v>8</v>
      </c>
      <c r="B180" s="359" t="s">
        <v>192</v>
      </c>
      <c r="C180" s="316"/>
      <c r="D180" s="9">
        <v>6</v>
      </c>
      <c r="E180" s="11" t="s">
        <v>198</v>
      </c>
      <c r="F180" s="304">
        <f>'ガス工事　大垣ガス'!U17</f>
        <v>4830</v>
      </c>
      <c r="G180" s="305">
        <f t="shared" si="25"/>
        <v>28980</v>
      </c>
      <c r="H180" s="360" t="s">
        <v>218</v>
      </c>
      <c r="I180" s="292"/>
      <c r="J180" s="292"/>
      <c r="K180" s="292"/>
      <c r="L180" s="292"/>
      <c r="M180" s="292"/>
      <c r="N180" s="292"/>
      <c r="O180" s="292"/>
      <c r="P180" s="292"/>
      <c r="Q180" s="292"/>
      <c r="R180" s="292"/>
      <c r="S180" s="292"/>
      <c r="T180" s="292"/>
    </row>
    <row r="181" spans="1:20" ht="21.9" customHeight="1">
      <c r="A181" s="358">
        <v>9</v>
      </c>
      <c r="B181" s="361" t="s">
        <v>219</v>
      </c>
      <c r="C181" s="316"/>
      <c r="D181" s="9">
        <v>6</v>
      </c>
      <c r="E181" s="11" t="s">
        <v>199</v>
      </c>
      <c r="F181" s="304">
        <f>'ガス工事　大垣ガス'!U18</f>
        <v>8130</v>
      </c>
      <c r="G181" s="305">
        <f t="shared" si="25"/>
        <v>48780</v>
      </c>
      <c r="H181" s="360" t="s">
        <v>218</v>
      </c>
      <c r="I181" s="292"/>
      <c r="J181" s="292"/>
      <c r="K181" s="292"/>
      <c r="L181" s="292"/>
      <c r="M181" s="292"/>
      <c r="N181" s="292"/>
      <c r="O181" s="292"/>
      <c r="P181" s="292"/>
      <c r="Q181" s="292"/>
      <c r="R181" s="292"/>
      <c r="S181" s="292"/>
      <c r="T181" s="292"/>
    </row>
    <row r="182" spans="1:20" ht="21.9" customHeight="1">
      <c r="A182" s="358">
        <v>10</v>
      </c>
      <c r="B182" s="359" t="s">
        <v>193</v>
      </c>
      <c r="C182" s="316"/>
      <c r="D182" s="9">
        <v>1</v>
      </c>
      <c r="E182" s="11" t="s">
        <v>88</v>
      </c>
      <c r="F182" s="304">
        <f>'ガス工事　大垣ガス'!U19</f>
        <v>118000</v>
      </c>
      <c r="G182" s="305">
        <f t="shared" si="25"/>
        <v>118000</v>
      </c>
      <c r="H182" s="360" t="s">
        <v>218</v>
      </c>
      <c r="I182" s="292"/>
      <c r="J182" s="292"/>
      <c r="K182" s="292"/>
      <c r="L182" s="292"/>
      <c r="M182" s="292"/>
      <c r="N182" s="292"/>
      <c r="O182" s="292"/>
      <c r="P182" s="292"/>
      <c r="Q182" s="292"/>
      <c r="R182" s="292"/>
      <c r="S182" s="292"/>
      <c r="T182" s="292"/>
    </row>
    <row r="183" spans="1:20" ht="21.9" customHeight="1">
      <c r="A183" s="358">
        <v>11</v>
      </c>
      <c r="B183" s="359" t="s">
        <v>194</v>
      </c>
      <c r="C183" s="316"/>
      <c r="D183" s="9">
        <v>2</v>
      </c>
      <c r="E183" s="11" t="s">
        <v>198</v>
      </c>
      <c r="F183" s="304">
        <f>'ガス工事　大垣ガス'!U20</f>
        <v>13420</v>
      </c>
      <c r="G183" s="305">
        <f t="shared" si="25"/>
        <v>26840</v>
      </c>
      <c r="H183" s="360" t="s">
        <v>218</v>
      </c>
      <c r="I183" s="292"/>
      <c r="J183" s="292"/>
      <c r="K183" s="292"/>
      <c r="L183" s="292"/>
      <c r="M183" s="292"/>
      <c r="N183" s="292"/>
      <c r="O183" s="292"/>
      <c r="P183" s="292"/>
      <c r="Q183" s="292"/>
      <c r="R183" s="292"/>
      <c r="S183" s="292"/>
      <c r="T183" s="292"/>
    </row>
    <row r="184" spans="1:20" ht="21.9" customHeight="1">
      <c r="A184" s="358">
        <v>12</v>
      </c>
      <c r="B184" s="359" t="s">
        <v>195</v>
      </c>
      <c r="C184" s="316"/>
      <c r="D184" s="9">
        <v>1</v>
      </c>
      <c r="E184" s="11" t="s">
        <v>15</v>
      </c>
      <c r="F184" s="304">
        <f>'ガス工事　大垣ガス'!U21</f>
        <v>29500</v>
      </c>
      <c r="G184" s="305">
        <f t="shared" si="25"/>
        <v>29500</v>
      </c>
      <c r="H184" s="360" t="s">
        <v>218</v>
      </c>
      <c r="I184" s="292"/>
      <c r="J184" s="292"/>
      <c r="K184" s="292"/>
      <c r="L184" s="292"/>
      <c r="M184" s="292"/>
      <c r="N184" s="292"/>
      <c r="O184" s="292"/>
      <c r="P184" s="292"/>
      <c r="Q184" s="292"/>
      <c r="R184" s="292"/>
      <c r="S184" s="292"/>
      <c r="T184" s="292"/>
    </row>
    <row r="185" spans="1:20" ht="21.9" customHeight="1">
      <c r="A185" s="358">
        <v>13</v>
      </c>
      <c r="B185" s="359" t="s">
        <v>196</v>
      </c>
      <c r="C185" s="316"/>
      <c r="D185" s="9">
        <v>1</v>
      </c>
      <c r="E185" s="11" t="s">
        <v>15</v>
      </c>
      <c r="F185" s="304">
        <f>'ガス工事　大垣ガス'!U22</f>
        <v>72880</v>
      </c>
      <c r="G185" s="305">
        <f t="shared" si="25"/>
        <v>72880</v>
      </c>
      <c r="H185" s="360" t="s">
        <v>218</v>
      </c>
      <c r="I185" s="292"/>
      <c r="J185" s="292"/>
      <c r="K185" s="292"/>
      <c r="L185" s="292"/>
      <c r="M185" s="292"/>
      <c r="N185" s="292"/>
      <c r="O185" s="292"/>
      <c r="P185" s="292"/>
      <c r="Q185" s="292"/>
      <c r="R185" s="292"/>
      <c r="S185" s="292"/>
      <c r="T185" s="292"/>
    </row>
    <row r="186" spans="1:20" ht="21.9" customHeight="1">
      <c r="A186" s="357"/>
      <c r="B186" s="356"/>
      <c r="C186" s="316"/>
      <c r="D186" s="314"/>
      <c r="E186" s="297"/>
      <c r="F186" s="304"/>
      <c r="G186" s="311"/>
      <c r="H186" s="304"/>
      <c r="I186" s="292"/>
      <c r="J186" s="292"/>
      <c r="K186" s="292"/>
      <c r="L186" s="292"/>
      <c r="M186" s="292"/>
      <c r="N186" s="292"/>
      <c r="O186" s="292"/>
      <c r="P186" s="292"/>
      <c r="Q186" s="292"/>
      <c r="R186" s="292"/>
      <c r="S186" s="292"/>
      <c r="T186" s="292"/>
    </row>
    <row r="187" spans="1:20" ht="21.9" customHeight="1">
      <c r="A187" s="302"/>
      <c r="B187" s="346"/>
      <c r="C187" s="354"/>
      <c r="D187" s="314"/>
      <c r="E187" s="353"/>
      <c r="F187" s="304"/>
      <c r="G187" s="311"/>
      <c r="H187" s="304"/>
      <c r="I187" s="292"/>
      <c r="J187" s="292"/>
      <c r="K187" s="292"/>
      <c r="L187" s="292"/>
      <c r="M187" s="292"/>
      <c r="N187" s="292"/>
      <c r="O187" s="292"/>
      <c r="P187" s="292"/>
      <c r="Q187" s="292"/>
      <c r="R187" s="292"/>
      <c r="S187" s="292"/>
      <c r="T187" s="292"/>
    </row>
    <row r="188" spans="1:20" ht="21.9" customHeight="1">
      <c r="A188" s="302"/>
      <c r="B188" s="346"/>
      <c r="C188" s="354"/>
      <c r="D188" s="314"/>
      <c r="E188" s="353"/>
      <c r="F188" s="304"/>
      <c r="G188" s="311"/>
      <c r="H188" s="304"/>
      <c r="I188" s="292"/>
      <c r="J188" s="292"/>
      <c r="K188" s="292"/>
      <c r="L188" s="292"/>
      <c r="M188" s="292"/>
      <c r="N188" s="292"/>
      <c r="O188" s="292"/>
      <c r="P188" s="292"/>
      <c r="Q188" s="292"/>
      <c r="R188" s="292"/>
      <c r="S188" s="292"/>
      <c r="T188" s="292"/>
    </row>
    <row r="189" spans="1:20" ht="21.9" customHeight="1">
      <c r="A189" s="302"/>
      <c r="B189" s="315"/>
      <c r="C189" s="316"/>
      <c r="D189" s="314"/>
      <c r="E189" s="297"/>
      <c r="F189" s="304"/>
      <c r="G189" s="311"/>
      <c r="H189" s="304"/>
      <c r="I189" s="292"/>
      <c r="J189" s="292"/>
      <c r="K189" s="292"/>
      <c r="L189" s="292"/>
      <c r="M189" s="292"/>
      <c r="N189" s="292"/>
      <c r="O189" s="292"/>
      <c r="P189" s="292"/>
      <c r="Q189" s="292"/>
      <c r="R189" s="292"/>
      <c r="S189" s="292"/>
      <c r="T189" s="292"/>
    </row>
    <row r="190" spans="1:20" ht="21.9" customHeight="1">
      <c r="A190" s="302"/>
      <c r="B190" s="315"/>
      <c r="C190" s="316"/>
      <c r="D190" s="314"/>
      <c r="E190" s="297"/>
      <c r="F190" s="304"/>
      <c r="G190" s="311"/>
      <c r="H190" s="304"/>
      <c r="I190" s="292"/>
      <c r="J190" s="292"/>
      <c r="K190" s="292"/>
      <c r="L190" s="292"/>
      <c r="M190" s="292"/>
      <c r="N190" s="292"/>
      <c r="O190" s="292"/>
      <c r="P190" s="292"/>
      <c r="Q190" s="292"/>
      <c r="R190" s="292"/>
      <c r="S190" s="292"/>
      <c r="T190" s="292"/>
    </row>
    <row r="191" spans="1:20" ht="21.9" customHeight="1">
      <c r="A191" s="302"/>
      <c r="B191" s="315"/>
      <c r="C191" s="316"/>
      <c r="D191" s="314"/>
      <c r="E191" s="297"/>
      <c r="F191" s="304"/>
      <c r="G191" s="311"/>
      <c r="H191" s="304"/>
      <c r="I191" s="292"/>
      <c r="J191" s="292"/>
      <c r="K191" s="292"/>
      <c r="L191" s="292"/>
      <c r="M191" s="292"/>
      <c r="N191" s="292"/>
      <c r="O191" s="292"/>
      <c r="P191" s="292"/>
      <c r="Q191" s="292"/>
      <c r="R191" s="292"/>
      <c r="S191" s="292"/>
      <c r="T191" s="292"/>
    </row>
    <row r="192" spans="1:20" ht="21.9" customHeight="1">
      <c r="A192" s="13"/>
      <c r="B192" s="309"/>
      <c r="C192" s="309"/>
      <c r="D192" s="14" t="s">
        <v>2</v>
      </c>
      <c r="E192" s="309"/>
      <c r="F192" s="309"/>
      <c r="G192" s="309"/>
      <c r="H192" s="310">
        <f>+H168+1</f>
        <v>11</v>
      </c>
      <c r="I192" s="292"/>
      <c r="J192" s="292"/>
      <c r="K192" s="292"/>
      <c r="L192" s="292"/>
      <c r="M192" s="292"/>
      <c r="N192" s="292"/>
      <c r="O192" s="292"/>
      <c r="P192" s="292"/>
      <c r="Q192" s="292"/>
      <c r="R192" s="292"/>
      <c r="S192" s="292"/>
      <c r="T192" s="292"/>
    </row>
    <row r="193" spans="1:20" ht="21.9" customHeight="1">
      <c r="A193" s="287"/>
      <c r="B193" s="288"/>
      <c r="C193" s="12"/>
      <c r="D193" s="289"/>
      <c r="E193" s="287"/>
      <c r="F193" s="290"/>
      <c r="G193" s="291"/>
      <c r="H193" s="290"/>
      <c r="I193" s="292"/>
      <c r="J193" s="292"/>
      <c r="K193" s="292"/>
      <c r="L193" s="292"/>
      <c r="M193" s="292"/>
      <c r="N193" s="292"/>
      <c r="O193" s="292"/>
      <c r="P193" s="292"/>
      <c r="Q193" s="292"/>
      <c r="R193" s="292"/>
      <c r="S193" s="292"/>
      <c r="T193" s="292"/>
    </row>
    <row r="194" spans="1:20" ht="21.9" customHeight="1">
      <c r="A194" s="293"/>
      <c r="B194" s="294" t="s">
        <v>0</v>
      </c>
      <c r="C194" s="295" t="s">
        <v>1</v>
      </c>
      <c r="D194" s="296" t="s">
        <v>5</v>
      </c>
      <c r="E194" s="297" t="s">
        <v>6</v>
      </c>
      <c r="F194" s="298" t="s">
        <v>20</v>
      </c>
      <c r="G194" s="299" t="s">
        <v>21</v>
      </c>
      <c r="H194" s="298" t="s">
        <v>3</v>
      </c>
      <c r="I194" s="292"/>
      <c r="J194" s="292"/>
      <c r="K194" s="292"/>
      <c r="L194" s="292"/>
      <c r="M194" s="292"/>
      <c r="N194" s="292"/>
      <c r="O194" s="292"/>
      <c r="P194" s="292"/>
      <c r="Q194" s="292"/>
      <c r="R194" s="292"/>
      <c r="S194" s="292"/>
      <c r="T194" s="292"/>
    </row>
    <row r="195" spans="1:20" ht="21.9" customHeight="1">
      <c r="A195" s="302"/>
      <c r="B195" s="344" t="s">
        <v>243</v>
      </c>
      <c r="C195" s="307"/>
      <c r="D195" s="314"/>
      <c r="E195" s="297"/>
      <c r="F195" s="304"/>
      <c r="G195" s="311"/>
      <c r="H195" s="304"/>
      <c r="I195" s="292"/>
      <c r="J195" s="292"/>
      <c r="K195" s="292"/>
      <c r="L195" s="292"/>
      <c r="M195" s="292"/>
      <c r="N195" s="292"/>
      <c r="O195" s="292"/>
      <c r="P195" s="292"/>
      <c r="Q195" s="292"/>
      <c r="R195" s="292"/>
      <c r="S195" s="292"/>
      <c r="T195" s="308"/>
    </row>
    <row r="196" spans="1:20" ht="21.9" customHeight="1">
      <c r="A196" s="302"/>
      <c r="B196" s="294"/>
      <c r="C196" s="307"/>
      <c r="D196" s="314"/>
      <c r="E196" s="297"/>
      <c r="F196" s="304"/>
      <c r="G196" s="311"/>
      <c r="H196" s="304"/>
      <c r="I196" s="292"/>
      <c r="J196" s="292"/>
      <c r="K196" s="292"/>
      <c r="L196" s="292"/>
      <c r="M196" s="292"/>
      <c r="N196" s="292"/>
      <c r="O196" s="292"/>
      <c r="P196" s="292"/>
      <c r="Q196" s="292"/>
      <c r="R196" s="292"/>
      <c r="S196" s="292"/>
      <c r="T196" s="292"/>
    </row>
    <row r="197" spans="1:20" ht="21.9" customHeight="1">
      <c r="A197" s="302"/>
      <c r="B197" s="356" t="s">
        <v>181</v>
      </c>
      <c r="C197" s="307"/>
      <c r="D197" s="9">
        <v>1</v>
      </c>
      <c r="E197" s="11" t="s">
        <v>15</v>
      </c>
      <c r="F197" s="304">
        <f>バルクタンク!U10</f>
        <v>1653800</v>
      </c>
      <c r="G197" s="305">
        <f t="shared" ref="G197" si="27">ROUNDDOWN(D197*F197,0)</f>
        <v>1653800</v>
      </c>
      <c r="H197" s="360" t="s">
        <v>242</v>
      </c>
      <c r="I197" s="292"/>
      <c r="J197" s="292"/>
      <c r="K197" s="292"/>
      <c r="L197" s="292"/>
      <c r="M197" s="292"/>
      <c r="N197" s="292"/>
      <c r="O197" s="292"/>
      <c r="P197" s="292"/>
      <c r="Q197" s="292"/>
      <c r="R197" s="292"/>
      <c r="S197" s="292"/>
      <c r="T197" s="292"/>
    </row>
    <row r="198" spans="1:20" ht="21.9" customHeight="1">
      <c r="A198" s="302"/>
      <c r="B198" s="356" t="s">
        <v>200</v>
      </c>
      <c r="C198" s="307"/>
      <c r="D198" s="9">
        <v>1</v>
      </c>
      <c r="E198" s="11" t="s">
        <v>15</v>
      </c>
      <c r="F198" s="304">
        <f>バルクタンク!U11</f>
        <v>1239430</v>
      </c>
      <c r="G198" s="305">
        <f t="shared" ref="G198:G209" si="28">ROUNDDOWN(D198*F198,0)</f>
        <v>1239430</v>
      </c>
      <c r="H198" s="360" t="s">
        <v>242</v>
      </c>
      <c r="I198" s="292"/>
      <c r="J198" s="292"/>
      <c r="K198" s="292"/>
      <c r="L198" s="292"/>
      <c r="M198" s="292"/>
      <c r="N198" s="292"/>
      <c r="O198" s="292"/>
      <c r="P198" s="292"/>
      <c r="Q198" s="292"/>
      <c r="R198" s="292"/>
      <c r="S198" s="292"/>
      <c r="T198" s="292"/>
    </row>
    <row r="199" spans="1:20" ht="21.9" customHeight="1">
      <c r="A199" s="302"/>
      <c r="B199" s="356" t="s">
        <v>201</v>
      </c>
      <c r="C199" s="307"/>
      <c r="D199" s="9">
        <v>1</v>
      </c>
      <c r="E199" s="11" t="s">
        <v>15</v>
      </c>
      <c r="F199" s="304">
        <f>バルクタンク!U12</f>
        <v>69760</v>
      </c>
      <c r="G199" s="305">
        <f t="shared" si="28"/>
        <v>69760</v>
      </c>
      <c r="H199" s="360" t="s">
        <v>242</v>
      </c>
      <c r="I199" s="292"/>
      <c r="J199" s="292"/>
      <c r="K199" s="292"/>
      <c r="L199" s="292"/>
      <c r="M199" s="292"/>
      <c r="N199" s="292"/>
      <c r="O199" s="292"/>
      <c r="P199" s="292"/>
      <c r="Q199" s="292"/>
      <c r="R199" s="292"/>
      <c r="S199" s="292"/>
      <c r="T199" s="292"/>
    </row>
    <row r="200" spans="1:20" ht="21.9" customHeight="1">
      <c r="A200" s="302"/>
      <c r="B200" s="356" t="s">
        <v>202</v>
      </c>
      <c r="C200" s="307"/>
      <c r="D200" s="9">
        <v>1</v>
      </c>
      <c r="E200" s="11" t="s">
        <v>15</v>
      </c>
      <c r="F200" s="304">
        <f>バルクタンク!U13</f>
        <v>64000</v>
      </c>
      <c r="G200" s="305">
        <f t="shared" si="28"/>
        <v>64000</v>
      </c>
      <c r="H200" s="360" t="s">
        <v>242</v>
      </c>
      <c r="I200" s="292"/>
      <c r="J200" s="292"/>
      <c r="K200" s="292"/>
      <c r="L200" s="292"/>
      <c r="M200" s="292"/>
      <c r="N200" s="292"/>
      <c r="O200" s="292"/>
      <c r="P200" s="292"/>
      <c r="Q200" s="292"/>
      <c r="R200" s="292"/>
      <c r="S200" s="292"/>
      <c r="T200" s="292"/>
    </row>
    <row r="201" spans="1:20" ht="21.9" customHeight="1">
      <c r="A201" s="302"/>
      <c r="B201" s="356" t="s">
        <v>203</v>
      </c>
      <c r="C201" s="307"/>
      <c r="D201" s="9">
        <v>1</v>
      </c>
      <c r="E201" s="11" t="s">
        <v>15</v>
      </c>
      <c r="F201" s="304">
        <f>バルクタンク!U14</f>
        <v>21440</v>
      </c>
      <c r="G201" s="305">
        <f t="shared" si="28"/>
        <v>21440</v>
      </c>
      <c r="H201" s="360" t="s">
        <v>242</v>
      </c>
      <c r="I201" s="292"/>
      <c r="J201" s="292"/>
      <c r="K201" s="292"/>
      <c r="L201" s="292"/>
      <c r="M201" s="292"/>
      <c r="N201" s="292"/>
      <c r="O201" s="292"/>
      <c r="P201" s="292"/>
      <c r="Q201" s="292"/>
      <c r="R201" s="292"/>
      <c r="S201" s="292"/>
      <c r="T201" s="292"/>
    </row>
    <row r="202" spans="1:20" ht="21.9" customHeight="1">
      <c r="A202" s="302"/>
      <c r="B202" s="356" t="s">
        <v>204</v>
      </c>
      <c r="C202" s="307"/>
      <c r="D202" s="9">
        <v>1</v>
      </c>
      <c r="E202" s="11" t="s">
        <v>15</v>
      </c>
      <c r="F202" s="304">
        <f>バルクタンク!U15</f>
        <v>192000</v>
      </c>
      <c r="G202" s="305">
        <f t="shared" si="28"/>
        <v>192000</v>
      </c>
      <c r="H202" s="360" t="s">
        <v>242</v>
      </c>
      <c r="I202" s="292"/>
      <c r="J202" s="292"/>
      <c r="K202" s="292"/>
      <c r="L202" s="292"/>
      <c r="M202" s="292"/>
      <c r="N202" s="292"/>
      <c r="O202" s="292"/>
      <c r="P202" s="292"/>
      <c r="Q202" s="292"/>
      <c r="R202" s="292"/>
      <c r="S202" s="292"/>
      <c r="T202" s="292"/>
    </row>
    <row r="203" spans="1:20" ht="21.9" customHeight="1">
      <c r="A203" s="302"/>
      <c r="B203" s="356" t="s">
        <v>205</v>
      </c>
      <c r="D203" s="9">
        <v>1</v>
      </c>
      <c r="E203" s="11" t="s">
        <v>15</v>
      </c>
      <c r="F203" s="304">
        <f>バルクタンク!U16</f>
        <v>11200</v>
      </c>
      <c r="G203" s="305">
        <f t="shared" si="28"/>
        <v>11200</v>
      </c>
      <c r="H203" s="360" t="s">
        <v>242</v>
      </c>
      <c r="I203" s="292"/>
      <c r="J203" s="292"/>
      <c r="K203" s="292"/>
      <c r="L203" s="292"/>
      <c r="M203" s="292"/>
      <c r="N203" s="292"/>
      <c r="O203" s="292"/>
      <c r="P203" s="292"/>
      <c r="Q203" s="292"/>
      <c r="R203" s="292"/>
      <c r="S203" s="292"/>
      <c r="T203" s="292"/>
    </row>
    <row r="204" spans="1:20" ht="21.9" customHeight="1">
      <c r="A204" s="302"/>
      <c r="B204" s="356" t="s">
        <v>206</v>
      </c>
      <c r="C204" s="307"/>
      <c r="D204" s="9">
        <v>1</v>
      </c>
      <c r="E204" s="11" t="s">
        <v>15</v>
      </c>
      <c r="F204" s="304">
        <f>バルクタンク!U17</f>
        <v>24320</v>
      </c>
      <c r="G204" s="305">
        <f t="shared" si="28"/>
        <v>24320</v>
      </c>
      <c r="H204" s="360" t="s">
        <v>242</v>
      </c>
      <c r="I204" s="292"/>
      <c r="J204" s="292"/>
      <c r="K204" s="292"/>
      <c r="L204" s="292"/>
      <c r="M204" s="292"/>
      <c r="N204" s="292"/>
      <c r="O204" s="292"/>
      <c r="P204" s="292"/>
      <c r="Q204" s="292"/>
      <c r="R204" s="292"/>
      <c r="S204" s="292"/>
      <c r="T204" s="292"/>
    </row>
    <row r="205" spans="1:20" ht="21.9" customHeight="1">
      <c r="A205" s="302"/>
      <c r="B205" s="356" t="s">
        <v>207</v>
      </c>
      <c r="C205" s="307"/>
      <c r="D205" s="9">
        <v>1</v>
      </c>
      <c r="E205" s="11" t="s">
        <v>15</v>
      </c>
      <c r="F205" s="304">
        <f>バルクタンク!U18</f>
        <v>18560</v>
      </c>
      <c r="G205" s="305">
        <f t="shared" si="28"/>
        <v>18560</v>
      </c>
      <c r="H205" s="360" t="s">
        <v>242</v>
      </c>
      <c r="I205" s="292"/>
      <c r="J205" s="292"/>
      <c r="K205" s="292"/>
      <c r="L205" s="292"/>
      <c r="M205" s="292"/>
      <c r="N205" s="292"/>
      <c r="O205" s="292"/>
      <c r="P205" s="292"/>
      <c r="Q205" s="292"/>
      <c r="R205" s="292"/>
      <c r="S205" s="292"/>
      <c r="T205" s="292"/>
    </row>
    <row r="206" spans="1:20" ht="21.9" customHeight="1">
      <c r="A206" s="302"/>
      <c r="B206" s="366" t="s">
        <v>208</v>
      </c>
      <c r="C206" s="307"/>
      <c r="D206" s="9">
        <v>1</v>
      </c>
      <c r="E206" s="11" t="s">
        <v>15</v>
      </c>
      <c r="F206" s="304">
        <f>バルクタンク!U19</f>
        <v>6030</v>
      </c>
      <c r="G206" s="305">
        <f t="shared" si="28"/>
        <v>6030</v>
      </c>
      <c r="H206" s="360" t="s">
        <v>242</v>
      </c>
      <c r="I206" s="292"/>
      <c r="J206" s="292"/>
      <c r="K206" s="292"/>
      <c r="L206" s="292"/>
      <c r="M206" s="292"/>
      <c r="N206" s="292"/>
      <c r="O206" s="292"/>
      <c r="P206" s="292"/>
      <c r="Q206" s="292"/>
      <c r="R206" s="292"/>
      <c r="S206" s="292"/>
      <c r="T206" s="292"/>
    </row>
    <row r="207" spans="1:20" ht="21.9" customHeight="1">
      <c r="A207" s="302"/>
      <c r="B207" s="356" t="s">
        <v>209</v>
      </c>
      <c r="C207" s="307"/>
      <c r="D207" s="9">
        <v>3</v>
      </c>
      <c r="E207" s="363" t="s">
        <v>211</v>
      </c>
      <c r="F207" s="304">
        <f>バルクタンク!U20</f>
        <v>3450</v>
      </c>
      <c r="G207" s="305">
        <f t="shared" si="28"/>
        <v>10350</v>
      </c>
      <c r="H207" s="360" t="s">
        <v>242</v>
      </c>
      <c r="I207" s="292"/>
      <c r="J207" s="292"/>
      <c r="K207" s="292"/>
      <c r="L207" s="292"/>
      <c r="M207" s="292"/>
      <c r="N207" s="292"/>
      <c r="O207" s="292"/>
      <c r="P207" s="292"/>
      <c r="Q207" s="292"/>
      <c r="R207" s="292"/>
      <c r="S207" s="292"/>
      <c r="T207" s="292"/>
    </row>
    <row r="208" spans="1:20" ht="21.9" customHeight="1">
      <c r="A208" s="302"/>
      <c r="B208" s="356" t="s">
        <v>212</v>
      </c>
      <c r="C208" s="307"/>
      <c r="D208" s="9">
        <v>2</v>
      </c>
      <c r="E208" s="363" t="s">
        <v>211</v>
      </c>
      <c r="F208" s="304">
        <f>バルクタンク!U21</f>
        <v>3450</v>
      </c>
      <c r="G208" s="305">
        <f t="shared" si="28"/>
        <v>6900</v>
      </c>
      <c r="H208" s="360" t="s">
        <v>242</v>
      </c>
      <c r="I208" s="292"/>
      <c r="J208" s="292"/>
      <c r="K208" s="292"/>
      <c r="L208" s="292"/>
      <c r="M208" s="292"/>
      <c r="N208" s="292"/>
      <c r="O208" s="292"/>
      <c r="P208" s="292"/>
      <c r="Q208" s="292"/>
      <c r="R208" s="292"/>
      <c r="S208" s="292"/>
      <c r="T208" s="292"/>
    </row>
    <row r="209" spans="1:20" ht="21.9" customHeight="1">
      <c r="A209" s="302"/>
      <c r="B209" s="366" t="s">
        <v>213</v>
      </c>
      <c r="C209" s="307"/>
      <c r="D209" s="9">
        <v>1</v>
      </c>
      <c r="E209" s="11" t="s">
        <v>15</v>
      </c>
      <c r="F209" s="304">
        <f>バルクタンク!U22</f>
        <v>400000</v>
      </c>
      <c r="G209" s="305">
        <f t="shared" si="28"/>
        <v>400000</v>
      </c>
      <c r="H209" s="360" t="s">
        <v>242</v>
      </c>
      <c r="I209" s="292"/>
      <c r="J209" s="292"/>
      <c r="K209" s="292"/>
      <c r="L209" s="292"/>
      <c r="M209" s="292"/>
      <c r="N209" s="292"/>
      <c r="O209" s="292"/>
      <c r="P209" s="292"/>
      <c r="Q209" s="292"/>
      <c r="R209" s="292"/>
      <c r="S209" s="292"/>
      <c r="T209" s="292"/>
    </row>
    <row r="210" spans="1:20" ht="21.9" customHeight="1">
      <c r="A210" s="302"/>
      <c r="B210" s="294"/>
      <c r="C210" s="307"/>
      <c r="D210" s="314"/>
      <c r="E210" s="297"/>
      <c r="F210" s="304"/>
      <c r="G210" s="311"/>
      <c r="H210" s="304"/>
      <c r="I210" s="292"/>
      <c r="J210" s="292"/>
      <c r="K210" s="292"/>
      <c r="L210" s="292"/>
      <c r="M210" s="292"/>
      <c r="N210" s="292"/>
      <c r="O210" s="292"/>
      <c r="P210" s="292"/>
      <c r="Q210" s="292"/>
      <c r="R210" s="292"/>
      <c r="S210" s="292"/>
      <c r="T210" s="292"/>
    </row>
    <row r="211" spans="1:20" ht="21.9" customHeight="1">
      <c r="A211" s="302"/>
      <c r="B211" s="294"/>
      <c r="C211" s="307"/>
      <c r="D211" s="314"/>
      <c r="E211" s="297"/>
      <c r="F211" s="304"/>
      <c r="G211" s="311"/>
      <c r="H211" s="304"/>
      <c r="I211" s="292"/>
      <c r="J211" s="292"/>
      <c r="K211" s="292"/>
      <c r="L211" s="292"/>
      <c r="M211" s="292"/>
      <c r="N211" s="292"/>
      <c r="O211" s="292"/>
      <c r="P211" s="292"/>
      <c r="Q211" s="292"/>
      <c r="R211" s="292"/>
      <c r="S211" s="292"/>
      <c r="T211" s="292"/>
    </row>
    <row r="212" spans="1:20" ht="21.9" customHeight="1">
      <c r="A212" s="302"/>
      <c r="B212" s="365" t="s">
        <v>590</v>
      </c>
      <c r="C212" s="313"/>
      <c r="D212" s="303">
        <v>1</v>
      </c>
      <c r="E212" s="297" t="s">
        <v>54</v>
      </c>
      <c r="F212" s="304">
        <f>'代価-3 '!G46</f>
        <v>2115300</v>
      </c>
      <c r="G212" s="305">
        <f t="shared" ref="G212" si="29">ROUNDDOWN(D212*F212,0)</f>
        <v>2115300</v>
      </c>
      <c r="H212" s="360" t="s">
        <v>277</v>
      </c>
      <c r="I212" s="292"/>
      <c r="J212" s="292"/>
      <c r="K212" s="292"/>
      <c r="L212" s="292"/>
      <c r="M212" s="292"/>
      <c r="N212" s="292"/>
      <c r="O212" s="292"/>
      <c r="P212" s="292"/>
      <c r="Q212" s="292"/>
      <c r="R212" s="292"/>
      <c r="S212" s="292"/>
      <c r="T212" s="292"/>
    </row>
    <row r="213" spans="1:20" ht="21.9" customHeight="1">
      <c r="A213" s="302"/>
      <c r="B213" s="294"/>
      <c r="C213" s="307"/>
      <c r="D213" s="314"/>
      <c r="E213" s="297"/>
      <c r="F213" s="304"/>
      <c r="G213" s="311"/>
      <c r="H213" s="304"/>
      <c r="I213" s="292"/>
      <c r="J213" s="292"/>
      <c r="K213" s="292"/>
      <c r="L213" s="292"/>
      <c r="M213" s="292"/>
      <c r="N213" s="292"/>
      <c r="O213" s="292"/>
      <c r="P213" s="292"/>
      <c r="Q213" s="292"/>
      <c r="R213" s="292"/>
      <c r="S213" s="292"/>
      <c r="T213" s="292"/>
    </row>
    <row r="214" spans="1:20" ht="21.9" customHeight="1">
      <c r="A214" s="302"/>
      <c r="B214" s="297" t="s">
        <v>56</v>
      </c>
      <c r="C214" s="307"/>
      <c r="D214" s="314"/>
      <c r="E214" s="297"/>
      <c r="F214" s="304"/>
      <c r="G214" s="311">
        <f>SUM(G171:G213)</f>
        <v>6870160</v>
      </c>
      <c r="H214" s="304"/>
      <c r="I214" s="292"/>
      <c r="J214" s="292"/>
      <c r="K214" s="292"/>
      <c r="L214" s="292"/>
      <c r="M214" s="292"/>
      <c r="N214" s="292"/>
      <c r="O214" s="292"/>
      <c r="P214" s="292"/>
      <c r="Q214" s="292"/>
      <c r="R214" s="292"/>
      <c r="S214" s="292"/>
      <c r="T214" s="292"/>
    </row>
    <row r="215" spans="1:20" ht="21.9" customHeight="1">
      <c r="A215" s="302"/>
      <c r="B215" s="294"/>
      <c r="C215" s="307"/>
      <c r="D215" s="314"/>
      <c r="E215" s="297"/>
      <c r="F215" s="304"/>
      <c r="G215" s="311"/>
      <c r="H215" s="304"/>
      <c r="I215" s="292"/>
      <c r="J215" s="292"/>
      <c r="K215" s="292"/>
      <c r="L215" s="292"/>
      <c r="M215" s="292"/>
      <c r="N215" s="292"/>
      <c r="O215" s="292"/>
      <c r="P215" s="292"/>
      <c r="Q215" s="292"/>
      <c r="R215" s="292"/>
      <c r="S215" s="292"/>
      <c r="T215" s="292"/>
    </row>
    <row r="216" spans="1:20" ht="21.9" customHeight="1">
      <c r="A216" s="13"/>
      <c r="B216" s="309"/>
      <c r="C216" s="309"/>
      <c r="D216" s="14" t="s">
        <v>23</v>
      </c>
      <c r="E216" s="309"/>
      <c r="F216" s="309"/>
      <c r="G216" s="309"/>
      <c r="H216" s="310">
        <f>+H192+1</f>
        <v>12</v>
      </c>
      <c r="I216" s="292"/>
      <c r="J216" s="292"/>
      <c r="K216" s="292"/>
      <c r="L216" s="292"/>
      <c r="M216" s="292"/>
      <c r="N216" s="292"/>
      <c r="O216" s="292"/>
      <c r="P216" s="292"/>
      <c r="Q216" s="292"/>
      <c r="R216" s="292"/>
      <c r="S216" s="292"/>
      <c r="T216" s="292"/>
    </row>
    <row r="217" spans="1:20" ht="21.9" customHeight="1">
      <c r="A217" s="293"/>
      <c r="B217" s="294" t="s">
        <v>0</v>
      </c>
      <c r="C217" s="295" t="s">
        <v>1</v>
      </c>
      <c r="D217" s="296" t="s">
        <v>5</v>
      </c>
      <c r="E217" s="297" t="s">
        <v>6</v>
      </c>
      <c r="F217" s="298" t="s">
        <v>20</v>
      </c>
      <c r="G217" s="299" t="s">
        <v>21</v>
      </c>
      <c r="H217" s="298" t="s">
        <v>3</v>
      </c>
      <c r="I217" s="292"/>
      <c r="J217" s="292"/>
      <c r="K217" s="292"/>
      <c r="L217" s="292"/>
      <c r="M217" s="292"/>
      <c r="N217" s="292"/>
      <c r="O217" s="292"/>
      <c r="P217" s="292"/>
      <c r="Q217" s="292"/>
      <c r="R217" s="292"/>
      <c r="S217" s="292"/>
      <c r="T217" s="292"/>
    </row>
    <row r="218" spans="1:20" ht="21.9" customHeight="1">
      <c r="A218" s="349"/>
      <c r="B218" s="345"/>
      <c r="C218" s="307"/>
      <c r="D218" s="314"/>
      <c r="E218" s="297"/>
      <c r="F218" s="304"/>
      <c r="G218" s="311"/>
      <c r="H218" s="304"/>
      <c r="I218" s="292"/>
      <c r="J218" s="292"/>
      <c r="K218" s="292"/>
      <c r="L218" s="292"/>
      <c r="M218" s="292"/>
      <c r="N218" s="292"/>
      <c r="O218" s="292"/>
      <c r="P218" s="292"/>
      <c r="Q218" s="292"/>
      <c r="R218" s="292"/>
      <c r="S218" s="292"/>
      <c r="T218" s="308"/>
    </row>
    <row r="219" spans="1:20" ht="21.9" customHeight="1">
      <c r="A219" s="306"/>
      <c r="B219" s="315"/>
      <c r="C219" s="316"/>
      <c r="D219" s="314"/>
      <c r="E219" s="297"/>
      <c r="F219" s="304"/>
      <c r="G219" s="311"/>
      <c r="H219" s="304"/>
      <c r="I219" s="292"/>
      <c r="J219" s="292"/>
      <c r="K219" s="292"/>
      <c r="L219" s="292"/>
      <c r="M219" s="292"/>
      <c r="N219" s="292"/>
      <c r="O219" s="292"/>
      <c r="P219" s="292"/>
      <c r="Q219" s="292"/>
      <c r="R219" s="292"/>
      <c r="S219" s="292"/>
      <c r="T219" s="292"/>
    </row>
    <row r="220" spans="1:20" ht="21.9" customHeight="1">
      <c r="A220" s="362"/>
      <c r="B220" s="356"/>
      <c r="C220" s="354"/>
      <c r="D220" s="9"/>
      <c r="E220" s="363"/>
      <c r="F220" s="304"/>
      <c r="G220" s="305"/>
      <c r="H220" s="360"/>
      <c r="I220" s="292"/>
      <c r="J220" s="292"/>
      <c r="K220" s="292"/>
      <c r="L220" s="292"/>
      <c r="M220" s="292"/>
      <c r="N220" s="292"/>
      <c r="O220" s="292"/>
      <c r="P220" s="292"/>
      <c r="Q220" s="292"/>
      <c r="R220" s="292"/>
      <c r="S220" s="292"/>
      <c r="T220" s="292"/>
    </row>
    <row r="221" spans="1:20" ht="21.9" customHeight="1">
      <c r="A221" s="362"/>
      <c r="B221" s="356"/>
      <c r="C221" s="316"/>
      <c r="D221" s="9"/>
      <c r="E221" s="11"/>
      <c r="F221" s="304"/>
      <c r="G221" s="305"/>
      <c r="H221" s="360"/>
      <c r="I221" s="292"/>
      <c r="J221" s="292"/>
      <c r="K221" s="292"/>
      <c r="L221" s="292"/>
      <c r="M221" s="292"/>
      <c r="N221" s="292"/>
      <c r="O221" s="292"/>
      <c r="P221" s="292"/>
      <c r="Q221" s="292"/>
      <c r="R221" s="292"/>
      <c r="S221" s="292"/>
      <c r="T221" s="292"/>
    </row>
    <row r="222" spans="1:20" ht="21.9" customHeight="1">
      <c r="A222" s="362"/>
      <c r="B222" s="356"/>
      <c r="C222" s="354"/>
      <c r="D222" s="314"/>
      <c r="E222" s="353"/>
      <c r="F222" s="304"/>
      <c r="G222" s="305"/>
      <c r="H222" s="304"/>
      <c r="I222" s="292"/>
      <c r="J222" s="292"/>
      <c r="K222" s="292"/>
      <c r="L222" s="292"/>
      <c r="M222" s="292"/>
      <c r="N222" s="292"/>
      <c r="O222" s="292"/>
      <c r="P222" s="292"/>
      <c r="Q222" s="292"/>
      <c r="R222" s="292"/>
      <c r="S222" s="292"/>
      <c r="T222" s="292"/>
    </row>
    <row r="223" spans="1:20" ht="21.9" customHeight="1">
      <c r="A223" s="362"/>
      <c r="B223" s="356"/>
      <c r="C223" s="354"/>
      <c r="D223" s="9"/>
      <c r="E223" s="11"/>
      <c r="F223" s="304"/>
      <c r="G223" s="305"/>
      <c r="H223" s="360"/>
      <c r="I223" s="292"/>
      <c r="J223" s="292"/>
      <c r="K223" s="292"/>
      <c r="L223" s="292"/>
      <c r="M223" s="292"/>
      <c r="N223" s="292"/>
      <c r="O223" s="292"/>
      <c r="P223" s="292"/>
      <c r="Q223" s="292"/>
      <c r="R223" s="292"/>
      <c r="S223" s="292"/>
      <c r="T223" s="292"/>
    </row>
    <row r="224" spans="1:20" ht="21.9" customHeight="1">
      <c r="A224" s="362"/>
      <c r="B224" s="356"/>
      <c r="C224" s="354"/>
      <c r="D224" s="314"/>
      <c r="E224" s="353"/>
      <c r="F224" s="304"/>
      <c r="G224" s="305"/>
      <c r="H224" s="304"/>
      <c r="I224" s="292"/>
      <c r="J224" s="292"/>
      <c r="K224" s="292"/>
      <c r="L224" s="292"/>
      <c r="M224" s="292"/>
      <c r="N224" s="292"/>
      <c r="O224" s="292"/>
      <c r="P224" s="292"/>
      <c r="Q224" s="292"/>
      <c r="R224" s="292"/>
      <c r="S224" s="292"/>
      <c r="T224" s="292"/>
    </row>
    <row r="225" spans="1:20" ht="21.9" customHeight="1">
      <c r="A225" s="302"/>
      <c r="B225" s="356"/>
      <c r="C225" s="354"/>
      <c r="D225" s="9"/>
      <c r="E225" s="11"/>
      <c r="F225" s="304"/>
      <c r="G225" s="305"/>
      <c r="H225" s="360"/>
      <c r="I225" s="292"/>
      <c r="J225" s="292"/>
      <c r="K225" s="292"/>
      <c r="L225" s="292"/>
      <c r="M225" s="292"/>
      <c r="N225" s="292"/>
      <c r="O225" s="292"/>
      <c r="P225" s="292"/>
      <c r="Q225" s="292"/>
      <c r="R225" s="292"/>
      <c r="S225" s="292"/>
      <c r="T225" s="292"/>
    </row>
    <row r="226" spans="1:20" ht="21.9" customHeight="1">
      <c r="A226" s="302"/>
      <c r="B226" s="356"/>
      <c r="C226" s="354"/>
      <c r="D226" s="314"/>
      <c r="E226" s="353"/>
      <c r="F226" s="304"/>
      <c r="G226" s="311"/>
      <c r="H226" s="304"/>
      <c r="I226" s="292"/>
      <c r="J226" s="292"/>
      <c r="K226" s="292"/>
      <c r="L226" s="292"/>
      <c r="M226" s="292"/>
      <c r="N226" s="292"/>
      <c r="O226" s="292"/>
      <c r="P226" s="292"/>
      <c r="Q226" s="292"/>
      <c r="R226" s="292"/>
      <c r="S226" s="292"/>
      <c r="T226" s="292"/>
    </row>
    <row r="227" spans="1:20" ht="21.9" customHeight="1">
      <c r="A227" s="302"/>
      <c r="B227" s="356"/>
      <c r="C227" s="354"/>
      <c r="D227" s="9"/>
      <c r="E227" s="11"/>
      <c r="F227" s="304"/>
      <c r="G227" s="305"/>
      <c r="H227" s="360"/>
      <c r="I227" s="292"/>
      <c r="J227" s="292"/>
      <c r="K227" s="292"/>
      <c r="L227" s="292"/>
      <c r="M227" s="292"/>
      <c r="N227" s="292"/>
      <c r="O227" s="292"/>
      <c r="P227" s="292"/>
      <c r="Q227" s="292"/>
      <c r="R227" s="292"/>
      <c r="S227" s="292"/>
      <c r="T227" s="292"/>
    </row>
    <row r="228" spans="1:20" ht="21.9" customHeight="1">
      <c r="A228" s="302"/>
      <c r="B228" s="315"/>
      <c r="C228" s="316"/>
      <c r="D228" s="314"/>
      <c r="E228" s="353"/>
      <c r="F228" s="304"/>
      <c r="G228" s="311"/>
      <c r="H228" s="304"/>
      <c r="I228" s="292"/>
      <c r="J228" s="292"/>
      <c r="K228" s="292"/>
      <c r="L228" s="292"/>
      <c r="M228" s="292"/>
      <c r="N228" s="292"/>
      <c r="O228" s="292"/>
      <c r="P228" s="292"/>
      <c r="Q228" s="292"/>
      <c r="R228" s="292"/>
      <c r="S228" s="292"/>
      <c r="T228" s="292"/>
    </row>
    <row r="229" spans="1:20" ht="21.9" customHeight="1">
      <c r="A229" s="302"/>
      <c r="B229" s="356"/>
      <c r="C229" s="354"/>
      <c r="D229" s="9"/>
      <c r="E229" s="11"/>
      <c r="F229" s="304"/>
      <c r="G229" s="305"/>
      <c r="H229" s="360"/>
      <c r="I229" s="292"/>
      <c r="J229" s="292"/>
      <c r="K229" s="292"/>
      <c r="L229" s="292"/>
      <c r="M229" s="292"/>
      <c r="N229" s="292"/>
      <c r="O229" s="292"/>
      <c r="P229" s="292"/>
      <c r="Q229" s="292"/>
      <c r="R229" s="292"/>
      <c r="S229" s="292"/>
      <c r="T229" s="292"/>
    </row>
    <row r="230" spans="1:20" ht="21.9" customHeight="1">
      <c r="A230" s="302"/>
      <c r="B230" s="315"/>
      <c r="C230" s="316"/>
      <c r="D230" s="314"/>
      <c r="E230" s="297"/>
      <c r="F230" s="304"/>
      <c r="G230" s="311"/>
      <c r="H230" s="304"/>
      <c r="I230" s="292"/>
      <c r="J230" s="292"/>
      <c r="K230" s="292"/>
      <c r="L230" s="292"/>
      <c r="M230" s="292"/>
      <c r="N230" s="292"/>
      <c r="O230" s="292"/>
      <c r="P230" s="292"/>
      <c r="Q230" s="292"/>
      <c r="R230" s="292"/>
      <c r="S230" s="292"/>
      <c r="T230" s="292"/>
    </row>
    <row r="231" spans="1:20" ht="21.9" customHeight="1">
      <c r="A231" s="302"/>
      <c r="B231" s="315"/>
      <c r="C231" s="316"/>
      <c r="D231" s="314"/>
      <c r="E231" s="297"/>
      <c r="F231" s="304"/>
      <c r="G231" s="311"/>
      <c r="H231" s="304"/>
      <c r="I231" s="292"/>
      <c r="J231" s="292"/>
      <c r="K231" s="292"/>
      <c r="L231" s="292"/>
      <c r="M231" s="292"/>
      <c r="N231" s="292"/>
      <c r="O231" s="292"/>
      <c r="P231" s="292"/>
      <c r="Q231" s="292"/>
      <c r="R231" s="292"/>
      <c r="S231" s="292"/>
      <c r="T231" s="292"/>
    </row>
    <row r="232" spans="1:20" ht="21.9" customHeight="1">
      <c r="A232" s="302"/>
      <c r="B232" s="315"/>
      <c r="C232" s="316"/>
      <c r="D232" s="314"/>
      <c r="E232" s="297"/>
      <c r="F232" s="304"/>
      <c r="G232" s="311"/>
      <c r="H232" s="304"/>
      <c r="I232" s="292"/>
      <c r="J232" s="292"/>
      <c r="K232" s="292"/>
      <c r="L232" s="292"/>
      <c r="M232" s="292"/>
      <c r="N232" s="292"/>
      <c r="O232" s="292"/>
      <c r="P232" s="292"/>
      <c r="Q232" s="292"/>
      <c r="R232" s="292"/>
      <c r="S232" s="292"/>
      <c r="T232" s="292"/>
    </row>
    <row r="233" spans="1:20" ht="21.9" customHeight="1">
      <c r="A233" s="302"/>
      <c r="B233" s="315"/>
      <c r="C233" s="316"/>
      <c r="D233" s="314"/>
      <c r="E233" s="297"/>
      <c r="F233" s="304"/>
      <c r="G233" s="311"/>
      <c r="H233" s="304"/>
      <c r="I233" s="292"/>
      <c r="J233" s="292"/>
      <c r="K233" s="292"/>
      <c r="L233" s="292"/>
      <c r="M233" s="292"/>
      <c r="N233" s="292"/>
      <c r="O233" s="292"/>
      <c r="P233" s="292"/>
      <c r="Q233" s="292"/>
      <c r="R233" s="292"/>
      <c r="S233" s="292"/>
      <c r="T233" s="292"/>
    </row>
    <row r="234" spans="1:20" ht="21.9" customHeight="1">
      <c r="A234" s="302"/>
      <c r="B234" s="315"/>
      <c r="C234" s="316"/>
      <c r="D234" s="314"/>
      <c r="E234" s="297"/>
      <c r="F234" s="304"/>
      <c r="G234" s="311"/>
      <c r="H234" s="304"/>
      <c r="I234" s="292"/>
      <c r="J234" s="292"/>
      <c r="K234" s="292"/>
      <c r="L234" s="292"/>
      <c r="M234" s="292"/>
      <c r="N234" s="292"/>
      <c r="O234" s="292"/>
      <c r="P234" s="292"/>
      <c r="Q234" s="292"/>
      <c r="R234" s="292"/>
      <c r="S234" s="292"/>
      <c r="T234" s="292"/>
    </row>
    <row r="235" spans="1:20" ht="21.9" customHeight="1">
      <c r="A235" s="302"/>
      <c r="B235" s="315"/>
      <c r="C235" s="316"/>
      <c r="D235" s="314"/>
      <c r="E235" s="297"/>
      <c r="F235" s="304"/>
      <c r="G235" s="311"/>
      <c r="H235" s="304"/>
      <c r="I235" s="292"/>
      <c r="J235" s="292"/>
      <c r="K235" s="292"/>
      <c r="L235" s="292"/>
      <c r="M235" s="292"/>
      <c r="N235" s="292"/>
      <c r="O235" s="292"/>
      <c r="P235" s="292"/>
      <c r="Q235" s="292"/>
      <c r="R235" s="292"/>
      <c r="S235" s="292"/>
      <c r="T235" s="292"/>
    </row>
    <row r="236" spans="1:20" ht="21.9" customHeight="1">
      <c r="A236" s="302"/>
      <c r="B236" s="315"/>
      <c r="C236" s="316"/>
      <c r="D236" s="314"/>
      <c r="E236" s="297"/>
      <c r="F236" s="304"/>
      <c r="G236" s="311"/>
      <c r="H236" s="304"/>
      <c r="I236" s="292"/>
      <c r="J236" s="292"/>
      <c r="K236" s="292"/>
      <c r="L236" s="292"/>
      <c r="M236" s="292"/>
      <c r="N236" s="292"/>
      <c r="O236" s="292"/>
      <c r="P236" s="292"/>
      <c r="Q236" s="292"/>
      <c r="R236" s="292"/>
      <c r="S236" s="292"/>
      <c r="T236" s="292"/>
    </row>
    <row r="237" spans="1:20" ht="21.9" customHeight="1">
      <c r="A237" s="302"/>
      <c r="B237" s="297"/>
      <c r="C237" s="307"/>
      <c r="D237" s="314"/>
      <c r="E237" s="297"/>
      <c r="F237" s="304"/>
      <c r="G237" s="311"/>
      <c r="H237" s="304"/>
      <c r="I237" s="292"/>
      <c r="J237" s="292"/>
      <c r="K237" s="292"/>
      <c r="L237" s="292"/>
      <c r="M237" s="292"/>
      <c r="N237" s="292"/>
      <c r="O237" s="292"/>
      <c r="P237" s="292"/>
      <c r="Q237" s="292"/>
      <c r="R237" s="292"/>
      <c r="S237" s="292"/>
      <c r="T237" s="292"/>
    </row>
    <row r="238" spans="1:20" ht="21.9" customHeight="1">
      <c r="A238" s="302"/>
      <c r="B238" s="315"/>
      <c r="C238" s="316"/>
      <c r="D238" s="314"/>
      <c r="E238" s="297"/>
      <c r="F238" s="304"/>
      <c r="G238" s="317"/>
      <c r="H238" s="304"/>
      <c r="I238" s="292"/>
      <c r="J238" s="292"/>
      <c r="K238" s="292"/>
      <c r="L238" s="292"/>
      <c r="M238" s="292"/>
      <c r="N238" s="292"/>
      <c r="O238" s="292"/>
      <c r="P238" s="292"/>
      <c r="Q238" s="292"/>
      <c r="R238" s="292"/>
      <c r="S238" s="292"/>
      <c r="T238" s="292"/>
    </row>
    <row r="239" spans="1:20" ht="21.9" customHeight="1">
      <c r="A239" s="13"/>
      <c r="B239" s="309"/>
      <c r="C239" s="309"/>
      <c r="D239" s="14" t="s">
        <v>2</v>
      </c>
      <c r="E239" s="309"/>
      <c r="F239" s="309"/>
      <c r="G239" s="309"/>
      <c r="H239" s="310">
        <f>+H216+1</f>
        <v>13</v>
      </c>
      <c r="I239" s="292"/>
      <c r="J239" s="292"/>
      <c r="K239" s="292"/>
      <c r="L239" s="292"/>
      <c r="M239" s="292"/>
      <c r="N239" s="292"/>
      <c r="O239" s="292"/>
      <c r="P239" s="292"/>
      <c r="Q239" s="292"/>
      <c r="R239" s="292"/>
      <c r="S239" s="292"/>
      <c r="T239" s="292"/>
    </row>
  </sheetData>
  <phoneticPr fontId="48"/>
  <printOptions horizontalCentered="1" verticalCentered="1"/>
  <pageMargins left="0.31496062992125984" right="0.31496062992125984" top="0.59055118110236227" bottom="0.59055118110236227" header="0.51181102362204722" footer="0.51181102362204722"/>
  <pageSetup paperSize="9" orientation="landscape" r:id="rId1"/>
  <headerFooter alignWithMargins="0"/>
  <rowBreaks count="9" manualBreakCount="9">
    <brk id="24" max="7" man="1"/>
    <brk id="48" max="7" man="1"/>
    <brk id="72" max="7" man="1"/>
    <brk id="96" max="7" man="1"/>
    <brk id="120" max="7" man="1"/>
    <brk id="144" max="7" man="1"/>
    <brk id="168" max="7" man="1"/>
    <brk id="192" max="7" man="1"/>
    <brk id="216" max="7"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983A4-68FC-41B3-8FBF-58C51A57F63F}">
  <sheetPr>
    <tabColor theme="9"/>
  </sheetPr>
  <dimension ref="A1:AD24"/>
  <sheetViews>
    <sheetView view="pageBreakPreview" topLeftCell="A4" zoomScale="120" zoomScaleNormal="100" zoomScaleSheetLayoutView="120" workbookViewId="0">
      <selection activeCell="H192" sqref="H192"/>
    </sheetView>
  </sheetViews>
  <sheetFormatPr defaultColWidth="9" defaultRowHeight="13.2"/>
  <cols>
    <col min="1" max="1" width="5.88671875" style="3" customWidth="1"/>
    <col min="2" max="2" width="28.6640625" style="3" customWidth="1"/>
    <col min="3" max="3" width="25.88671875" style="3" customWidth="1"/>
    <col min="4" max="4" width="9.6640625" style="3" customWidth="1"/>
    <col min="5" max="5" width="5.6640625" style="3" customWidth="1"/>
    <col min="6" max="6" width="11.6640625" style="3" customWidth="1"/>
    <col min="7" max="7" width="15.88671875" style="3" customWidth="1"/>
    <col min="8" max="8" width="26.88671875" style="3" customWidth="1"/>
    <col min="9" max="16384" width="9" style="3"/>
  </cols>
  <sheetData>
    <row r="1" spans="1:30" ht="21.9" customHeight="1">
      <c r="A1" s="368"/>
      <c r="B1" s="369"/>
      <c r="C1" s="369"/>
      <c r="D1" s="370"/>
      <c r="E1" s="369"/>
      <c r="F1" s="371"/>
      <c r="G1" s="52"/>
      <c r="H1" s="371"/>
      <c r="I1" s="372">
        <v>1</v>
      </c>
      <c r="J1" s="1"/>
      <c r="K1" s="1"/>
      <c r="L1" s="1"/>
      <c r="M1" s="1"/>
      <c r="N1" s="1"/>
      <c r="O1" s="1"/>
      <c r="P1" s="1"/>
      <c r="Q1" s="1"/>
      <c r="R1" s="1"/>
      <c r="S1" s="1"/>
      <c r="T1" s="1"/>
      <c r="U1" s="1"/>
      <c r="V1" s="1"/>
      <c r="W1" s="1"/>
      <c r="X1" s="1"/>
      <c r="Y1" s="1"/>
      <c r="Z1" s="1"/>
      <c r="AA1" s="1"/>
      <c r="AB1" s="1"/>
      <c r="AC1" s="1"/>
      <c r="AD1" s="1"/>
    </row>
    <row r="2" spans="1:30" ht="21.9" customHeight="1">
      <c r="A2" s="373"/>
      <c r="B2" s="321" t="s">
        <v>0</v>
      </c>
      <c r="C2" s="53" t="s">
        <v>1</v>
      </c>
      <c r="D2" s="374" t="s">
        <v>5</v>
      </c>
      <c r="E2" s="321" t="s">
        <v>6</v>
      </c>
      <c r="F2" s="375" t="s">
        <v>20</v>
      </c>
      <c r="G2" s="54" t="s">
        <v>21</v>
      </c>
      <c r="H2" s="375" t="s">
        <v>3</v>
      </c>
      <c r="I2" s="322" t="s">
        <v>320</v>
      </c>
      <c r="J2" s="1"/>
      <c r="K2" s="1"/>
      <c r="L2" s="1"/>
      <c r="M2" s="1"/>
      <c r="N2" s="1"/>
      <c r="O2" s="1"/>
      <c r="P2" s="1"/>
      <c r="Q2" s="1"/>
      <c r="R2" s="1"/>
      <c r="S2" s="1"/>
      <c r="T2" s="1"/>
      <c r="U2" s="1"/>
      <c r="V2" s="1"/>
      <c r="W2" s="1"/>
      <c r="X2" s="1"/>
      <c r="Y2" s="1"/>
      <c r="Z2" s="1"/>
      <c r="AA2" s="1"/>
      <c r="AB2" s="1"/>
      <c r="AC2" s="1"/>
      <c r="AD2" s="1"/>
    </row>
    <row r="3" spans="1:30" ht="21.9" customHeight="1">
      <c r="A3" s="323" t="s">
        <v>52</v>
      </c>
      <c r="B3" s="324" t="s">
        <v>16</v>
      </c>
      <c r="C3" s="322"/>
      <c r="D3" s="325"/>
      <c r="E3" s="321"/>
      <c r="F3" s="42"/>
      <c r="G3" s="42"/>
      <c r="H3" s="51"/>
      <c r="I3" s="321"/>
      <c r="J3" s="1"/>
      <c r="K3" s="1"/>
      <c r="L3" s="1"/>
      <c r="M3" s="1"/>
      <c r="N3" s="1"/>
      <c r="O3" s="1"/>
      <c r="P3" s="1"/>
      <c r="Q3" s="1"/>
      <c r="R3" s="1"/>
      <c r="S3" s="1"/>
      <c r="T3" s="1"/>
      <c r="U3" s="1"/>
      <c r="V3" s="1"/>
      <c r="W3" s="1"/>
      <c r="X3" s="1"/>
      <c r="Y3" s="1"/>
      <c r="Z3" s="1"/>
      <c r="AA3" s="1"/>
      <c r="AB3" s="1"/>
      <c r="AC3" s="1"/>
      <c r="AD3" s="1"/>
    </row>
    <row r="4" spans="1:30" ht="21.9" customHeight="1">
      <c r="A4" s="326"/>
      <c r="B4" s="318"/>
      <c r="C4" s="300"/>
      <c r="D4" s="327"/>
      <c r="E4" s="300"/>
      <c r="F4" s="42"/>
      <c r="G4" s="42"/>
      <c r="H4" s="51"/>
      <c r="I4" s="321"/>
      <c r="J4" s="1"/>
      <c r="K4" s="1"/>
      <c r="L4" s="1"/>
      <c r="M4" s="1"/>
      <c r="N4" s="1"/>
      <c r="O4" s="1"/>
      <c r="P4" s="1"/>
      <c r="Q4" s="1"/>
      <c r="R4" s="1"/>
      <c r="S4" s="1"/>
      <c r="T4" s="1"/>
      <c r="U4" s="1"/>
      <c r="V4" s="1"/>
      <c r="W4" s="1"/>
      <c r="X4" s="1"/>
      <c r="Y4" s="1"/>
      <c r="Z4" s="1"/>
      <c r="AA4" s="1"/>
      <c r="AB4" s="1"/>
      <c r="AC4" s="1"/>
      <c r="AD4" s="1"/>
    </row>
    <row r="5" spans="1:30" ht="21.9" customHeight="1">
      <c r="A5" s="328">
        <v>1</v>
      </c>
      <c r="B5" s="364" t="s">
        <v>321</v>
      </c>
      <c r="C5" s="330"/>
      <c r="D5" s="331">
        <v>1</v>
      </c>
      <c r="E5" s="328" t="s">
        <v>15</v>
      </c>
      <c r="F5" s="42"/>
      <c r="G5" s="42">
        <f>+'電気（明細）'!G72</f>
        <v>5401173</v>
      </c>
      <c r="H5" s="51"/>
      <c r="I5" s="321"/>
      <c r="J5" s="1"/>
      <c r="K5" s="1"/>
      <c r="L5" s="1"/>
      <c r="M5" s="1"/>
      <c r="N5" s="1"/>
      <c r="O5" s="1"/>
      <c r="P5" s="1"/>
      <c r="Q5" s="1"/>
      <c r="R5" s="1"/>
      <c r="S5" s="1"/>
      <c r="T5" s="1"/>
      <c r="U5" s="1"/>
      <c r="V5" s="1"/>
      <c r="W5" s="1"/>
      <c r="X5" s="1"/>
      <c r="Y5" s="1"/>
      <c r="Z5" s="1"/>
      <c r="AA5" s="1"/>
      <c r="AB5" s="1"/>
      <c r="AC5" s="1"/>
      <c r="AD5" s="1"/>
    </row>
    <row r="6" spans="1:30" ht="21.9" customHeight="1">
      <c r="A6" s="328"/>
      <c r="B6" s="329"/>
      <c r="C6" s="330"/>
      <c r="D6" s="331"/>
      <c r="E6" s="328"/>
      <c r="F6" s="42"/>
      <c r="G6" s="42"/>
      <c r="H6" s="51"/>
      <c r="I6" s="321"/>
      <c r="J6" s="1"/>
      <c r="K6" s="1"/>
      <c r="L6" s="1"/>
      <c r="M6" s="1"/>
      <c r="N6" s="1"/>
      <c r="O6" s="1"/>
      <c r="P6" s="1"/>
      <c r="Q6" s="1"/>
      <c r="R6" s="1"/>
      <c r="S6" s="1"/>
      <c r="T6" s="1"/>
      <c r="U6" s="1"/>
      <c r="V6" s="1"/>
      <c r="W6" s="1"/>
      <c r="X6" s="1"/>
      <c r="Y6" s="1"/>
      <c r="Z6" s="1"/>
      <c r="AA6" s="1"/>
      <c r="AB6" s="1"/>
      <c r="AC6" s="1"/>
      <c r="AD6" s="1"/>
    </row>
    <row r="7" spans="1:30" ht="21.9" customHeight="1">
      <c r="A7" s="328"/>
      <c r="B7" s="330"/>
      <c r="C7" s="330"/>
      <c r="D7" s="331"/>
      <c r="E7" s="328"/>
      <c r="F7" s="42"/>
      <c r="G7" s="42"/>
      <c r="H7" s="51"/>
      <c r="I7" s="321"/>
      <c r="J7" s="1"/>
      <c r="K7" s="1"/>
      <c r="L7" s="1"/>
      <c r="M7" s="1"/>
      <c r="N7" s="1"/>
      <c r="O7" s="1"/>
      <c r="P7" s="1"/>
      <c r="Q7" s="1"/>
      <c r="R7" s="1"/>
      <c r="S7" s="1"/>
      <c r="T7" s="1"/>
      <c r="U7" s="1"/>
      <c r="V7" s="1"/>
      <c r="W7" s="1"/>
      <c r="X7" s="1"/>
      <c r="Y7" s="1"/>
      <c r="Z7" s="1"/>
      <c r="AA7" s="1"/>
      <c r="AB7" s="1"/>
      <c r="AC7" s="1"/>
      <c r="AD7" s="1"/>
    </row>
    <row r="8" spans="1:30" ht="21.9" customHeight="1">
      <c r="A8" s="328"/>
      <c r="B8" s="330"/>
      <c r="C8" s="330"/>
      <c r="D8" s="331"/>
      <c r="E8" s="328"/>
      <c r="F8" s="42"/>
      <c r="G8" s="42"/>
      <c r="H8" s="51"/>
      <c r="I8" s="321"/>
      <c r="J8" s="1"/>
      <c r="K8" s="1"/>
      <c r="L8" s="1"/>
      <c r="M8" s="1"/>
      <c r="N8" s="1"/>
      <c r="O8" s="1"/>
      <c r="P8" s="1"/>
      <c r="Q8" s="1"/>
      <c r="R8" s="1"/>
      <c r="S8" s="1"/>
      <c r="T8" s="1"/>
      <c r="U8" s="1"/>
      <c r="V8" s="1"/>
      <c r="W8" s="1"/>
      <c r="X8" s="1"/>
      <c r="Y8" s="1"/>
      <c r="Z8" s="1"/>
      <c r="AA8" s="1"/>
      <c r="AB8" s="1"/>
      <c r="AC8" s="1"/>
      <c r="AD8" s="1"/>
    </row>
    <row r="9" spans="1:30" ht="21.9" customHeight="1">
      <c r="A9" s="328"/>
      <c r="B9" s="332"/>
      <c r="C9" s="330"/>
      <c r="D9" s="331"/>
      <c r="E9" s="328"/>
      <c r="F9" s="42"/>
      <c r="G9" s="42"/>
      <c r="H9" s="51"/>
      <c r="I9" s="321"/>
      <c r="J9" s="1"/>
      <c r="K9" s="1"/>
      <c r="L9" s="1"/>
      <c r="M9" s="1"/>
      <c r="N9" s="1"/>
      <c r="O9" s="1"/>
      <c r="P9" s="1"/>
      <c r="Q9" s="1"/>
      <c r="R9" s="1"/>
      <c r="S9" s="1"/>
      <c r="T9" s="1"/>
      <c r="U9" s="1"/>
      <c r="V9" s="1"/>
      <c r="W9" s="1"/>
      <c r="X9" s="1"/>
      <c r="Y9" s="1"/>
      <c r="Z9" s="1"/>
      <c r="AA9" s="1"/>
      <c r="AB9" s="1"/>
      <c r="AC9" s="1"/>
      <c r="AD9" s="1"/>
    </row>
    <row r="10" spans="1:30" ht="21.9" customHeight="1">
      <c r="A10" s="328"/>
      <c r="B10" s="332"/>
      <c r="C10" s="330"/>
      <c r="D10" s="331"/>
      <c r="E10" s="328"/>
      <c r="F10" s="42"/>
      <c r="G10" s="42"/>
      <c r="H10" s="51"/>
      <c r="I10" s="321"/>
      <c r="J10" s="1"/>
      <c r="K10" s="1"/>
      <c r="L10" s="1"/>
      <c r="M10" s="1"/>
      <c r="N10" s="1"/>
      <c r="O10" s="1"/>
      <c r="P10" s="1"/>
      <c r="Q10" s="1"/>
      <c r="R10" s="1"/>
      <c r="S10" s="1"/>
      <c r="T10" s="1"/>
      <c r="U10" s="1"/>
      <c r="V10" s="1"/>
      <c r="W10" s="1"/>
      <c r="X10" s="1"/>
      <c r="Y10" s="1"/>
      <c r="Z10" s="1"/>
      <c r="AA10" s="1"/>
      <c r="AB10" s="1"/>
      <c r="AC10" s="1"/>
      <c r="AD10" s="1"/>
    </row>
    <row r="11" spans="1:30" ht="21.9" customHeight="1">
      <c r="A11" s="328"/>
      <c r="B11" s="332"/>
      <c r="C11" s="330"/>
      <c r="D11" s="331"/>
      <c r="E11" s="328"/>
      <c r="F11" s="42"/>
      <c r="G11" s="42"/>
      <c r="H11" s="51"/>
      <c r="I11" s="321"/>
      <c r="J11" s="1"/>
      <c r="K11" s="1"/>
      <c r="L11" s="1"/>
      <c r="M11" s="1"/>
      <c r="N11" s="1"/>
      <c r="O11" s="1"/>
      <c r="P11" s="1"/>
      <c r="Q11" s="1"/>
      <c r="R11" s="1"/>
      <c r="S11" s="1"/>
      <c r="T11" s="1"/>
      <c r="U11" s="1"/>
      <c r="V11" s="1"/>
      <c r="W11" s="1"/>
      <c r="X11" s="1"/>
      <c r="Y11" s="1"/>
      <c r="Z11" s="1"/>
      <c r="AA11" s="1"/>
      <c r="AB11" s="1"/>
      <c r="AC11" s="1"/>
      <c r="AD11" s="1"/>
    </row>
    <row r="12" spans="1:30" ht="21.9" customHeight="1">
      <c r="A12" s="328"/>
      <c r="B12" s="332"/>
      <c r="C12" s="330"/>
      <c r="D12" s="331"/>
      <c r="E12" s="328"/>
      <c r="F12" s="42"/>
      <c r="G12" s="42"/>
      <c r="H12" s="51"/>
      <c r="I12" s="321"/>
      <c r="J12" s="1"/>
      <c r="K12" s="1"/>
      <c r="L12" s="1"/>
      <c r="M12" s="1"/>
      <c r="N12" s="1"/>
      <c r="O12" s="1"/>
      <c r="P12" s="1"/>
      <c r="Q12" s="1"/>
      <c r="R12" s="1"/>
      <c r="S12" s="1"/>
      <c r="T12" s="1"/>
      <c r="U12" s="1"/>
      <c r="V12" s="1"/>
      <c r="W12" s="1"/>
      <c r="X12" s="1"/>
      <c r="Y12" s="1"/>
      <c r="Z12" s="1"/>
      <c r="AA12" s="1"/>
      <c r="AB12" s="1"/>
      <c r="AC12" s="1"/>
      <c r="AD12" s="1"/>
    </row>
    <row r="13" spans="1:30" ht="21.9" customHeight="1">
      <c r="A13" s="328"/>
      <c r="B13" s="332"/>
      <c r="C13" s="330"/>
      <c r="D13" s="331"/>
      <c r="E13" s="328"/>
      <c r="F13" s="42"/>
      <c r="G13" s="342"/>
      <c r="H13" s="51"/>
      <c r="I13" s="321"/>
      <c r="J13" s="1"/>
      <c r="K13" s="1"/>
      <c r="L13" s="1"/>
      <c r="M13" s="1"/>
      <c r="N13" s="1"/>
      <c r="O13" s="1"/>
      <c r="P13" s="1"/>
      <c r="Q13" s="1"/>
      <c r="R13" s="1"/>
      <c r="S13" s="1"/>
      <c r="T13" s="1"/>
      <c r="U13" s="1"/>
      <c r="V13" s="1"/>
      <c r="W13" s="1"/>
      <c r="X13" s="1"/>
      <c r="Y13" s="1"/>
      <c r="Z13" s="1"/>
      <c r="AA13" s="1"/>
      <c r="AB13" s="1"/>
      <c r="AC13" s="1"/>
      <c r="AD13" s="1"/>
    </row>
    <row r="14" spans="1:30" ht="21.9" customHeight="1">
      <c r="A14" s="328"/>
      <c r="B14" s="332"/>
      <c r="C14" s="330"/>
      <c r="D14" s="331"/>
      <c r="E14" s="328"/>
      <c r="F14" s="42"/>
      <c r="G14" s="42"/>
      <c r="H14" s="51"/>
      <c r="I14" s="321"/>
      <c r="J14" s="1"/>
      <c r="K14" s="1"/>
      <c r="L14" s="1"/>
      <c r="M14" s="1"/>
      <c r="N14" s="1"/>
      <c r="O14" s="1"/>
      <c r="P14" s="1"/>
      <c r="Q14" s="1"/>
      <c r="R14" s="1"/>
      <c r="S14" s="1"/>
      <c r="T14" s="1"/>
      <c r="U14" s="1"/>
      <c r="V14" s="1"/>
      <c r="W14" s="1"/>
      <c r="X14" s="1"/>
      <c r="Y14" s="1"/>
      <c r="Z14" s="1"/>
      <c r="AA14" s="1"/>
      <c r="AB14" s="1"/>
      <c r="AC14" s="1"/>
      <c r="AD14" s="1"/>
    </row>
    <row r="15" spans="1:30" ht="21.9" customHeight="1">
      <c r="A15" s="328"/>
      <c r="B15" s="301"/>
      <c r="C15" s="330"/>
      <c r="D15" s="331"/>
      <c r="E15" s="328"/>
      <c r="F15" s="42"/>
      <c r="G15" s="42"/>
      <c r="H15" s="51"/>
      <c r="I15" s="321"/>
      <c r="J15" s="1"/>
      <c r="K15" s="1"/>
      <c r="L15" s="1"/>
      <c r="M15" s="1"/>
      <c r="N15" s="1"/>
      <c r="O15" s="1"/>
      <c r="P15" s="1"/>
      <c r="Q15" s="1"/>
      <c r="R15" s="1"/>
      <c r="S15" s="1"/>
      <c r="T15" s="1"/>
      <c r="U15" s="1"/>
      <c r="V15" s="1"/>
      <c r="W15" s="1"/>
      <c r="X15" s="1"/>
      <c r="Y15" s="1"/>
      <c r="Z15" s="1"/>
      <c r="AA15" s="1"/>
      <c r="AB15" s="1"/>
      <c r="AC15" s="1"/>
      <c r="AD15" s="1"/>
    </row>
    <row r="16" spans="1:30" ht="21.9" customHeight="1">
      <c r="A16" s="328"/>
      <c r="B16" s="321"/>
      <c r="C16" s="330"/>
      <c r="D16" s="331"/>
      <c r="E16" s="328"/>
      <c r="F16" s="42"/>
      <c r="G16" s="42"/>
      <c r="H16" s="51"/>
      <c r="I16" s="321"/>
      <c r="J16" s="1"/>
      <c r="K16" s="1"/>
      <c r="L16" s="1"/>
      <c r="M16" s="1"/>
      <c r="N16" s="1"/>
      <c r="O16" s="1"/>
      <c r="P16" s="1"/>
      <c r="Q16" s="1"/>
      <c r="R16" s="1"/>
      <c r="S16" s="1"/>
      <c r="T16" s="1"/>
      <c r="U16" s="1"/>
      <c r="V16" s="1"/>
      <c r="W16" s="1"/>
      <c r="X16" s="1"/>
      <c r="Y16" s="1"/>
      <c r="Z16" s="1"/>
      <c r="AA16" s="1"/>
      <c r="AB16" s="1"/>
      <c r="AC16" s="1"/>
      <c r="AD16" s="1"/>
    </row>
    <row r="17" spans="1:30" ht="21.9" customHeight="1">
      <c r="A17" s="328"/>
      <c r="B17" s="2"/>
      <c r="C17" s="330"/>
      <c r="D17" s="331"/>
      <c r="E17" s="328"/>
      <c r="F17" s="42"/>
      <c r="G17" s="42"/>
      <c r="H17" s="51"/>
      <c r="I17" s="321"/>
      <c r="J17" s="1"/>
      <c r="K17" s="1"/>
      <c r="L17" s="1"/>
      <c r="M17" s="1"/>
      <c r="N17" s="1"/>
      <c r="O17" s="1"/>
      <c r="P17" s="1"/>
      <c r="Q17" s="1"/>
      <c r="R17" s="1"/>
      <c r="S17" s="1"/>
      <c r="T17" s="1"/>
      <c r="U17" s="1"/>
      <c r="V17" s="1"/>
      <c r="W17" s="1"/>
      <c r="X17" s="1"/>
      <c r="Y17" s="1"/>
      <c r="Z17" s="1"/>
      <c r="AA17" s="1"/>
      <c r="AB17" s="1"/>
      <c r="AC17" s="1"/>
      <c r="AD17" s="1"/>
    </row>
    <row r="18" spans="1:30" ht="21.9" customHeight="1">
      <c r="A18" s="328"/>
      <c r="B18" s="2"/>
      <c r="C18" s="333"/>
      <c r="D18" s="331"/>
      <c r="E18" s="328"/>
      <c r="F18" s="42"/>
      <c r="G18" s="42"/>
      <c r="H18" s="51"/>
      <c r="I18" s="321"/>
      <c r="J18" s="1"/>
      <c r="K18" s="1"/>
      <c r="L18" s="1"/>
      <c r="M18" s="1"/>
      <c r="N18" s="1"/>
      <c r="O18" s="1"/>
      <c r="P18" s="1"/>
      <c r="Q18" s="1"/>
      <c r="R18" s="1"/>
      <c r="S18" s="1"/>
      <c r="T18" s="1"/>
      <c r="U18" s="1"/>
      <c r="V18" s="1"/>
      <c r="W18" s="1"/>
      <c r="X18" s="1"/>
      <c r="Y18" s="1"/>
      <c r="Z18" s="1"/>
      <c r="AA18" s="1"/>
      <c r="AB18" s="1"/>
      <c r="AC18" s="1"/>
      <c r="AD18" s="1"/>
    </row>
    <row r="19" spans="1:30" ht="21.9" customHeight="1">
      <c r="A19" s="328"/>
      <c r="B19" s="321"/>
      <c r="C19" s="324"/>
      <c r="D19" s="331"/>
      <c r="E19" s="328"/>
      <c r="F19" s="42"/>
      <c r="G19" s="42"/>
      <c r="H19" s="51"/>
      <c r="I19" s="321"/>
      <c r="J19" s="1"/>
      <c r="K19" s="1"/>
      <c r="L19" s="1"/>
      <c r="M19" s="1"/>
      <c r="N19" s="1"/>
      <c r="O19" s="1"/>
      <c r="P19" s="1"/>
      <c r="Q19" s="1"/>
      <c r="R19" s="1"/>
      <c r="S19" s="1"/>
      <c r="T19" s="1"/>
      <c r="U19" s="1"/>
      <c r="V19" s="1"/>
      <c r="W19" s="1"/>
      <c r="X19" s="1"/>
      <c r="Y19" s="1"/>
      <c r="Z19" s="1"/>
      <c r="AA19" s="1"/>
      <c r="AB19" s="1"/>
      <c r="AC19" s="1"/>
      <c r="AD19" s="1"/>
    </row>
    <row r="20" spans="1:30" ht="21.9" customHeight="1">
      <c r="A20" s="328"/>
      <c r="B20" s="300" t="s">
        <v>17</v>
      </c>
      <c r="C20" s="330"/>
      <c r="D20" s="331"/>
      <c r="E20" s="328"/>
      <c r="F20" s="42"/>
      <c r="G20" s="42">
        <f>SUM(G3:G19)</f>
        <v>5401173</v>
      </c>
      <c r="H20" s="51"/>
      <c r="I20" s="321"/>
      <c r="J20" s="1"/>
      <c r="K20" s="1"/>
      <c r="L20" s="1"/>
      <c r="M20" s="1"/>
      <c r="N20" s="1"/>
      <c r="O20" s="1"/>
      <c r="P20" s="1"/>
      <c r="Q20" s="1"/>
      <c r="R20" s="1"/>
      <c r="S20" s="1"/>
      <c r="T20" s="1"/>
      <c r="U20" s="1"/>
      <c r="V20" s="1"/>
      <c r="W20" s="1"/>
      <c r="X20" s="1"/>
      <c r="Y20" s="1"/>
      <c r="Z20" s="1"/>
      <c r="AA20" s="1"/>
      <c r="AB20" s="1"/>
      <c r="AC20" s="1"/>
      <c r="AD20" s="1"/>
    </row>
    <row r="21" spans="1:30" ht="21.9" customHeight="1">
      <c r="A21" s="328"/>
      <c r="B21" s="300"/>
      <c r="C21" s="330"/>
      <c r="D21" s="331"/>
      <c r="E21" s="328"/>
      <c r="F21" s="42"/>
      <c r="G21" s="42"/>
      <c r="H21" s="51"/>
      <c r="I21" s="321"/>
      <c r="J21" s="1"/>
      <c r="K21" s="1"/>
      <c r="L21" s="1"/>
      <c r="M21" s="1"/>
      <c r="N21" s="1"/>
      <c r="O21" s="1"/>
      <c r="P21" s="1"/>
      <c r="Q21" s="1"/>
      <c r="R21" s="1"/>
      <c r="S21" s="1"/>
      <c r="T21" s="1"/>
      <c r="U21" s="1"/>
      <c r="V21" s="1"/>
      <c r="W21" s="1"/>
      <c r="X21" s="1"/>
      <c r="Y21" s="1"/>
      <c r="Z21" s="1"/>
      <c r="AA21" s="1"/>
      <c r="AB21" s="1"/>
      <c r="AC21" s="1"/>
      <c r="AD21" s="1"/>
    </row>
    <row r="22" spans="1:30" ht="21.9" customHeight="1">
      <c r="A22" s="328"/>
      <c r="B22" s="376"/>
      <c r="C22" s="330"/>
      <c r="D22" s="331"/>
      <c r="E22" s="328"/>
      <c r="F22" s="42"/>
      <c r="G22" s="41"/>
      <c r="H22" s="377"/>
      <c r="I22" s="321"/>
      <c r="J22" s="1"/>
      <c r="K22" s="1"/>
      <c r="L22" s="1"/>
      <c r="M22" s="1"/>
      <c r="N22" s="1"/>
      <c r="O22" s="1"/>
      <c r="P22" s="1"/>
      <c r="Q22" s="1"/>
      <c r="R22" s="1"/>
      <c r="S22" s="1"/>
      <c r="T22" s="1"/>
      <c r="U22" s="1"/>
      <c r="V22" s="1"/>
      <c r="W22" s="1"/>
      <c r="X22" s="1"/>
      <c r="Y22" s="1"/>
      <c r="Z22" s="1"/>
      <c r="AA22" s="1"/>
      <c r="AB22" s="1"/>
      <c r="AC22" s="1"/>
      <c r="AD22" s="1"/>
    </row>
    <row r="23" spans="1:30" ht="21.9" customHeight="1">
      <c r="A23" s="328"/>
      <c r="B23" s="332"/>
      <c r="C23" s="330"/>
      <c r="D23" s="331"/>
      <c r="E23" s="328"/>
      <c r="F23" s="42"/>
      <c r="G23" s="42"/>
      <c r="H23" s="51"/>
      <c r="I23" s="321"/>
      <c r="J23" s="1"/>
      <c r="K23" s="1"/>
      <c r="L23" s="1"/>
      <c r="M23" s="1"/>
      <c r="N23" s="1"/>
      <c r="O23" s="1"/>
      <c r="P23" s="1"/>
      <c r="Q23" s="1"/>
      <c r="R23" s="1"/>
      <c r="S23" s="1"/>
      <c r="T23" s="1"/>
      <c r="U23" s="1"/>
      <c r="V23" s="1"/>
      <c r="W23" s="1"/>
      <c r="X23" s="1"/>
      <c r="Y23" s="1"/>
      <c r="Z23" s="1"/>
      <c r="AA23" s="1"/>
      <c r="AB23" s="1"/>
      <c r="AC23" s="1"/>
      <c r="AD23" s="1"/>
    </row>
    <row r="24" spans="1:30" ht="21.9" customHeight="1">
      <c r="A24" s="378"/>
      <c r="B24" s="379"/>
      <c r="C24" s="379"/>
      <c r="D24" s="380" t="s">
        <v>23</v>
      </c>
      <c r="E24" s="379"/>
      <c r="F24" s="379"/>
      <c r="G24" s="379"/>
      <c r="H24" s="334">
        <v>14</v>
      </c>
      <c r="I24" s="321"/>
      <c r="J24" s="1"/>
      <c r="K24" s="1"/>
      <c r="L24" s="1"/>
      <c r="M24" s="1"/>
      <c r="N24" s="1"/>
      <c r="O24" s="1"/>
      <c r="P24" s="1"/>
      <c r="Q24" s="1"/>
      <c r="R24" s="1"/>
      <c r="S24" s="1"/>
      <c r="T24" s="1"/>
      <c r="U24" s="1"/>
      <c r="V24" s="1"/>
      <c r="W24" s="1"/>
      <c r="X24" s="1"/>
      <c r="Y24" s="1"/>
      <c r="Z24" s="1"/>
      <c r="AA24" s="1"/>
      <c r="AB24" s="1"/>
      <c r="AC24" s="1"/>
      <c r="AD24" s="1"/>
    </row>
  </sheetData>
  <phoneticPr fontId="48"/>
  <printOptions horizontalCentered="1" verticalCentered="1"/>
  <pageMargins left="0.31496062992125984" right="0.31496062992125984" top="0.59055118110236227" bottom="0.59055118110236227" header="0.51181102362204722" footer="0.51181102362204722"/>
  <pageSetup paperSize="9" orientation="landscape" horizontalDpi="4294967294"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6095F-D0C3-4FB8-9F2F-63CD54ED4D90}">
  <sheetPr>
    <tabColor theme="9"/>
  </sheetPr>
  <dimension ref="A1:T74"/>
  <sheetViews>
    <sheetView showZeros="0" tabSelected="1" view="pageBreakPreview" zoomScale="120" zoomScaleNormal="100" zoomScaleSheetLayoutView="120" workbookViewId="0">
      <selection activeCell="H62" sqref="H62:H63"/>
    </sheetView>
  </sheetViews>
  <sheetFormatPr defaultColWidth="9" defaultRowHeight="13.2"/>
  <cols>
    <col min="1" max="1" width="5.88671875" style="15" customWidth="1"/>
    <col min="2" max="2" width="28.6640625" style="15" customWidth="1"/>
    <col min="3" max="3" width="25.88671875" style="15" customWidth="1"/>
    <col min="4" max="4" width="9.6640625" style="16" customWidth="1"/>
    <col min="5" max="5" width="5.6640625" style="17" customWidth="1"/>
    <col min="6" max="6" width="11.6640625" style="15" customWidth="1"/>
    <col min="7" max="7" width="15.88671875" style="15" customWidth="1"/>
    <col min="8" max="8" width="26.88671875" style="15" customWidth="1"/>
    <col min="9" max="16384" width="9" style="15"/>
  </cols>
  <sheetData>
    <row r="1" spans="1:20" ht="21.9" customHeight="1">
      <c r="A1" s="287"/>
      <c r="B1" s="288"/>
      <c r="C1" s="12"/>
      <c r="D1" s="289"/>
      <c r="E1" s="287"/>
      <c r="F1" s="290"/>
      <c r="G1" s="52"/>
      <c r="H1" s="290"/>
      <c r="I1" s="292"/>
      <c r="J1" s="292"/>
      <c r="K1" s="292"/>
      <c r="L1" s="292"/>
      <c r="M1" s="292"/>
      <c r="N1" s="292"/>
      <c r="O1" s="292"/>
      <c r="P1" s="292"/>
      <c r="Q1" s="292"/>
      <c r="R1" s="292"/>
      <c r="S1" s="292"/>
      <c r="T1" s="292"/>
    </row>
    <row r="2" spans="1:20" ht="21.9" customHeight="1">
      <c r="A2" s="293"/>
      <c r="B2" s="294" t="s">
        <v>0</v>
      </c>
      <c r="C2" s="53" t="s">
        <v>1</v>
      </c>
      <c r="D2" s="296" t="s">
        <v>5</v>
      </c>
      <c r="E2" s="297" t="s">
        <v>6</v>
      </c>
      <c r="F2" s="298" t="s">
        <v>20</v>
      </c>
      <c r="G2" s="54" t="s">
        <v>21</v>
      </c>
      <c r="H2" s="298" t="s">
        <v>3</v>
      </c>
      <c r="I2" s="292"/>
      <c r="J2" s="292"/>
      <c r="K2" s="292"/>
      <c r="L2" s="292"/>
      <c r="M2" s="292"/>
      <c r="N2" s="292"/>
      <c r="O2" s="292"/>
      <c r="P2" s="292"/>
      <c r="Q2" s="292"/>
      <c r="R2" s="292"/>
      <c r="S2" s="292"/>
      <c r="T2" s="292"/>
    </row>
    <row r="3" spans="1:20" ht="21.9" customHeight="1">
      <c r="A3" s="293"/>
      <c r="B3" s="294" t="s">
        <v>33</v>
      </c>
      <c r="C3" s="34"/>
      <c r="D3" s="335"/>
      <c r="E3" s="336"/>
      <c r="F3" s="337"/>
      <c r="G3" s="35"/>
      <c r="H3" s="337"/>
      <c r="I3" s="292"/>
      <c r="J3" s="292"/>
      <c r="K3" s="292"/>
      <c r="L3" s="292"/>
      <c r="M3" s="292"/>
      <c r="N3" s="292"/>
      <c r="O3" s="292"/>
      <c r="P3" s="292"/>
      <c r="Q3" s="292"/>
      <c r="R3" s="292"/>
      <c r="S3" s="292"/>
      <c r="T3" s="292"/>
    </row>
    <row r="4" spans="1:20" ht="21.9" customHeight="1">
      <c r="A4" s="300"/>
      <c r="B4" s="381" t="s">
        <v>322</v>
      </c>
      <c r="C4" s="53"/>
      <c r="D4" s="296"/>
      <c r="E4" s="297"/>
      <c r="F4" s="298"/>
      <c r="G4" s="54"/>
      <c r="H4" s="298"/>
      <c r="I4" s="292"/>
      <c r="J4" s="292"/>
      <c r="K4" s="292"/>
      <c r="L4" s="292"/>
      <c r="M4" s="292"/>
      <c r="N4" s="292"/>
      <c r="O4" s="292"/>
      <c r="P4" s="292"/>
      <c r="Q4" s="292"/>
      <c r="R4" s="292"/>
      <c r="S4" s="292"/>
      <c r="T4" s="292"/>
    </row>
    <row r="5" spans="1:20" ht="21.9" customHeight="1">
      <c r="A5" s="300"/>
      <c r="B5" s="662" t="s">
        <v>928</v>
      </c>
      <c r="C5" s="663" t="s">
        <v>929</v>
      </c>
      <c r="D5" s="38">
        <v>26</v>
      </c>
      <c r="E5" s="664" t="s">
        <v>330</v>
      </c>
      <c r="F5" s="40">
        <v>4840</v>
      </c>
      <c r="G5" s="42">
        <f t="shared" ref="G5:G24" si="0">D5*F5</f>
        <v>125840</v>
      </c>
      <c r="H5" s="665" t="s">
        <v>905</v>
      </c>
      <c r="I5" s="292"/>
      <c r="J5" s="292"/>
      <c r="K5" s="292"/>
      <c r="L5" s="292"/>
      <c r="M5" s="292"/>
      <c r="N5" s="292"/>
      <c r="O5" s="292"/>
      <c r="P5" s="292"/>
      <c r="Q5" s="292"/>
      <c r="R5" s="292"/>
      <c r="S5" s="292"/>
      <c r="T5" s="292"/>
    </row>
    <row r="6" spans="1:20" ht="21.9" customHeight="1">
      <c r="A6" s="300"/>
      <c r="B6" s="662" t="s">
        <v>928</v>
      </c>
      <c r="C6" s="663" t="s">
        <v>930</v>
      </c>
      <c r="D6" s="38">
        <v>8</v>
      </c>
      <c r="E6" s="664" t="s">
        <v>330</v>
      </c>
      <c r="F6" s="40">
        <v>6320</v>
      </c>
      <c r="G6" s="42">
        <f t="shared" si="0"/>
        <v>50560</v>
      </c>
      <c r="H6" s="665" t="s">
        <v>905</v>
      </c>
      <c r="I6" s="292"/>
      <c r="J6" s="292"/>
      <c r="K6" s="292"/>
      <c r="L6" s="292"/>
      <c r="M6" s="292"/>
      <c r="N6" s="292"/>
      <c r="O6" s="292"/>
      <c r="P6" s="292"/>
      <c r="Q6" s="292"/>
      <c r="R6" s="292"/>
      <c r="S6" s="292"/>
      <c r="T6" s="292"/>
    </row>
    <row r="7" spans="1:20" ht="21.9" customHeight="1">
      <c r="A7" s="300"/>
      <c r="B7" s="662" t="s">
        <v>928</v>
      </c>
      <c r="C7" s="663" t="s">
        <v>931</v>
      </c>
      <c r="D7" s="38">
        <v>15</v>
      </c>
      <c r="E7" s="664" t="s">
        <v>330</v>
      </c>
      <c r="F7" s="40">
        <v>10100</v>
      </c>
      <c r="G7" s="42">
        <f t="shared" si="0"/>
        <v>151500</v>
      </c>
      <c r="H7" s="665" t="s">
        <v>905</v>
      </c>
      <c r="I7" s="292"/>
      <c r="J7" s="292"/>
      <c r="K7" s="292"/>
      <c r="L7" s="292"/>
      <c r="M7" s="292"/>
      <c r="N7" s="292"/>
      <c r="O7" s="292"/>
      <c r="P7" s="292"/>
      <c r="Q7" s="292"/>
      <c r="R7" s="292"/>
      <c r="S7" s="292"/>
      <c r="T7" s="308"/>
    </row>
    <row r="8" spans="1:20" ht="21.9" customHeight="1">
      <c r="A8" s="326"/>
      <c r="B8" s="662" t="s">
        <v>928</v>
      </c>
      <c r="C8" s="663" t="s">
        <v>932</v>
      </c>
      <c r="D8" s="38">
        <v>43</v>
      </c>
      <c r="E8" s="664" t="s">
        <v>330</v>
      </c>
      <c r="F8" s="40">
        <v>13800</v>
      </c>
      <c r="G8" s="42">
        <f t="shared" si="0"/>
        <v>593400</v>
      </c>
      <c r="H8" s="665" t="s">
        <v>905</v>
      </c>
      <c r="I8" s="292"/>
      <c r="J8" s="292"/>
      <c r="K8" s="292"/>
      <c r="L8" s="292"/>
      <c r="M8" s="292"/>
      <c r="N8" s="292"/>
      <c r="O8" s="292"/>
      <c r="P8" s="292"/>
      <c r="Q8" s="292"/>
      <c r="R8" s="292"/>
      <c r="S8" s="292"/>
      <c r="T8" s="292"/>
    </row>
    <row r="9" spans="1:20" ht="21.9" customHeight="1">
      <c r="A9" s="339"/>
      <c r="B9" s="662" t="s">
        <v>928</v>
      </c>
      <c r="C9" s="663" t="s">
        <v>933</v>
      </c>
      <c r="D9" s="38">
        <v>65</v>
      </c>
      <c r="E9" s="664" t="s">
        <v>330</v>
      </c>
      <c r="F9" s="40">
        <v>2910</v>
      </c>
      <c r="G9" s="42">
        <f t="shared" si="0"/>
        <v>189150</v>
      </c>
      <c r="H9" s="665" t="s">
        <v>905</v>
      </c>
      <c r="I9" s="292"/>
      <c r="J9" s="292"/>
      <c r="K9" s="292"/>
      <c r="L9" s="292"/>
      <c r="M9" s="292"/>
      <c r="N9" s="292"/>
      <c r="O9" s="292"/>
      <c r="P9" s="292"/>
      <c r="Q9" s="292"/>
      <c r="R9" s="292"/>
      <c r="S9" s="292"/>
      <c r="T9" s="292"/>
    </row>
    <row r="10" spans="1:20" ht="21.9" customHeight="1">
      <c r="A10" s="302"/>
      <c r="B10" s="662" t="s">
        <v>928</v>
      </c>
      <c r="C10" s="663" t="s">
        <v>934</v>
      </c>
      <c r="D10" s="38">
        <v>25</v>
      </c>
      <c r="E10" s="664" t="s">
        <v>330</v>
      </c>
      <c r="F10" s="40">
        <v>3770</v>
      </c>
      <c r="G10" s="42">
        <f t="shared" si="0"/>
        <v>94250</v>
      </c>
      <c r="H10" s="665" t="s">
        <v>905</v>
      </c>
      <c r="I10" s="292"/>
      <c r="J10" s="292"/>
      <c r="K10" s="292"/>
      <c r="L10" s="292"/>
      <c r="M10" s="292"/>
      <c r="N10" s="292"/>
      <c r="O10" s="292"/>
      <c r="P10" s="292"/>
      <c r="Q10" s="292"/>
      <c r="R10" s="292"/>
      <c r="S10" s="292"/>
      <c r="T10" s="292"/>
    </row>
    <row r="11" spans="1:20" ht="21.9" customHeight="1">
      <c r="A11" s="302"/>
      <c r="B11" s="662" t="s">
        <v>928</v>
      </c>
      <c r="C11" s="663" t="s">
        <v>935</v>
      </c>
      <c r="D11" s="38">
        <v>19</v>
      </c>
      <c r="E11" s="664" t="s">
        <v>330</v>
      </c>
      <c r="F11" s="40">
        <v>4570</v>
      </c>
      <c r="G11" s="42">
        <f t="shared" si="0"/>
        <v>86830</v>
      </c>
      <c r="H11" s="665" t="s">
        <v>905</v>
      </c>
      <c r="I11" s="292"/>
      <c r="J11" s="292"/>
      <c r="K11" s="292"/>
      <c r="L11" s="292"/>
      <c r="M11" s="292"/>
      <c r="N11" s="292"/>
      <c r="O11" s="292"/>
      <c r="P11" s="292"/>
      <c r="Q11" s="292"/>
      <c r="R11" s="292"/>
      <c r="S11" s="292"/>
      <c r="T11" s="292"/>
    </row>
    <row r="12" spans="1:20" ht="21.9" customHeight="1">
      <c r="A12" s="302"/>
      <c r="B12" s="662" t="s">
        <v>928</v>
      </c>
      <c r="C12" s="663" t="s">
        <v>936</v>
      </c>
      <c r="D12" s="38">
        <v>31</v>
      </c>
      <c r="E12" s="664" t="s">
        <v>330</v>
      </c>
      <c r="F12" s="40">
        <v>6250</v>
      </c>
      <c r="G12" s="42">
        <f t="shared" si="0"/>
        <v>193750</v>
      </c>
      <c r="H12" s="665" t="s">
        <v>905</v>
      </c>
      <c r="I12" s="292"/>
      <c r="J12" s="292"/>
      <c r="K12" s="292"/>
      <c r="L12" s="292"/>
      <c r="M12" s="292"/>
      <c r="N12" s="292"/>
      <c r="O12" s="292"/>
      <c r="P12" s="292"/>
      <c r="Q12" s="292"/>
      <c r="R12" s="292"/>
      <c r="S12" s="292"/>
      <c r="T12" s="292"/>
    </row>
    <row r="13" spans="1:20" ht="21.9" customHeight="1">
      <c r="A13" s="302"/>
      <c r="B13" s="662" t="s">
        <v>928</v>
      </c>
      <c r="C13" s="663" t="s">
        <v>937</v>
      </c>
      <c r="D13" s="38">
        <v>25</v>
      </c>
      <c r="E13" s="664" t="s">
        <v>330</v>
      </c>
      <c r="F13" s="40">
        <v>4320</v>
      </c>
      <c r="G13" s="42">
        <f t="shared" si="0"/>
        <v>108000</v>
      </c>
      <c r="H13" s="665" t="s">
        <v>938</v>
      </c>
      <c r="I13" s="292"/>
      <c r="J13" s="292"/>
      <c r="K13" s="292"/>
      <c r="L13" s="292"/>
      <c r="M13" s="292"/>
      <c r="N13" s="292"/>
      <c r="O13" s="292"/>
      <c r="P13" s="292"/>
      <c r="Q13" s="292"/>
      <c r="R13" s="292"/>
      <c r="S13" s="292"/>
      <c r="T13" s="292"/>
    </row>
    <row r="14" spans="1:20" ht="21.9" customHeight="1">
      <c r="A14" s="302"/>
      <c r="B14" s="662" t="s">
        <v>928</v>
      </c>
      <c r="C14" s="663" t="s">
        <v>939</v>
      </c>
      <c r="D14" s="38">
        <v>4</v>
      </c>
      <c r="E14" s="664" t="s">
        <v>330</v>
      </c>
      <c r="F14" s="40">
        <v>9140</v>
      </c>
      <c r="G14" s="42">
        <f t="shared" si="0"/>
        <v>36560</v>
      </c>
      <c r="H14" s="665" t="s">
        <v>940</v>
      </c>
      <c r="I14" s="292"/>
      <c r="J14" s="292"/>
      <c r="K14" s="292"/>
      <c r="L14" s="292"/>
      <c r="M14" s="292"/>
      <c r="N14" s="292"/>
      <c r="O14" s="292"/>
      <c r="P14" s="292"/>
      <c r="Q14" s="292"/>
      <c r="R14" s="292"/>
      <c r="S14" s="292"/>
      <c r="T14" s="292"/>
    </row>
    <row r="15" spans="1:20" ht="21.9" customHeight="1">
      <c r="A15" s="302"/>
      <c r="B15" s="662" t="s">
        <v>928</v>
      </c>
      <c r="C15" s="663" t="s">
        <v>941</v>
      </c>
      <c r="D15" s="38">
        <v>6</v>
      </c>
      <c r="E15" s="664" t="s">
        <v>330</v>
      </c>
      <c r="F15" s="40">
        <v>2390</v>
      </c>
      <c r="G15" s="42">
        <f t="shared" si="0"/>
        <v>14340</v>
      </c>
      <c r="H15" s="665" t="s">
        <v>905</v>
      </c>
      <c r="I15" s="292"/>
      <c r="J15" s="292"/>
      <c r="K15" s="292"/>
      <c r="L15" s="292"/>
      <c r="M15" s="292"/>
      <c r="N15" s="292"/>
      <c r="O15" s="292"/>
      <c r="P15" s="292"/>
      <c r="Q15" s="292"/>
      <c r="R15" s="292"/>
      <c r="S15" s="292"/>
      <c r="T15" s="292"/>
    </row>
    <row r="16" spans="1:20" ht="21.9" customHeight="1">
      <c r="A16" s="302"/>
      <c r="B16" s="662" t="s">
        <v>324</v>
      </c>
      <c r="C16" s="663" t="s">
        <v>942</v>
      </c>
      <c r="D16" s="38">
        <v>17</v>
      </c>
      <c r="E16" s="664" t="s">
        <v>335</v>
      </c>
      <c r="F16" s="40">
        <v>2260</v>
      </c>
      <c r="G16" s="42">
        <f t="shared" si="0"/>
        <v>38420</v>
      </c>
      <c r="H16" s="665" t="s">
        <v>905</v>
      </c>
      <c r="I16" s="292"/>
      <c r="J16" s="292"/>
      <c r="K16" s="292"/>
      <c r="L16" s="292"/>
      <c r="M16" s="292"/>
      <c r="N16" s="292"/>
      <c r="O16" s="292"/>
      <c r="P16" s="292"/>
      <c r="Q16" s="292"/>
      <c r="R16" s="292"/>
      <c r="S16" s="292"/>
      <c r="T16" s="292"/>
    </row>
    <row r="17" spans="1:20" ht="21.9" customHeight="1">
      <c r="A17" s="302"/>
      <c r="B17" s="662" t="s">
        <v>324</v>
      </c>
      <c r="C17" s="663" t="s">
        <v>943</v>
      </c>
      <c r="D17" s="38">
        <v>1</v>
      </c>
      <c r="E17" s="664" t="s">
        <v>335</v>
      </c>
      <c r="F17" s="40">
        <v>2890</v>
      </c>
      <c r="G17" s="42">
        <f t="shared" si="0"/>
        <v>2890</v>
      </c>
      <c r="H17" s="665" t="s">
        <v>905</v>
      </c>
      <c r="I17" s="292"/>
      <c r="J17" s="292"/>
      <c r="K17" s="292"/>
      <c r="L17" s="292"/>
      <c r="M17" s="292"/>
      <c r="N17" s="292"/>
      <c r="O17" s="292"/>
      <c r="P17" s="292"/>
      <c r="Q17" s="292"/>
      <c r="R17" s="292"/>
      <c r="S17" s="292"/>
      <c r="T17" s="292"/>
    </row>
    <row r="18" spans="1:20" ht="21.9" customHeight="1">
      <c r="A18" s="302"/>
      <c r="B18" s="662" t="s">
        <v>324</v>
      </c>
      <c r="C18" s="663" t="s">
        <v>325</v>
      </c>
      <c r="D18" s="38">
        <v>7</v>
      </c>
      <c r="E18" s="664" t="s">
        <v>335</v>
      </c>
      <c r="F18" s="40">
        <v>5430</v>
      </c>
      <c r="G18" s="42">
        <f t="shared" si="0"/>
        <v>38010</v>
      </c>
      <c r="H18" s="665" t="s">
        <v>905</v>
      </c>
      <c r="I18" s="292"/>
      <c r="J18" s="292"/>
      <c r="K18" s="292"/>
      <c r="L18" s="292"/>
      <c r="M18" s="292"/>
      <c r="N18" s="292"/>
      <c r="O18" s="292"/>
      <c r="P18" s="292"/>
      <c r="Q18" s="292"/>
      <c r="R18" s="292"/>
      <c r="S18" s="292"/>
      <c r="T18" s="292"/>
    </row>
    <row r="19" spans="1:20" ht="21.9" customHeight="1">
      <c r="A19" s="302"/>
      <c r="B19" s="662" t="s">
        <v>944</v>
      </c>
      <c r="C19" s="663" t="s">
        <v>945</v>
      </c>
      <c r="D19" s="38">
        <v>3</v>
      </c>
      <c r="E19" s="664" t="s">
        <v>326</v>
      </c>
      <c r="F19" s="40">
        <v>5090</v>
      </c>
      <c r="G19" s="42">
        <f t="shared" si="0"/>
        <v>15270</v>
      </c>
      <c r="H19" s="665" t="s">
        <v>946</v>
      </c>
      <c r="I19" s="292"/>
      <c r="J19" s="292"/>
      <c r="K19" s="292"/>
      <c r="L19" s="292"/>
      <c r="M19" s="292"/>
      <c r="N19" s="292"/>
      <c r="O19" s="292"/>
      <c r="P19" s="292"/>
      <c r="Q19" s="292"/>
      <c r="R19" s="292"/>
      <c r="S19" s="292"/>
      <c r="T19" s="292"/>
    </row>
    <row r="20" spans="1:20" ht="21.9" customHeight="1">
      <c r="A20" s="302"/>
      <c r="B20" s="662" t="s">
        <v>944</v>
      </c>
      <c r="C20" s="663" t="s">
        <v>947</v>
      </c>
      <c r="D20" s="38">
        <v>2</v>
      </c>
      <c r="E20" s="664" t="s">
        <v>326</v>
      </c>
      <c r="F20" s="40">
        <v>5220</v>
      </c>
      <c r="G20" s="42">
        <f t="shared" si="0"/>
        <v>10440</v>
      </c>
      <c r="H20" s="665" t="s">
        <v>905</v>
      </c>
      <c r="I20" s="292"/>
      <c r="J20" s="292"/>
      <c r="K20" s="292"/>
      <c r="L20" s="292"/>
      <c r="M20" s="292"/>
      <c r="N20" s="292"/>
      <c r="O20" s="292"/>
      <c r="P20" s="292"/>
      <c r="Q20" s="292"/>
      <c r="R20" s="292"/>
      <c r="S20" s="292"/>
      <c r="T20" s="292"/>
    </row>
    <row r="21" spans="1:20" ht="21.9" customHeight="1">
      <c r="A21" s="302"/>
      <c r="B21" s="662" t="s">
        <v>944</v>
      </c>
      <c r="C21" s="663" t="s">
        <v>948</v>
      </c>
      <c r="D21" s="38">
        <v>1</v>
      </c>
      <c r="E21" s="664" t="s">
        <v>326</v>
      </c>
      <c r="F21" s="40">
        <v>5130</v>
      </c>
      <c r="G21" s="42">
        <f t="shared" si="0"/>
        <v>5130</v>
      </c>
      <c r="H21" s="665" t="s">
        <v>905</v>
      </c>
      <c r="I21" s="292"/>
      <c r="J21" s="292"/>
      <c r="K21" s="292"/>
      <c r="L21" s="292"/>
      <c r="M21" s="292"/>
      <c r="N21" s="292"/>
      <c r="O21" s="292"/>
      <c r="P21" s="292"/>
      <c r="Q21" s="292"/>
      <c r="R21" s="292"/>
      <c r="S21" s="292"/>
      <c r="T21" s="292"/>
    </row>
    <row r="22" spans="1:20" ht="21.9" customHeight="1">
      <c r="A22" s="302"/>
      <c r="B22" s="662" t="s">
        <v>949</v>
      </c>
      <c r="C22" s="663" t="s">
        <v>950</v>
      </c>
      <c r="D22" s="38">
        <v>7</v>
      </c>
      <c r="E22" s="664" t="s">
        <v>326</v>
      </c>
      <c r="F22" s="40">
        <v>11800</v>
      </c>
      <c r="G22" s="42">
        <f t="shared" si="0"/>
        <v>82600</v>
      </c>
      <c r="H22" s="665" t="s">
        <v>905</v>
      </c>
      <c r="I22" s="292"/>
      <c r="J22" s="292"/>
      <c r="K22" s="292"/>
      <c r="L22" s="292"/>
      <c r="M22" s="292"/>
      <c r="N22" s="292"/>
      <c r="O22" s="292"/>
      <c r="P22" s="292"/>
      <c r="Q22" s="292"/>
      <c r="R22" s="292"/>
      <c r="S22" s="292"/>
      <c r="T22" s="292"/>
    </row>
    <row r="23" spans="1:20" ht="21.9" customHeight="1">
      <c r="A23" s="302"/>
      <c r="B23" s="662" t="s">
        <v>949</v>
      </c>
      <c r="C23" s="663" t="s">
        <v>951</v>
      </c>
      <c r="D23" s="38">
        <v>4</v>
      </c>
      <c r="E23" s="664" t="s">
        <v>326</v>
      </c>
      <c r="F23" s="40">
        <v>15900</v>
      </c>
      <c r="G23" s="42">
        <f t="shared" si="0"/>
        <v>63600</v>
      </c>
      <c r="H23" s="665" t="s">
        <v>905</v>
      </c>
      <c r="I23" s="292"/>
      <c r="J23" s="292"/>
      <c r="K23" s="292"/>
      <c r="L23" s="292"/>
      <c r="M23" s="292"/>
      <c r="N23" s="292"/>
      <c r="O23" s="292"/>
      <c r="P23" s="292"/>
      <c r="Q23" s="292"/>
      <c r="R23" s="292"/>
      <c r="S23" s="292"/>
      <c r="T23" s="292"/>
    </row>
    <row r="24" spans="1:20" ht="21.9" customHeight="1">
      <c r="A24" s="302"/>
      <c r="B24" s="662" t="s">
        <v>949</v>
      </c>
      <c r="C24" s="663" t="s">
        <v>952</v>
      </c>
      <c r="D24" s="38">
        <v>6</v>
      </c>
      <c r="E24" s="664" t="s">
        <v>326</v>
      </c>
      <c r="F24" s="40">
        <v>19000</v>
      </c>
      <c r="G24" s="42">
        <f t="shared" si="0"/>
        <v>114000</v>
      </c>
      <c r="H24" s="665" t="s">
        <v>905</v>
      </c>
      <c r="I24" s="292"/>
      <c r="J24" s="292"/>
      <c r="K24" s="292"/>
      <c r="L24" s="292"/>
      <c r="M24" s="292"/>
      <c r="N24" s="292"/>
      <c r="O24" s="292"/>
      <c r="P24" s="292"/>
      <c r="Q24" s="292"/>
      <c r="R24" s="292"/>
      <c r="S24" s="292"/>
      <c r="T24" s="292"/>
    </row>
    <row r="25" spans="1:20" ht="21.9" customHeight="1">
      <c r="A25" s="13"/>
      <c r="B25" s="309"/>
      <c r="C25" s="309"/>
      <c r="D25" s="14" t="s">
        <v>23</v>
      </c>
      <c r="E25" s="309"/>
      <c r="F25" s="309"/>
      <c r="G25" s="309"/>
      <c r="H25" s="310">
        <f>+'Ｂ電気－計'!H24+1</f>
        <v>15</v>
      </c>
      <c r="I25" s="292"/>
      <c r="J25" s="292"/>
      <c r="K25" s="292"/>
      <c r="L25" s="292"/>
      <c r="M25" s="292"/>
      <c r="N25" s="292"/>
      <c r="O25" s="292"/>
      <c r="P25" s="292"/>
      <c r="Q25" s="292"/>
      <c r="R25" s="292"/>
      <c r="S25" s="292"/>
      <c r="T25" s="292"/>
    </row>
    <row r="26" spans="1:20" ht="21.9" customHeight="1">
      <c r="A26" s="287"/>
      <c r="B26" s="288"/>
      <c r="C26" s="12"/>
      <c r="D26" s="289"/>
      <c r="E26" s="287"/>
      <c r="F26" s="290"/>
      <c r="G26" s="52"/>
      <c r="H26" s="290"/>
      <c r="I26" s="292"/>
      <c r="J26" s="292"/>
      <c r="K26" s="292"/>
      <c r="L26" s="292"/>
      <c r="M26" s="292"/>
      <c r="N26" s="292"/>
      <c r="O26" s="292"/>
      <c r="P26" s="292"/>
      <c r="Q26" s="292"/>
      <c r="R26" s="292"/>
      <c r="S26" s="292"/>
      <c r="T26" s="292"/>
    </row>
    <row r="27" spans="1:20" ht="21.9" customHeight="1">
      <c r="A27" s="293"/>
      <c r="B27" s="294" t="s">
        <v>0</v>
      </c>
      <c r="C27" s="53" t="s">
        <v>1</v>
      </c>
      <c r="D27" s="296" t="s">
        <v>5</v>
      </c>
      <c r="E27" s="297" t="s">
        <v>6</v>
      </c>
      <c r="F27" s="298" t="s">
        <v>20</v>
      </c>
      <c r="G27" s="54" t="s">
        <v>21</v>
      </c>
      <c r="H27" s="298" t="s">
        <v>3</v>
      </c>
      <c r="I27" s="292"/>
      <c r="J27" s="292"/>
      <c r="K27" s="292"/>
      <c r="L27" s="292"/>
      <c r="M27" s="292"/>
      <c r="N27" s="292"/>
      <c r="O27" s="292"/>
      <c r="P27" s="292"/>
      <c r="Q27" s="292"/>
      <c r="R27" s="292"/>
      <c r="S27" s="292"/>
      <c r="T27" s="292"/>
    </row>
    <row r="28" spans="1:20" ht="21.9" customHeight="1">
      <c r="A28" s="300"/>
      <c r="B28" s="662" t="s">
        <v>949</v>
      </c>
      <c r="C28" s="663" t="s">
        <v>953</v>
      </c>
      <c r="D28" s="38">
        <v>2</v>
      </c>
      <c r="E28" s="664" t="s">
        <v>326</v>
      </c>
      <c r="F28" s="40">
        <v>16400</v>
      </c>
      <c r="G28" s="42">
        <f t="shared" ref="G28:G46" si="1">D28*F28</f>
        <v>32800</v>
      </c>
      <c r="H28" s="665" t="s">
        <v>905</v>
      </c>
      <c r="I28" s="292"/>
      <c r="J28" s="292"/>
      <c r="K28" s="292"/>
      <c r="L28" s="292"/>
      <c r="M28" s="292"/>
      <c r="N28" s="292"/>
      <c r="O28" s="292"/>
      <c r="P28" s="292"/>
      <c r="Q28" s="292"/>
      <c r="R28" s="292"/>
      <c r="S28" s="292"/>
      <c r="T28" s="308"/>
    </row>
    <row r="29" spans="1:20" ht="21.9" customHeight="1">
      <c r="A29" s="302"/>
      <c r="B29" s="662" t="s">
        <v>949</v>
      </c>
      <c r="C29" s="663" t="s">
        <v>954</v>
      </c>
      <c r="D29" s="38">
        <v>3</v>
      </c>
      <c r="E29" s="664" t="s">
        <v>326</v>
      </c>
      <c r="F29" s="40">
        <v>37200</v>
      </c>
      <c r="G29" s="42">
        <f t="shared" si="1"/>
        <v>111600</v>
      </c>
      <c r="H29" s="665" t="s">
        <v>905</v>
      </c>
      <c r="I29" s="292"/>
      <c r="J29" s="292"/>
      <c r="K29" s="292"/>
      <c r="L29" s="292"/>
      <c r="M29" s="292"/>
      <c r="N29" s="292"/>
      <c r="O29" s="292"/>
      <c r="P29" s="292"/>
      <c r="Q29" s="292"/>
      <c r="R29" s="292"/>
      <c r="S29" s="292"/>
      <c r="T29" s="292"/>
    </row>
    <row r="30" spans="1:20" ht="21.9" customHeight="1">
      <c r="A30" s="302"/>
      <c r="B30" s="662" t="s">
        <v>949</v>
      </c>
      <c r="C30" s="663" t="s">
        <v>955</v>
      </c>
      <c r="D30" s="38">
        <v>1</v>
      </c>
      <c r="E30" s="664" t="s">
        <v>326</v>
      </c>
      <c r="F30" s="40">
        <v>79600</v>
      </c>
      <c r="G30" s="42">
        <f t="shared" si="1"/>
        <v>79600</v>
      </c>
      <c r="H30" s="665" t="s">
        <v>905</v>
      </c>
      <c r="I30" s="292"/>
      <c r="J30" s="292"/>
      <c r="K30" s="292"/>
      <c r="L30" s="292"/>
      <c r="M30" s="292"/>
      <c r="N30" s="292"/>
      <c r="O30" s="292"/>
      <c r="P30" s="292"/>
      <c r="Q30" s="292"/>
      <c r="R30" s="292"/>
      <c r="S30" s="292"/>
      <c r="T30" s="292"/>
    </row>
    <row r="31" spans="1:20" ht="21.9" customHeight="1">
      <c r="A31" s="302"/>
      <c r="B31" s="662" t="s">
        <v>328</v>
      </c>
      <c r="C31" s="663" t="s">
        <v>329</v>
      </c>
      <c r="D31" s="38">
        <v>16</v>
      </c>
      <c r="E31" s="664" t="s">
        <v>330</v>
      </c>
      <c r="F31" s="40">
        <v>800</v>
      </c>
      <c r="G31" s="42">
        <f t="shared" si="1"/>
        <v>12800</v>
      </c>
      <c r="H31" s="665" t="s">
        <v>905</v>
      </c>
      <c r="I31" s="292"/>
      <c r="J31" s="292"/>
      <c r="K31" s="292"/>
      <c r="L31" s="292"/>
      <c r="M31" s="292"/>
      <c r="N31" s="292"/>
      <c r="O31" s="292"/>
      <c r="P31" s="292"/>
      <c r="Q31" s="292"/>
      <c r="R31" s="292"/>
      <c r="S31" s="292"/>
      <c r="T31" s="292"/>
    </row>
    <row r="32" spans="1:20" ht="21.9" customHeight="1">
      <c r="A32" s="302"/>
      <c r="B32" s="662" t="s">
        <v>331</v>
      </c>
      <c r="C32" s="663" t="s">
        <v>956</v>
      </c>
      <c r="D32" s="38">
        <v>11</v>
      </c>
      <c r="E32" s="664" t="s">
        <v>330</v>
      </c>
      <c r="F32" s="40">
        <v>1040</v>
      </c>
      <c r="G32" s="42">
        <f t="shared" si="1"/>
        <v>11440</v>
      </c>
      <c r="H32" s="665" t="s">
        <v>905</v>
      </c>
      <c r="I32" s="292"/>
      <c r="J32" s="292"/>
      <c r="K32" s="292"/>
      <c r="L32" s="292"/>
      <c r="M32" s="292"/>
      <c r="N32" s="292"/>
      <c r="O32" s="292"/>
      <c r="P32" s="292"/>
      <c r="Q32" s="292"/>
      <c r="R32" s="292"/>
      <c r="S32" s="292"/>
      <c r="T32" s="292"/>
    </row>
    <row r="33" spans="1:20" ht="21.9" customHeight="1">
      <c r="A33" s="302"/>
      <c r="B33" s="662" t="s">
        <v>331</v>
      </c>
      <c r="C33" s="663" t="s">
        <v>957</v>
      </c>
      <c r="D33" s="38">
        <v>610</v>
      </c>
      <c r="E33" s="664" t="s">
        <v>330</v>
      </c>
      <c r="F33" s="40">
        <v>1390</v>
      </c>
      <c r="G33" s="42">
        <f t="shared" si="1"/>
        <v>847900</v>
      </c>
      <c r="H33" s="665" t="s">
        <v>905</v>
      </c>
      <c r="I33" s="292"/>
      <c r="J33" s="292"/>
      <c r="K33" s="292"/>
      <c r="L33" s="292"/>
      <c r="M33" s="292"/>
      <c r="N33" s="292"/>
      <c r="O33" s="292"/>
      <c r="P33" s="292"/>
      <c r="Q33" s="292"/>
      <c r="R33" s="292"/>
      <c r="S33" s="292"/>
      <c r="T33" s="292"/>
    </row>
    <row r="34" spans="1:20" ht="21.9" customHeight="1">
      <c r="A34" s="302"/>
      <c r="B34" s="662" t="s">
        <v>331</v>
      </c>
      <c r="C34" s="663" t="s">
        <v>958</v>
      </c>
      <c r="D34" s="38">
        <v>9</v>
      </c>
      <c r="E34" s="664" t="s">
        <v>330</v>
      </c>
      <c r="F34" s="40">
        <v>2300</v>
      </c>
      <c r="G34" s="42">
        <f t="shared" si="1"/>
        <v>20700</v>
      </c>
      <c r="H34" s="665" t="s">
        <v>905</v>
      </c>
      <c r="I34" s="292"/>
      <c r="J34" s="292"/>
      <c r="K34" s="292"/>
      <c r="L34" s="292"/>
      <c r="M34" s="292"/>
      <c r="N34" s="292"/>
      <c r="O34" s="292"/>
      <c r="P34" s="292"/>
      <c r="Q34" s="292"/>
      <c r="R34" s="292"/>
      <c r="S34" s="292"/>
      <c r="T34" s="292"/>
    </row>
    <row r="35" spans="1:20" ht="21.9" customHeight="1">
      <c r="A35" s="302"/>
      <c r="B35" s="662" t="s">
        <v>331</v>
      </c>
      <c r="C35" s="663" t="s">
        <v>332</v>
      </c>
      <c r="D35" s="38">
        <v>12</v>
      </c>
      <c r="E35" s="664" t="s">
        <v>330</v>
      </c>
      <c r="F35" s="40">
        <v>6230</v>
      </c>
      <c r="G35" s="42">
        <f t="shared" si="1"/>
        <v>74760</v>
      </c>
      <c r="H35" s="665" t="s">
        <v>905</v>
      </c>
      <c r="I35" s="292"/>
      <c r="J35" s="292"/>
      <c r="K35" s="292"/>
      <c r="L35" s="292"/>
      <c r="M35" s="292"/>
      <c r="N35" s="292"/>
      <c r="O35" s="292"/>
      <c r="P35" s="292"/>
      <c r="Q35" s="292"/>
      <c r="R35" s="292"/>
      <c r="S35" s="292"/>
      <c r="T35" s="292"/>
    </row>
    <row r="36" spans="1:20" ht="21.9" customHeight="1">
      <c r="A36" s="302"/>
      <c r="B36" s="662" t="s">
        <v>959</v>
      </c>
      <c r="C36" s="663" t="s">
        <v>960</v>
      </c>
      <c r="D36" s="38">
        <v>1</v>
      </c>
      <c r="E36" s="664" t="s">
        <v>333</v>
      </c>
      <c r="F36" s="40">
        <v>1090000</v>
      </c>
      <c r="G36" s="42">
        <f t="shared" si="1"/>
        <v>1090000</v>
      </c>
      <c r="H36" s="665" t="s">
        <v>961</v>
      </c>
      <c r="I36" s="292"/>
      <c r="J36" s="292"/>
      <c r="K36" s="292"/>
      <c r="L36" s="292"/>
      <c r="M36" s="292"/>
      <c r="N36" s="292"/>
      <c r="O36" s="292"/>
      <c r="P36" s="292"/>
      <c r="Q36" s="292"/>
      <c r="R36" s="292"/>
      <c r="S36" s="292"/>
      <c r="T36" s="292"/>
    </row>
    <row r="37" spans="1:20" ht="21.9" customHeight="1">
      <c r="A37" s="302"/>
      <c r="B37" s="662" t="s">
        <v>962</v>
      </c>
      <c r="C37" s="663" t="s">
        <v>963</v>
      </c>
      <c r="D37" s="38">
        <v>1</v>
      </c>
      <c r="E37" s="664" t="s">
        <v>333</v>
      </c>
      <c r="F37" s="40">
        <v>114000</v>
      </c>
      <c r="G37" s="42">
        <f t="shared" si="1"/>
        <v>114000</v>
      </c>
      <c r="H37" s="665" t="s">
        <v>961</v>
      </c>
      <c r="I37" s="292"/>
      <c r="J37" s="292"/>
      <c r="K37" s="292"/>
      <c r="L37" s="292"/>
      <c r="M37" s="292"/>
      <c r="N37" s="292"/>
      <c r="O37" s="292"/>
      <c r="P37" s="292"/>
      <c r="Q37" s="292"/>
      <c r="R37" s="292"/>
      <c r="S37" s="292"/>
      <c r="T37" s="292"/>
    </row>
    <row r="38" spans="1:20" ht="21.9" customHeight="1">
      <c r="A38" s="302"/>
      <c r="B38" s="662" t="s">
        <v>964</v>
      </c>
      <c r="C38" s="663" t="s">
        <v>965</v>
      </c>
      <c r="D38" s="38">
        <v>3</v>
      </c>
      <c r="E38" s="664" t="s">
        <v>326</v>
      </c>
      <c r="F38" s="40">
        <v>4600</v>
      </c>
      <c r="G38" s="42">
        <f t="shared" si="1"/>
        <v>13800</v>
      </c>
      <c r="H38" s="665" t="s">
        <v>905</v>
      </c>
      <c r="I38" s="292"/>
      <c r="J38" s="292"/>
      <c r="K38" s="292"/>
      <c r="L38" s="292"/>
      <c r="M38" s="292"/>
      <c r="N38" s="292"/>
      <c r="O38" s="292"/>
      <c r="P38" s="292"/>
      <c r="Q38" s="292"/>
      <c r="R38" s="292"/>
      <c r="S38" s="292"/>
      <c r="T38" s="292"/>
    </row>
    <row r="39" spans="1:20" ht="21.9" customHeight="1">
      <c r="A39" s="302"/>
      <c r="B39" s="662" t="s">
        <v>966</v>
      </c>
      <c r="C39" s="663" t="s">
        <v>967</v>
      </c>
      <c r="D39" s="38">
        <v>1</v>
      </c>
      <c r="E39" s="664" t="s">
        <v>326</v>
      </c>
      <c r="F39" s="40">
        <v>4010</v>
      </c>
      <c r="G39" s="42">
        <f t="shared" si="1"/>
        <v>4010</v>
      </c>
      <c r="H39" s="665" t="s">
        <v>905</v>
      </c>
      <c r="I39" s="292"/>
      <c r="J39" s="292"/>
      <c r="K39" s="292"/>
      <c r="L39" s="292"/>
      <c r="M39" s="292"/>
      <c r="N39" s="292"/>
      <c r="O39" s="292"/>
      <c r="P39" s="292"/>
      <c r="Q39" s="292"/>
      <c r="R39" s="292"/>
      <c r="S39" s="292"/>
      <c r="T39" s="292"/>
    </row>
    <row r="40" spans="1:20" ht="21.9" customHeight="1">
      <c r="A40" s="302"/>
      <c r="B40" s="662" t="s">
        <v>968</v>
      </c>
      <c r="C40" s="663" t="s">
        <v>969</v>
      </c>
      <c r="D40" s="38">
        <v>2</v>
      </c>
      <c r="E40" s="664" t="s">
        <v>335</v>
      </c>
      <c r="F40" s="40">
        <v>10700</v>
      </c>
      <c r="G40" s="42">
        <f t="shared" si="1"/>
        <v>21400</v>
      </c>
      <c r="H40" s="665" t="s">
        <v>905</v>
      </c>
      <c r="I40" s="292"/>
      <c r="J40" s="292"/>
      <c r="K40" s="292"/>
      <c r="L40" s="292"/>
      <c r="M40" s="292"/>
      <c r="N40" s="292"/>
      <c r="O40" s="292"/>
      <c r="P40" s="292"/>
      <c r="Q40" s="292"/>
      <c r="R40" s="292"/>
      <c r="S40" s="292"/>
      <c r="T40" s="292"/>
    </row>
    <row r="41" spans="1:20" ht="21.9" customHeight="1">
      <c r="A41" s="302"/>
      <c r="B41" s="662" t="s">
        <v>970</v>
      </c>
      <c r="C41" s="663" t="s">
        <v>971</v>
      </c>
      <c r="D41" s="38">
        <v>2</v>
      </c>
      <c r="E41" s="664" t="s">
        <v>736</v>
      </c>
      <c r="F41" s="40">
        <v>14100</v>
      </c>
      <c r="G41" s="42">
        <f t="shared" si="1"/>
        <v>28200</v>
      </c>
      <c r="H41" s="665" t="s">
        <v>905</v>
      </c>
      <c r="I41" s="292"/>
      <c r="J41" s="292"/>
      <c r="K41" s="292"/>
      <c r="L41" s="292"/>
      <c r="M41" s="292"/>
      <c r="N41" s="292"/>
      <c r="O41" s="292"/>
      <c r="P41" s="292"/>
      <c r="Q41" s="292"/>
      <c r="R41" s="292"/>
      <c r="S41" s="292"/>
      <c r="T41" s="292"/>
    </row>
    <row r="42" spans="1:20" ht="21.9" customHeight="1">
      <c r="A42" s="302"/>
      <c r="B42" s="662" t="s">
        <v>336</v>
      </c>
      <c r="C42" s="663" t="s">
        <v>972</v>
      </c>
      <c r="D42" s="38">
        <v>20</v>
      </c>
      <c r="E42" s="664" t="s">
        <v>335</v>
      </c>
      <c r="F42" s="40">
        <v>14400</v>
      </c>
      <c r="G42" s="42">
        <f t="shared" si="1"/>
        <v>288000</v>
      </c>
      <c r="H42" s="665" t="s">
        <v>905</v>
      </c>
      <c r="I42" s="292"/>
      <c r="J42" s="292"/>
      <c r="K42" s="292"/>
      <c r="L42" s="292"/>
      <c r="M42" s="292"/>
      <c r="N42" s="292"/>
      <c r="O42" s="292"/>
      <c r="P42" s="292"/>
      <c r="Q42" s="292"/>
      <c r="R42" s="292"/>
      <c r="S42" s="292"/>
      <c r="T42" s="292"/>
    </row>
    <row r="43" spans="1:20" ht="21.9" customHeight="1">
      <c r="A43" s="302"/>
      <c r="B43" s="662" t="s">
        <v>919</v>
      </c>
      <c r="C43" s="663" t="s">
        <v>973</v>
      </c>
      <c r="D43" s="38">
        <v>17</v>
      </c>
      <c r="E43" s="664" t="s">
        <v>335</v>
      </c>
      <c r="F43" s="40">
        <v>12300</v>
      </c>
      <c r="G43" s="42">
        <f t="shared" si="1"/>
        <v>209100</v>
      </c>
      <c r="H43" s="665" t="s">
        <v>905</v>
      </c>
      <c r="I43" s="292"/>
      <c r="J43" s="292"/>
      <c r="K43" s="292"/>
      <c r="L43" s="292"/>
      <c r="M43" s="292"/>
      <c r="N43" s="292"/>
      <c r="O43" s="292"/>
      <c r="P43" s="292"/>
      <c r="Q43" s="292"/>
      <c r="R43" s="292"/>
      <c r="S43" s="292"/>
      <c r="T43" s="292"/>
    </row>
    <row r="44" spans="1:20" ht="21.9" customHeight="1">
      <c r="A44" s="302"/>
      <c r="B44" s="662" t="s">
        <v>919</v>
      </c>
      <c r="C44" s="663" t="s">
        <v>974</v>
      </c>
      <c r="D44" s="38">
        <v>2</v>
      </c>
      <c r="E44" s="664" t="s">
        <v>335</v>
      </c>
      <c r="F44" s="40">
        <v>16100</v>
      </c>
      <c r="G44" s="42">
        <f t="shared" si="1"/>
        <v>32200</v>
      </c>
      <c r="H44" s="665" t="s">
        <v>905</v>
      </c>
      <c r="I44" s="292"/>
      <c r="J44" s="292"/>
      <c r="K44" s="292"/>
      <c r="L44" s="292"/>
      <c r="M44" s="292"/>
      <c r="N44" s="292"/>
      <c r="O44" s="292"/>
      <c r="P44" s="292"/>
      <c r="Q44" s="292"/>
      <c r="R44" s="292"/>
      <c r="S44" s="292"/>
      <c r="T44" s="292"/>
    </row>
    <row r="45" spans="1:20" ht="21.9" customHeight="1">
      <c r="A45" s="302"/>
      <c r="B45" s="662" t="s">
        <v>919</v>
      </c>
      <c r="C45" s="663" t="s">
        <v>975</v>
      </c>
      <c r="D45" s="38">
        <v>1</v>
      </c>
      <c r="E45" s="664" t="s">
        <v>335</v>
      </c>
      <c r="F45" s="40">
        <v>25400</v>
      </c>
      <c r="G45" s="42">
        <f t="shared" si="1"/>
        <v>25400</v>
      </c>
      <c r="H45" s="665" t="s">
        <v>905</v>
      </c>
      <c r="I45" s="292"/>
      <c r="J45" s="292"/>
      <c r="K45" s="292"/>
      <c r="L45" s="292"/>
      <c r="M45" s="292"/>
      <c r="N45" s="292"/>
      <c r="O45" s="292"/>
      <c r="P45" s="292"/>
      <c r="Q45" s="292"/>
      <c r="R45" s="292"/>
      <c r="S45" s="292"/>
      <c r="T45" s="292"/>
    </row>
    <row r="46" spans="1:20" ht="21.9" customHeight="1">
      <c r="A46" s="302"/>
      <c r="B46" s="662" t="s">
        <v>976</v>
      </c>
      <c r="C46" s="663" t="s">
        <v>977</v>
      </c>
      <c r="D46" s="38">
        <v>1</v>
      </c>
      <c r="E46" s="664" t="s">
        <v>24</v>
      </c>
      <c r="F46" s="40">
        <v>85000</v>
      </c>
      <c r="G46" s="42">
        <f t="shared" si="1"/>
        <v>85000</v>
      </c>
      <c r="H46" s="665"/>
      <c r="I46" s="292"/>
      <c r="J46" s="292"/>
      <c r="K46" s="292"/>
      <c r="L46" s="292"/>
      <c r="M46" s="292"/>
      <c r="N46" s="292"/>
      <c r="O46" s="292"/>
      <c r="P46" s="292"/>
      <c r="Q46" s="292"/>
      <c r="R46" s="292"/>
      <c r="S46" s="292"/>
      <c r="T46" s="292"/>
    </row>
    <row r="47" spans="1:20" ht="21.9" customHeight="1">
      <c r="A47" s="302"/>
      <c r="B47" s="36"/>
      <c r="C47" s="392"/>
      <c r="D47" s="38"/>
      <c r="E47" s="39"/>
      <c r="F47" s="393"/>
      <c r="G47" s="42"/>
      <c r="H47" s="37"/>
      <c r="I47" s="292"/>
      <c r="J47" s="292"/>
      <c r="K47" s="292"/>
      <c r="L47" s="292"/>
      <c r="M47" s="292"/>
      <c r="N47" s="292"/>
      <c r="O47" s="292"/>
      <c r="P47" s="292"/>
      <c r="Q47" s="292"/>
      <c r="R47" s="292"/>
      <c r="S47" s="292"/>
      <c r="T47" s="292"/>
    </row>
    <row r="48" spans="1:20" ht="21.9" customHeight="1">
      <c r="A48" s="302"/>
      <c r="B48" s="36"/>
      <c r="C48" s="390"/>
      <c r="D48" s="38"/>
      <c r="E48" s="39"/>
      <c r="F48" s="40"/>
      <c r="G48" s="42"/>
      <c r="H48" s="37"/>
      <c r="I48" s="292"/>
      <c r="J48" s="292"/>
      <c r="K48" s="292"/>
      <c r="L48" s="292"/>
      <c r="M48" s="292"/>
      <c r="N48" s="292"/>
      <c r="O48" s="292"/>
      <c r="P48" s="292"/>
      <c r="Q48" s="292"/>
      <c r="R48" s="292"/>
      <c r="S48" s="292"/>
      <c r="T48" s="292"/>
    </row>
    <row r="49" spans="1:20" ht="21.9" customHeight="1">
      <c r="A49" s="297"/>
      <c r="B49" s="36"/>
      <c r="C49" s="383"/>
      <c r="D49" s="38"/>
      <c r="E49" s="39"/>
      <c r="F49" s="40"/>
      <c r="G49" s="42"/>
      <c r="H49" s="37"/>
      <c r="I49" s="292"/>
      <c r="J49" s="292"/>
      <c r="K49" s="292"/>
      <c r="L49" s="292"/>
      <c r="M49" s="292"/>
      <c r="N49" s="292"/>
      <c r="O49" s="292"/>
      <c r="P49" s="292"/>
      <c r="Q49" s="292"/>
      <c r="R49" s="292"/>
      <c r="S49" s="292"/>
      <c r="T49" s="292"/>
    </row>
    <row r="50" spans="1:20" ht="21.9" customHeight="1">
      <c r="A50" s="13"/>
      <c r="B50" s="309"/>
      <c r="C50" s="309"/>
      <c r="D50" s="14" t="s">
        <v>23</v>
      </c>
      <c r="E50" s="309"/>
      <c r="F50" s="309"/>
      <c r="G50" s="309"/>
      <c r="H50" s="310">
        <f>+H25+1</f>
        <v>16</v>
      </c>
      <c r="I50" s="292"/>
      <c r="J50" s="292"/>
      <c r="K50" s="292"/>
      <c r="L50" s="292"/>
      <c r="M50" s="292"/>
      <c r="N50" s="292"/>
      <c r="O50" s="292"/>
      <c r="P50" s="292"/>
      <c r="Q50" s="292"/>
      <c r="R50" s="292"/>
      <c r="S50" s="292"/>
      <c r="T50" s="292"/>
    </row>
    <row r="51" spans="1:20" ht="21.9" customHeight="1">
      <c r="A51" s="287"/>
      <c r="B51" s="288"/>
      <c r="C51" s="12"/>
      <c r="D51" s="289"/>
      <c r="E51" s="287"/>
      <c r="F51" s="290"/>
      <c r="G51" s="52"/>
      <c r="H51" s="290"/>
      <c r="I51" s="292"/>
      <c r="J51" s="292"/>
      <c r="K51" s="292"/>
      <c r="L51" s="292"/>
      <c r="M51" s="292"/>
      <c r="N51" s="292"/>
      <c r="O51" s="292"/>
      <c r="P51" s="292"/>
      <c r="Q51" s="292"/>
      <c r="R51" s="292"/>
      <c r="S51" s="292"/>
      <c r="T51" s="292"/>
    </row>
    <row r="52" spans="1:20" ht="21.9" customHeight="1">
      <c r="A52" s="293"/>
      <c r="B52" s="294" t="s">
        <v>0</v>
      </c>
      <c r="C52" s="53" t="s">
        <v>1</v>
      </c>
      <c r="D52" s="296" t="s">
        <v>5</v>
      </c>
      <c r="E52" s="297" t="s">
        <v>6</v>
      </c>
      <c r="F52" s="298" t="s">
        <v>20</v>
      </c>
      <c r="G52" s="54" t="s">
        <v>21</v>
      </c>
      <c r="H52" s="298" t="s">
        <v>3</v>
      </c>
      <c r="I52" s="292"/>
      <c r="J52" s="292"/>
      <c r="K52" s="292"/>
      <c r="L52" s="292"/>
      <c r="M52" s="292"/>
      <c r="N52" s="292"/>
      <c r="O52" s="292"/>
      <c r="P52" s="292"/>
      <c r="Q52" s="292"/>
      <c r="R52" s="292"/>
      <c r="S52" s="292"/>
      <c r="T52" s="292"/>
    </row>
    <row r="53" spans="1:20" ht="21.9" customHeight="1">
      <c r="A53" s="306"/>
      <c r="B53" s="662" t="s">
        <v>978</v>
      </c>
      <c r="C53" s="663" t="s">
        <v>979</v>
      </c>
      <c r="D53" s="38"/>
      <c r="E53" s="39"/>
      <c r="F53" s="40"/>
      <c r="G53" s="42"/>
      <c r="H53" s="37"/>
      <c r="I53" s="292"/>
      <c r="J53" s="292"/>
      <c r="K53" s="292"/>
      <c r="L53" s="292"/>
      <c r="M53" s="292"/>
      <c r="N53" s="292"/>
      <c r="O53" s="292"/>
      <c r="P53" s="292"/>
      <c r="Q53" s="292"/>
      <c r="R53" s="292"/>
      <c r="S53" s="292"/>
      <c r="T53" s="308"/>
    </row>
    <row r="54" spans="1:20" ht="21.9" customHeight="1">
      <c r="A54" s="306"/>
      <c r="B54" s="662" t="s">
        <v>980</v>
      </c>
      <c r="C54" s="663" t="s">
        <v>981</v>
      </c>
      <c r="D54" s="38">
        <v>1</v>
      </c>
      <c r="E54" s="664" t="s">
        <v>982</v>
      </c>
      <c r="F54" s="40">
        <v>22900</v>
      </c>
      <c r="G54" s="42">
        <f t="shared" ref="G54:G65" si="2">D54*F54</f>
        <v>22900</v>
      </c>
      <c r="H54" s="665" t="s">
        <v>983</v>
      </c>
      <c r="I54" s="292"/>
      <c r="J54" s="292"/>
      <c r="K54" s="292"/>
      <c r="L54" s="292"/>
      <c r="M54" s="292"/>
      <c r="N54" s="292"/>
      <c r="O54" s="292"/>
      <c r="P54" s="292"/>
      <c r="Q54" s="292"/>
      <c r="R54" s="292"/>
      <c r="S54" s="292"/>
      <c r="T54" s="292"/>
    </row>
    <row r="55" spans="1:20" ht="21.9" customHeight="1">
      <c r="A55" s="302"/>
      <c r="B55" s="662" t="s">
        <v>984</v>
      </c>
      <c r="C55" s="663" t="s">
        <v>985</v>
      </c>
      <c r="D55" s="38">
        <v>2.6</v>
      </c>
      <c r="E55" s="664" t="s">
        <v>986</v>
      </c>
      <c r="F55" s="40">
        <v>14600</v>
      </c>
      <c r="G55" s="42">
        <f t="shared" si="2"/>
        <v>37960</v>
      </c>
      <c r="H55" s="665" t="s">
        <v>905</v>
      </c>
      <c r="I55" s="292"/>
      <c r="J55" s="292"/>
      <c r="K55" s="292"/>
      <c r="L55" s="292"/>
      <c r="M55" s="292"/>
      <c r="N55" s="292"/>
      <c r="O55" s="292"/>
      <c r="P55" s="292"/>
      <c r="Q55" s="292"/>
      <c r="R55" s="292"/>
      <c r="S55" s="292"/>
      <c r="T55" s="292"/>
    </row>
    <row r="56" spans="1:20" ht="21.9" customHeight="1">
      <c r="A56" s="297"/>
      <c r="B56" s="662" t="s">
        <v>644</v>
      </c>
      <c r="C56" s="663" t="s">
        <v>646</v>
      </c>
      <c r="D56" s="38">
        <v>2.2000000000000002</v>
      </c>
      <c r="E56" s="664" t="s">
        <v>986</v>
      </c>
      <c r="F56" s="40">
        <v>11100</v>
      </c>
      <c r="G56" s="42">
        <f t="shared" si="2"/>
        <v>24420.000000000004</v>
      </c>
      <c r="H56" s="665" t="s">
        <v>905</v>
      </c>
      <c r="I56" s="292"/>
      <c r="J56" s="292"/>
      <c r="K56" s="292"/>
      <c r="L56" s="292"/>
      <c r="M56" s="292"/>
      <c r="N56" s="292"/>
      <c r="O56" s="292"/>
      <c r="P56" s="292"/>
      <c r="Q56" s="292"/>
      <c r="R56" s="292"/>
      <c r="S56" s="292"/>
      <c r="T56" s="292"/>
    </row>
    <row r="57" spans="1:20" ht="21.9" customHeight="1">
      <c r="A57" s="302"/>
      <c r="B57" s="662" t="s">
        <v>987</v>
      </c>
      <c r="C57" s="663" t="s">
        <v>988</v>
      </c>
      <c r="D57" s="38">
        <v>0.4</v>
      </c>
      <c r="E57" s="664" t="s">
        <v>986</v>
      </c>
      <c r="F57" s="40">
        <v>8590</v>
      </c>
      <c r="G57" s="42">
        <f t="shared" si="2"/>
        <v>3436</v>
      </c>
      <c r="H57" s="665" t="s">
        <v>905</v>
      </c>
      <c r="I57" s="292"/>
      <c r="J57" s="292"/>
      <c r="K57" s="292"/>
      <c r="L57" s="292"/>
      <c r="M57" s="292"/>
      <c r="N57" s="292"/>
      <c r="O57" s="292"/>
      <c r="P57" s="292"/>
      <c r="Q57" s="292"/>
      <c r="R57" s="292"/>
      <c r="S57" s="292"/>
      <c r="T57" s="292"/>
    </row>
    <row r="58" spans="1:20" ht="21.9" customHeight="1">
      <c r="A58" s="302"/>
      <c r="B58" s="662" t="s">
        <v>989</v>
      </c>
      <c r="C58" s="663" t="s">
        <v>990</v>
      </c>
      <c r="D58" s="38">
        <v>0.1</v>
      </c>
      <c r="E58" s="664" t="s">
        <v>986</v>
      </c>
      <c r="F58" s="40">
        <v>9670</v>
      </c>
      <c r="G58" s="42">
        <f t="shared" si="2"/>
        <v>967</v>
      </c>
      <c r="H58" s="665" t="s">
        <v>905</v>
      </c>
      <c r="I58" s="292"/>
      <c r="J58" s="292"/>
      <c r="K58" s="292"/>
      <c r="L58" s="292"/>
      <c r="M58" s="292"/>
      <c r="N58" s="292"/>
      <c r="O58" s="292"/>
      <c r="P58" s="292"/>
      <c r="Q58" s="292"/>
      <c r="R58" s="292"/>
      <c r="S58" s="292"/>
      <c r="T58" s="292"/>
    </row>
    <row r="59" spans="1:20" ht="21.9" customHeight="1">
      <c r="A59" s="302"/>
      <c r="B59" s="662" t="s">
        <v>991</v>
      </c>
      <c r="C59" s="663" t="s">
        <v>992</v>
      </c>
      <c r="D59" s="38">
        <v>1</v>
      </c>
      <c r="E59" s="664" t="s">
        <v>993</v>
      </c>
      <c r="F59" s="40">
        <v>26200</v>
      </c>
      <c r="G59" s="42">
        <f t="shared" si="2"/>
        <v>26200</v>
      </c>
      <c r="H59" s="665" t="s">
        <v>994</v>
      </c>
      <c r="I59" s="292"/>
      <c r="J59" s="292"/>
      <c r="K59" s="292"/>
      <c r="L59" s="292"/>
      <c r="M59" s="292"/>
      <c r="N59" s="292"/>
      <c r="O59" s="292"/>
      <c r="P59" s="292"/>
      <c r="Q59" s="292"/>
      <c r="R59" s="292"/>
      <c r="S59" s="292"/>
      <c r="T59" s="292"/>
    </row>
    <row r="60" spans="1:20" ht="21.9" customHeight="1">
      <c r="A60" s="302"/>
      <c r="B60" s="662" t="s">
        <v>995</v>
      </c>
      <c r="C60" s="663" t="s">
        <v>996</v>
      </c>
      <c r="D60" s="38">
        <v>1</v>
      </c>
      <c r="E60" s="664" t="s">
        <v>993</v>
      </c>
      <c r="F60" s="40">
        <v>26200</v>
      </c>
      <c r="G60" s="42">
        <f t="shared" si="2"/>
        <v>26200</v>
      </c>
      <c r="H60" s="665" t="s">
        <v>997</v>
      </c>
      <c r="I60" s="292"/>
      <c r="J60" s="292"/>
      <c r="K60" s="292"/>
      <c r="L60" s="292"/>
      <c r="M60" s="292"/>
      <c r="N60" s="292"/>
      <c r="O60" s="292"/>
      <c r="P60" s="292"/>
      <c r="Q60" s="292"/>
      <c r="R60" s="292"/>
      <c r="S60" s="292"/>
      <c r="T60" s="292"/>
    </row>
    <row r="61" spans="1:20" ht="21.9" customHeight="1">
      <c r="A61" s="302"/>
      <c r="B61" s="662" t="s">
        <v>998</v>
      </c>
      <c r="C61" s="663" t="s">
        <v>999</v>
      </c>
      <c r="D61" s="38">
        <v>1</v>
      </c>
      <c r="E61" s="664" t="s">
        <v>982</v>
      </c>
      <c r="F61" s="40">
        <v>76300</v>
      </c>
      <c r="G61" s="42">
        <f t="shared" si="2"/>
        <v>76300</v>
      </c>
      <c r="H61" s="665" t="s">
        <v>1000</v>
      </c>
      <c r="I61" s="292"/>
      <c r="J61" s="292"/>
      <c r="K61" s="292"/>
      <c r="L61" s="292"/>
      <c r="M61" s="292"/>
      <c r="N61" s="292"/>
      <c r="O61" s="292"/>
      <c r="P61" s="292"/>
      <c r="Q61" s="292"/>
      <c r="R61" s="292"/>
      <c r="S61" s="292"/>
      <c r="T61" s="292"/>
    </row>
    <row r="62" spans="1:20" ht="21.9" customHeight="1">
      <c r="A62" s="302"/>
      <c r="B62" s="662" t="s">
        <v>1001</v>
      </c>
      <c r="C62" s="663" t="s">
        <v>1002</v>
      </c>
      <c r="D62" s="38">
        <v>3</v>
      </c>
      <c r="E62" s="664" t="s">
        <v>330</v>
      </c>
      <c r="F62" s="40">
        <v>1400</v>
      </c>
      <c r="G62" s="42">
        <f t="shared" si="2"/>
        <v>4200</v>
      </c>
      <c r="H62" s="665" t="s">
        <v>905</v>
      </c>
      <c r="I62" s="292"/>
      <c r="J62" s="292"/>
      <c r="K62" s="292"/>
      <c r="L62" s="292"/>
      <c r="M62" s="292"/>
      <c r="N62" s="292"/>
      <c r="O62" s="292"/>
      <c r="P62" s="292"/>
      <c r="Q62" s="292"/>
      <c r="R62" s="292"/>
      <c r="S62" s="292"/>
      <c r="T62" s="292"/>
    </row>
    <row r="63" spans="1:20" ht="21.9" customHeight="1">
      <c r="A63" s="302"/>
      <c r="B63" s="662" t="s">
        <v>331</v>
      </c>
      <c r="C63" s="663" t="s">
        <v>1003</v>
      </c>
      <c r="D63" s="38">
        <v>55</v>
      </c>
      <c r="E63" s="664" t="s">
        <v>330</v>
      </c>
      <c r="F63" s="40">
        <v>970</v>
      </c>
      <c r="G63" s="42">
        <f t="shared" si="2"/>
        <v>53350</v>
      </c>
      <c r="H63" s="665" t="s">
        <v>905</v>
      </c>
      <c r="I63" s="292"/>
      <c r="J63" s="292"/>
      <c r="K63" s="292"/>
      <c r="L63" s="292"/>
      <c r="M63" s="292"/>
      <c r="N63" s="292"/>
      <c r="O63" s="292"/>
      <c r="P63" s="292"/>
      <c r="Q63" s="292"/>
      <c r="R63" s="292"/>
      <c r="S63" s="292"/>
      <c r="T63" s="292"/>
    </row>
    <row r="64" spans="1:20" ht="21.9" customHeight="1">
      <c r="A64" s="302"/>
      <c r="B64" s="662" t="s">
        <v>1004</v>
      </c>
      <c r="C64" s="663" t="s">
        <v>1005</v>
      </c>
      <c r="D64" s="38">
        <v>55</v>
      </c>
      <c r="E64" s="664" t="s">
        <v>330</v>
      </c>
      <c r="F64" s="40">
        <v>130</v>
      </c>
      <c r="G64" s="42">
        <f t="shared" si="2"/>
        <v>7150</v>
      </c>
      <c r="H64" s="665" t="s">
        <v>983</v>
      </c>
      <c r="I64" s="292"/>
      <c r="J64" s="292"/>
      <c r="K64" s="292"/>
      <c r="L64" s="292"/>
      <c r="M64" s="292"/>
      <c r="N64" s="292"/>
      <c r="O64" s="292"/>
      <c r="P64" s="292"/>
      <c r="Q64" s="292"/>
      <c r="R64" s="292"/>
      <c r="S64" s="292"/>
      <c r="T64" s="292"/>
    </row>
    <row r="65" spans="1:20" ht="21.9" customHeight="1">
      <c r="A65" s="302"/>
      <c r="B65" s="662" t="s">
        <v>1006</v>
      </c>
      <c r="C65" s="663" t="s">
        <v>1007</v>
      </c>
      <c r="D65" s="38">
        <v>3</v>
      </c>
      <c r="E65" s="664" t="s">
        <v>330</v>
      </c>
      <c r="F65" s="40">
        <v>280</v>
      </c>
      <c r="G65" s="42">
        <f t="shared" si="2"/>
        <v>840</v>
      </c>
      <c r="H65" s="665" t="s">
        <v>905</v>
      </c>
      <c r="I65" s="292"/>
      <c r="J65" s="292"/>
      <c r="K65" s="292"/>
      <c r="L65" s="292"/>
      <c r="M65" s="292"/>
      <c r="N65" s="292"/>
      <c r="O65" s="292"/>
      <c r="P65" s="292"/>
      <c r="Q65" s="292"/>
      <c r="R65" s="292"/>
      <c r="S65" s="292"/>
      <c r="T65" s="292"/>
    </row>
    <row r="66" spans="1:20" ht="21.9" customHeight="1">
      <c r="A66" s="302"/>
      <c r="B66" s="18"/>
      <c r="C66" s="18"/>
      <c r="D66" s="395"/>
      <c r="E66" s="396"/>
      <c r="F66" s="304"/>
      <c r="G66" s="42"/>
      <c r="H66" s="18"/>
      <c r="I66" s="292"/>
      <c r="J66" s="292"/>
      <c r="K66" s="292"/>
      <c r="L66" s="292"/>
      <c r="M66" s="292"/>
      <c r="N66" s="292"/>
      <c r="O66" s="292"/>
      <c r="P66" s="292"/>
      <c r="Q66" s="292"/>
      <c r="R66" s="292"/>
      <c r="S66" s="292"/>
      <c r="T66" s="292"/>
    </row>
    <row r="67" spans="1:20" ht="21.9" customHeight="1">
      <c r="A67" s="302"/>
      <c r="B67" s="18"/>
      <c r="C67" s="18"/>
      <c r="D67" s="395"/>
      <c r="E67" s="396"/>
      <c r="F67" s="304"/>
      <c r="G67" s="42"/>
      <c r="H67" s="18"/>
      <c r="I67" s="292"/>
      <c r="J67" s="292"/>
      <c r="K67" s="292"/>
      <c r="L67" s="292"/>
      <c r="M67" s="292"/>
      <c r="N67" s="292"/>
      <c r="O67" s="292"/>
      <c r="P67" s="292"/>
      <c r="Q67" s="292"/>
      <c r="R67" s="292"/>
      <c r="S67" s="292"/>
      <c r="T67" s="292"/>
    </row>
    <row r="68" spans="1:20" ht="21.9" customHeight="1">
      <c r="A68" s="302"/>
      <c r="B68" s="18"/>
      <c r="C68" s="18"/>
      <c r="D68" s="395"/>
      <c r="E68" s="396"/>
      <c r="F68" s="304"/>
      <c r="G68" s="42"/>
      <c r="H68" s="18"/>
      <c r="I68" s="292"/>
      <c r="J68" s="292"/>
      <c r="K68" s="292"/>
      <c r="L68" s="292"/>
      <c r="M68" s="292"/>
      <c r="N68" s="292"/>
      <c r="O68" s="292"/>
      <c r="P68" s="292"/>
      <c r="Q68" s="292"/>
      <c r="R68" s="292"/>
      <c r="S68" s="292"/>
      <c r="T68" s="292"/>
    </row>
    <row r="69" spans="1:20" ht="21.9" customHeight="1">
      <c r="A69" s="302"/>
      <c r="B69" s="18"/>
      <c r="C69" s="18"/>
      <c r="D69" s="395"/>
      <c r="E69" s="396"/>
      <c r="F69" s="304"/>
      <c r="G69" s="42"/>
      <c r="H69" s="18"/>
      <c r="I69" s="292"/>
      <c r="J69" s="292"/>
      <c r="K69" s="292"/>
      <c r="L69" s="292"/>
      <c r="M69" s="292"/>
      <c r="N69" s="292"/>
      <c r="O69" s="292"/>
      <c r="P69" s="292"/>
      <c r="Q69" s="292"/>
      <c r="R69" s="292"/>
      <c r="S69" s="292"/>
      <c r="T69" s="292"/>
    </row>
    <row r="70" spans="1:20" ht="21.9" customHeight="1">
      <c r="A70" s="302"/>
      <c r="B70" s="18"/>
      <c r="C70" s="18"/>
      <c r="D70" s="395"/>
      <c r="E70" s="396"/>
      <c r="F70" s="304"/>
      <c r="G70" s="42"/>
      <c r="H70" s="18"/>
      <c r="I70" s="292"/>
      <c r="J70" s="292"/>
      <c r="K70" s="292"/>
      <c r="L70" s="292"/>
      <c r="M70" s="292"/>
      <c r="N70" s="292"/>
      <c r="O70" s="292"/>
      <c r="P70" s="292"/>
      <c r="Q70" s="292"/>
      <c r="R70" s="292"/>
      <c r="S70" s="292"/>
      <c r="T70" s="292"/>
    </row>
    <row r="71" spans="1:20" ht="21.9" customHeight="1">
      <c r="A71" s="302"/>
      <c r="B71" s="18"/>
      <c r="C71" s="18"/>
      <c r="D71" s="395"/>
      <c r="E71" s="396"/>
      <c r="F71" s="304"/>
      <c r="G71" s="42"/>
      <c r="H71" s="18"/>
      <c r="I71" s="292"/>
      <c r="J71" s="292"/>
      <c r="K71" s="292"/>
      <c r="L71" s="292"/>
      <c r="M71" s="292"/>
      <c r="N71" s="292"/>
      <c r="O71" s="292"/>
      <c r="P71" s="292"/>
      <c r="Q71" s="292"/>
      <c r="R71" s="292"/>
      <c r="S71" s="292"/>
      <c r="T71" s="292"/>
    </row>
    <row r="72" spans="1:20" ht="21.9" customHeight="1">
      <c r="A72" s="302"/>
      <c r="B72" s="300" t="s">
        <v>17</v>
      </c>
      <c r="C72" s="44"/>
      <c r="D72" s="38"/>
      <c r="E72" s="39"/>
      <c r="F72" s="40"/>
      <c r="G72" s="255">
        <f>SUM(G3:G71)</f>
        <v>5401173</v>
      </c>
      <c r="H72" s="37"/>
      <c r="I72" s="292"/>
      <c r="J72" s="292"/>
      <c r="K72" s="292"/>
      <c r="L72" s="292"/>
      <c r="M72" s="292"/>
      <c r="N72" s="292"/>
      <c r="O72" s="292"/>
      <c r="P72" s="292"/>
      <c r="Q72" s="292"/>
      <c r="R72" s="292"/>
      <c r="S72" s="292"/>
      <c r="T72" s="292"/>
    </row>
    <row r="73" spans="1:20" ht="21.9" customHeight="1">
      <c r="A73" s="302"/>
      <c r="B73" s="18"/>
      <c r="C73" s="43"/>
      <c r="D73" s="395"/>
      <c r="E73" s="396"/>
      <c r="F73" s="304"/>
      <c r="G73" s="42"/>
      <c r="H73" s="18"/>
      <c r="I73" s="292"/>
      <c r="J73" s="292"/>
      <c r="K73" s="292"/>
      <c r="L73" s="292"/>
      <c r="M73" s="292"/>
      <c r="N73" s="292"/>
      <c r="O73" s="292"/>
      <c r="P73" s="292"/>
      <c r="Q73" s="292"/>
      <c r="R73" s="292"/>
      <c r="S73" s="292"/>
      <c r="T73" s="292"/>
    </row>
    <row r="74" spans="1:20" ht="21.9" customHeight="1">
      <c r="A74" s="13"/>
      <c r="B74" s="309"/>
      <c r="C74" s="309"/>
      <c r="D74" s="14" t="s">
        <v>23</v>
      </c>
      <c r="E74" s="309"/>
      <c r="F74" s="309"/>
      <c r="G74" s="309"/>
      <c r="H74" s="310">
        <f>+H50+1</f>
        <v>17</v>
      </c>
      <c r="I74" s="292"/>
      <c r="J74" s="292"/>
      <c r="K74" s="292"/>
      <c r="L74" s="292"/>
      <c r="M74" s="292"/>
      <c r="N74" s="292"/>
      <c r="O74" s="292"/>
      <c r="P74" s="292"/>
      <c r="Q74" s="292"/>
      <c r="R74" s="292"/>
      <c r="S74" s="292"/>
      <c r="T74" s="292"/>
    </row>
  </sheetData>
  <phoneticPr fontId="48"/>
  <printOptions horizontalCentered="1" verticalCentered="1"/>
  <pageMargins left="0.31496062992125984" right="0.31496062992125984" top="0.59055118110236227" bottom="0.59055118110236227" header="0.51181102362204722" footer="0.51181102362204722"/>
  <pageSetup paperSize="9" orientation="landscape" r:id="rId1"/>
  <headerFooter alignWithMargins="0"/>
  <rowBreaks count="2" manualBreakCount="2">
    <brk id="25" max="16383" man="1"/>
    <brk id="50" max="7"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4277D-E230-4DCF-8271-B0F98FEDB59C}">
  <sheetPr>
    <tabColor theme="9"/>
  </sheetPr>
  <dimension ref="A1:AD24"/>
  <sheetViews>
    <sheetView view="pageBreakPreview" zoomScale="120" zoomScaleNormal="100" zoomScaleSheetLayoutView="120" workbookViewId="0">
      <selection activeCell="G6" sqref="G6"/>
    </sheetView>
  </sheetViews>
  <sheetFormatPr defaultColWidth="9" defaultRowHeight="13.2"/>
  <cols>
    <col min="1" max="1" width="5.88671875" style="3" customWidth="1"/>
    <col min="2" max="2" width="28.6640625" style="3" customWidth="1"/>
    <col min="3" max="3" width="25.88671875" style="3" customWidth="1"/>
    <col min="4" max="4" width="9.6640625" style="3" customWidth="1"/>
    <col min="5" max="5" width="5.6640625" style="3" customWidth="1"/>
    <col min="6" max="6" width="11.6640625" style="3" customWidth="1"/>
    <col min="7" max="7" width="15.88671875" style="3" customWidth="1"/>
    <col min="8" max="8" width="26.88671875" style="3" customWidth="1"/>
    <col min="9" max="16384" width="9" style="3"/>
  </cols>
  <sheetData>
    <row r="1" spans="1:30" ht="21.9" customHeight="1">
      <c r="A1" s="368"/>
      <c r="B1" s="369"/>
      <c r="C1" s="369"/>
      <c r="D1" s="370"/>
      <c r="E1" s="369"/>
      <c r="F1" s="371"/>
      <c r="G1" s="52"/>
      <c r="H1" s="371"/>
      <c r="I1" s="372">
        <v>1</v>
      </c>
      <c r="J1" s="1"/>
      <c r="K1" s="1"/>
      <c r="L1" s="1"/>
      <c r="M1" s="1"/>
      <c r="N1" s="1"/>
      <c r="O1" s="1"/>
      <c r="P1" s="1"/>
      <c r="Q1" s="1"/>
      <c r="R1" s="1"/>
      <c r="S1" s="1"/>
      <c r="T1" s="1"/>
      <c r="U1" s="1"/>
      <c r="V1" s="1"/>
      <c r="W1" s="1"/>
      <c r="X1" s="1"/>
      <c r="Y1" s="1"/>
      <c r="Z1" s="1"/>
      <c r="AA1" s="1"/>
      <c r="AB1" s="1"/>
      <c r="AC1" s="1"/>
      <c r="AD1" s="1"/>
    </row>
    <row r="2" spans="1:30" ht="21.9" customHeight="1">
      <c r="A2" s="373"/>
      <c r="B2" s="321" t="s">
        <v>0</v>
      </c>
      <c r="C2" s="53" t="s">
        <v>1</v>
      </c>
      <c r="D2" s="374" t="s">
        <v>5</v>
      </c>
      <c r="E2" s="321" t="s">
        <v>6</v>
      </c>
      <c r="F2" s="375" t="s">
        <v>20</v>
      </c>
      <c r="G2" s="54" t="s">
        <v>21</v>
      </c>
      <c r="H2" s="375" t="s">
        <v>3</v>
      </c>
      <c r="I2" s="322" t="s">
        <v>320</v>
      </c>
      <c r="J2" s="1"/>
      <c r="K2" s="1"/>
      <c r="L2" s="1"/>
      <c r="M2" s="1"/>
      <c r="N2" s="1"/>
      <c r="O2" s="1"/>
      <c r="P2" s="1"/>
      <c r="Q2" s="1"/>
      <c r="R2" s="1"/>
      <c r="S2" s="1"/>
      <c r="T2" s="1"/>
      <c r="U2" s="1"/>
      <c r="V2" s="1"/>
      <c r="W2" s="1"/>
      <c r="X2" s="1"/>
      <c r="Y2" s="1"/>
      <c r="Z2" s="1"/>
      <c r="AA2" s="1"/>
      <c r="AB2" s="1"/>
      <c r="AC2" s="1"/>
      <c r="AD2" s="1"/>
    </row>
    <row r="3" spans="1:30" ht="21.9" customHeight="1">
      <c r="A3" s="642" t="s">
        <v>593</v>
      </c>
      <c r="B3" s="641" t="s">
        <v>559</v>
      </c>
      <c r="C3" s="322"/>
      <c r="D3" s="325"/>
      <c r="E3" s="321"/>
      <c r="F3" s="42"/>
      <c r="G3" s="42"/>
      <c r="H3" s="51"/>
      <c r="I3" s="321"/>
      <c r="J3" s="1"/>
      <c r="K3" s="1"/>
      <c r="L3" s="1"/>
      <c r="M3" s="1"/>
      <c r="N3" s="1"/>
      <c r="O3" s="1"/>
      <c r="P3" s="1"/>
      <c r="Q3" s="1"/>
      <c r="R3" s="1"/>
      <c r="S3" s="1"/>
      <c r="T3" s="1"/>
      <c r="U3" s="1"/>
      <c r="V3" s="1"/>
      <c r="W3" s="1"/>
      <c r="X3" s="1"/>
      <c r="Y3" s="1"/>
      <c r="Z3" s="1"/>
      <c r="AA3" s="1"/>
      <c r="AB3" s="1"/>
      <c r="AC3" s="1"/>
      <c r="AD3" s="1"/>
    </row>
    <row r="4" spans="1:30" ht="21.9" customHeight="1">
      <c r="A4" s="326"/>
      <c r="B4" s="318"/>
      <c r="C4" s="300"/>
      <c r="D4" s="327"/>
      <c r="E4" s="300"/>
      <c r="F4" s="42"/>
      <c r="G4" s="42"/>
      <c r="H4" s="51"/>
      <c r="I4" s="321"/>
      <c r="J4" s="1"/>
      <c r="K4" s="1"/>
      <c r="L4" s="1"/>
      <c r="M4" s="1"/>
      <c r="N4" s="1"/>
      <c r="O4" s="1"/>
      <c r="P4" s="1"/>
      <c r="Q4" s="1"/>
      <c r="R4" s="1"/>
      <c r="S4" s="1"/>
      <c r="T4" s="1"/>
      <c r="U4" s="1"/>
      <c r="V4" s="1"/>
      <c r="W4" s="1"/>
      <c r="X4" s="1"/>
      <c r="Y4" s="1"/>
      <c r="Z4" s="1"/>
      <c r="AA4" s="1"/>
      <c r="AB4" s="1"/>
      <c r="AC4" s="1"/>
      <c r="AD4" s="1"/>
    </row>
    <row r="5" spans="1:30" ht="21.9" customHeight="1">
      <c r="A5" s="328">
        <v>1</v>
      </c>
      <c r="B5" s="641" t="s">
        <v>559</v>
      </c>
      <c r="C5" s="330"/>
      <c r="D5" s="331">
        <v>1</v>
      </c>
      <c r="E5" s="328" t="s">
        <v>15</v>
      </c>
      <c r="F5" s="42"/>
      <c r="G5" s="42">
        <f>'付帯（明細）'!G23</f>
        <v>7866149</v>
      </c>
      <c r="H5" s="51"/>
      <c r="I5" s="321"/>
      <c r="J5" s="1"/>
      <c r="K5" s="1"/>
      <c r="L5" s="1"/>
      <c r="M5" s="1"/>
      <c r="N5" s="1"/>
      <c r="O5" s="1"/>
      <c r="P5" s="1"/>
      <c r="Q5" s="1"/>
      <c r="R5" s="1"/>
      <c r="S5" s="1"/>
      <c r="T5" s="1"/>
      <c r="U5" s="1"/>
      <c r="V5" s="1"/>
      <c r="W5" s="1"/>
      <c r="X5" s="1"/>
      <c r="Y5" s="1"/>
      <c r="Z5" s="1"/>
      <c r="AA5" s="1"/>
      <c r="AB5" s="1"/>
      <c r="AC5" s="1"/>
      <c r="AD5" s="1"/>
    </row>
    <row r="6" spans="1:30" ht="21.9" customHeight="1">
      <c r="A6" s="328"/>
      <c r="B6" s="329"/>
      <c r="C6" s="330"/>
      <c r="D6" s="331"/>
      <c r="E6" s="328"/>
      <c r="F6" s="42"/>
      <c r="G6" s="42"/>
      <c r="H6" s="51"/>
      <c r="I6" s="321"/>
      <c r="J6" s="1"/>
      <c r="K6" s="1"/>
      <c r="L6" s="1"/>
      <c r="M6" s="1"/>
      <c r="N6" s="1"/>
      <c r="O6" s="1"/>
      <c r="P6" s="1"/>
      <c r="Q6" s="1"/>
      <c r="R6" s="1"/>
      <c r="S6" s="1"/>
      <c r="T6" s="1"/>
      <c r="U6" s="1"/>
      <c r="V6" s="1"/>
      <c r="W6" s="1"/>
      <c r="X6" s="1"/>
      <c r="Y6" s="1"/>
      <c r="Z6" s="1"/>
      <c r="AA6" s="1"/>
      <c r="AB6" s="1"/>
      <c r="AC6" s="1"/>
      <c r="AD6" s="1"/>
    </row>
    <row r="7" spans="1:30" ht="21.9" customHeight="1">
      <c r="A7" s="328"/>
      <c r="B7" s="330"/>
      <c r="C7" s="330"/>
      <c r="D7" s="331"/>
      <c r="E7" s="328"/>
      <c r="F7" s="42"/>
      <c r="G7" s="42"/>
      <c r="H7" s="51"/>
      <c r="I7" s="321"/>
      <c r="J7" s="1"/>
      <c r="K7" s="1"/>
      <c r="L7" s="1"/>
      <c r="M7" s="1"/>
      <c r="N7" s="1"/>
      <c r="O7" s="1"/>
      <c r="P7" s="1"/>
      <c r="Q7" s="1"/>
      <c r="R7" s="1"/>
      <c r="S7" s="1"/>
      <c r="T7" s="1"/>
      <c r="U7" s="1"/>
      <c r="V7" s="1"/>
      <c r="W7" s="1"/>
      <c r="X7" s="1"/>
      <c r="Y7" s="1"/>
      <c r="Z7" s="1"/>
      <c r="AA7" s="1"/>
      <c r="AB7" s="1"/>
      <c r="AC7" s="1"/>
      <c r="AD7" s="1"/>
    </row>
    <row r="8" spans="1:30" ht="21.9" customHeight="1">
      <c r="A8" s="328"/>
      <c r="B8" s="330"/>
      <c r="C8" s="330"/>
      <c r="D8" s="331"/>
      <c r="E8" s="328"/>
      <c r="F8" s="42"/>
      <c r="G8" s="42"/>
      <c r="H8" s="51"/>
      <c r="I8" s="321"/>
      <c r="J8" s="1"/>
      <c r="K8" s="1"/>
      <c r="L8" s="1"/>
      <c r="M8" s="1"/>
      <c r="N8" s="1"/>
      <c r="O8" s="1"/>
      <c r="P8" s="1"/>
      <c r="Q8" s="1"/>
      <c r="R8" s="1"/>
      <c r="S8" s="1"/>
      <c r="T8" s="1"/>
      <c r="U8" s="1"/>
      <c r="V8" s="1"/>
      <c r="W8" s="1"/>
      <c r="X8" s="1"/>
      <c r="Y8" s="1"/>
      <c r="Z8" s="1"/>
      <c r="AA8" s="1"/>
      <c r="AB8" s="1"/>
      <c r="AC8" s="1"/>
      <c r="AD8" s="1"/>
    </row>
    <row r="9" spans="1:30" ht="21.9" customHeight="1">
      <c r="A9" s="328"/>
      <c r="B9" s="332"/>
      <c r="C9" s="330"/>
      <c r="D9" s="331"/>
      <c r="E9" s="328"/>
      <c r="F9" s="42"/>
      <c r="G9" s="42"/>
      <c r="H9" s="51"/>
      <c r="I9" s="321"/>
      <c r="J9" s="1"/>
      <c r="K9" s="1"/>
      <c r="L9" s="1"/>
      <c r="M9" s="1"/>
      <c r="N9" s="1"/>
      <c r="O9" s="1"/>
      <c r="P9" s="1"/>
      <c r="Q9" s="1"/>
      <c r="R9" s="1"/>
      <c r="S9" s="1"/>
      <c r="T9" s="1"/>
      <c r="U9" s="1"/>
      <c r="V9" s="1"/>
      <c r="W9" s="1"/>
      <c r="X9" s="1"/>
      <c r="Y9" s="1"/>
      <c r="Z9" s="1"/>
      <c r="AA9" s="1"/>
      <c r="AB9" s="1"/>
      <c r="AC9" s="1"/>
      <c r="AD9" s="1"/>
    </row>
    <row r="10" spans="1:30" ht="21.9" customHeight="1">
      <c r="A10" s="328"/>
      <c r="B10" s="332"/>
      <c r="C10" s="330"/>
      <c r="D10" s="331"/>
      <c r="E10" s="328"/>
      <c r="F10" s="42"/>
      <c r="G10" s="42"/>
      <c r="H10" s="51"/>
      <c r="I10" s="321"/>
      <c r="J10" s="1"/>
      <c r="K10" s="1"/>
      <c r="L10" s="1"/>
      <c r="M10" s="1"/>
      <c r="N10" s="1"/>
      <c r="O10" s="1"/>
      <c r="P10" s="1"/>
      <c r="Q10" s="1"/>
      <c r="R10" s="1"/>
      <c r="S10" s="1"/>
      <c r="T10" s="1"/>
      <c r="U10" s="1"/>
      <c r="V10" s="1"/>
      <c r="W10" s="1"/>
      <c r="X10" s="1"/>
      <c r="Y10" s="1"/>
      <c r="Z10" s="1"/>
      <c r="AA10" s="1"/>
      <c r="AB10" s="1"/>
      <c r="AC10" s="1"/>
      <c r="AD10" s="1"/>
    </row>
    <row r="11" spans="1:30" ht="21.9" customHeight="1">
      <c r="A11" s="328"/>
      <c r="B11" s="332"/>
      <c r="C11" s="330"/>
      <c r="D11" s="331"/>
      <c r="E11" s="328"/>
      <c r="F11" s="42"/>
      <c r="G11" s="42"/>
      <c r="H11" s="51"/>
      <c r="I11" s="321"/>
      <c r="J11" s="1"/>
      <c r="K11" s="1"/>
      <c r="L11" s="1"/>
      <c r="M11" s="1"/>
      <c r="N11" s="1"/>
      <c r="O11" s="1"/>
      <c r="P11" s="1"/>
      <c r="Q11" s="1"/>
      <c r="R11" s="1"/>
      <c r="S11" s="1"/>
      <c r="T11" s="1"/>
      <c r="U11" s="1"/>
      <c r="V11" s="1"/>
      <c r="W11" s="1"/>
      <c r="X11" s="1"/>
      <c r="Y11" s="1"/>
      <c r="Z11" s="1"/>
      <c r="AA11" s="1"/>
      <c r="AB11" s="1"/>
      <c r="AC11" s="1"/>
      <c r="AD11" s="1"/>
    </row>
    <row r="12" spans="1:30" ht="21.9" customHeight="1">
      <c r="A12" s="328"/>
      <c r="B12" s="332"/>
      <c r="C12" s="330"/>
      <c r="D12" s="331"/>
      <c r="E12" s="328"/>
      <c r="F12" s="42"/>
      <c r="G12" s="42"/>
      <c r="H12" s="51"/>
      <c r="I12" s="321"/>
      <c r="J12" s="1"/>
      <c r="K12" s="1"/>
      <c r="L12" s="1"/>
      <c r="M12" s="1"/>
      <c r="N12" s="1"/>
      <c r="O12" s="1"/>
      <c r="P12" s="1"/>
      <c r="Q12" s="1"/>
      <c r="R12" s="1"/>
      <c r="S12" s="1"/>
      <c r="T12" s="1"/>
      <c r="U12" s="1"/>
      <c r="V12" s="1"/>
      <c r="W12" s="1"/>
      <c r="X12" s="1"/>
      <c r="Y12" s="1"/>
      <c r="Z12" s="1"/>
      <c r="AA12" s="1"/>
      <c r="AB12" s="1"/>
      <c r="AC12" s="1"/>
      <c r="AD12" s="1"/>
    </row>
    <row r="13" spans="1:30" ht="21.9" customHeight="1">
      <c r="A13" s="328"/>
      <c r="B13" s="332"/>
      <c r="C13" s="330"/>
      <c r="D13" s="331"/>
      <c r="E13" s="328"/>
      <c r="F13" s="42"/>
      <c r="G13" s="342"/>
      <c r="H13" s="51"/>
      <c r="I13" s="321"/>
      <c r="J13" s="1"/>
      <c r="K13" s="1"/>
      <c r="L13" s="1"/>
      <c r="M13" s="1"/>
      <c r="N13" s="1"/>
      <c r="O13" s="1"/>
      <c r="P13" s="1"/>
      <c r="Q13" s="1"/>
      <c r="R13" s="1"/>
      <c r="S13" s="1"/>
      <c r="T13" s="1"/>
      <c r="U13" s="1"/>
      <c r="V13" s="1"/>
      <c r="W13" s="1"/>
      <c r="X13" s="1"/>
      <c r="Y13" s="1"/>
      <c r="Z13" s="1"/>
      <c r="AA13" s="1"/>
      <c r="AB13" s="1"/>
      <c r="AC13" s="1"/>
      <c r="AD13" s="1"/>
    </row>
    <row r="14" spans="1:30" ht="21.9" customHeight="1">
      <c r="A14" s="328"/>
      <c r="B14" s="332"/>
      <c r="C14" s="330"/>
      <c r="D14" s="331"/>
      <c r="E14" s="328"/>
      <c r="F14" s="42"/>
      <c r="G14" s="42"/>
      <c r="H14" s="51"/>
      <c r="I14" s="321"/>
      <c r="J14" s="1"/>
      <c r="K14" s="1"/>
      <c r="L14" s="1"/>
      <c r="M14" s="1"/>
      <c r="N14" s="1"/>
      <c r="O14" s="1"/>
      <c r="P14" s="1"/>
      <c r="Q14" s="1"/>
      <c r="R14" s="1"/>
      <c r="S14" s="1"/>
      <c r="T14" s="1"/>
      <c r="U14" s="1"/>
      <c r="V14" s="1"/>
      <c r="W14" s="1"/>
      <c r="X14" s="1"/>
      <c r="Y14" s="1"/>
      <c r="Z14" s="1"/>
      <c r="AA14" s="1"/>
      <c r="AB14" s="1"/>
      <c r="AC14" s="1"/>
      <c r="AD14" s="1"/>
    </row>
    <row r="15" spans="1:30" ht="21.9" customHeight="1">
      <c r="A15" s="328"/>
      <c r="B15" s="301"/>
      <c r="C15" s="330"/>
      <c r="D15" s="331"/>
      <c r="E15" s="328"/>
      <c r="F15" s="42"/>
      <c r="G15" s="42"/>
      <c r="H15" s="51"/>
      <c r="I15" s="321"/>
      <c r="J15" s="1"/>
      <c r="K15" s="1"/>
      <c r="L15" s="1"/>
      <c r="M15" s="1"/>
      <c r="N15" s="1"/>
      <c r="O15" s="1"/>
      <c r="P15" s="1"/>
      <c r="Q15" s="1"/>
      <c r="R15" s="1"/>
      <c r="S15" s="1"/>
      <c r="T15" s="1"/>
      <c r="U15" s="1"/>
      <c r="V15" s="1"/>
      <c r="W15" s="1"/>
      <c r="X15" s="1"/>
      <c r="Y15" s="1"/>
      <c r="Z15" s="1"/>
      <c r="AA15" s="1"/>
      <c r="AB15" s="1"/>
      <c r="AC15" s="1"/>
      <c r="AD15" s="1"/>
    </row>
    <row r="16" spans="1:30" ht="21.9" customHeight="1">
      <c r="A16" s="328"/>
      <c r="B16" s="321"/>
      <c r="C16" s="330"/>
      <c r="D16" s="331"/>
      <c r="E16" s="328"/>
      <c r="F16" s="42"/>
      <c r="G16" s="42"/>
      <c r="H16" s="51"/>
      <c r="I16" s="321"/>
      <c r="J16" s="1"/>
      <c r="K16" s="1"/>
      <c r="L16" s="1"/>
      <c r="M16" s="1"/>
      <c r="N16" s="1"/>
      <c r="O16" s="1"/>
      <c r="P16" s="1"/>
      <c r="Q16" s="1"/>
      <c r="R16" s="1"/>
      <c r="S16" s="1"/>
      <c r="T16" s="1"/>
      <c r="U16" s="1"/>
      <c r="V16" s="1"/>
      <c r="W16" s="1"/>
      <c r="X16" s="1"/>
      <c r="Y16" s="1"/>
      <c r="Z16" s="1"/>
      <c r="AA16" s="1"/>
      <c r="AB16" s="1"/>
      <c r="AC16" s="1"/>
      <c r="AD16" s="1"/>
    </row>
    <row r="17" spans="1:30" ht="21.9" customHeight="1">
      <c r="A17" s="328"/>
      <c r="B17" s="2"/>
      <c r="C17" s="330"/>
      <c r="D17" s="331"/>
      <c r="E17" s="328"/>
      <c r="F17" s="42"/>
      <c r="G17" s="42"/>
      <c r="H17" s="51"/>
      <c r="I17" s="321"/>
      <c r="J17" s="1"/>
      <c r="K17" s="1"/>
      <c r="L17" s="1"/>
      <c r="M17" s="1"/>
      <c r="N17" s="1"/>
      <c r="O17" s="1"/>
      <c r="P17" s="1"/>
      <c r="Q17" s="1"/>
      <c r="R17" s="1"/>
      <c r="S17" s="1"/>
      <c r="T17" s="1"/>
      <c r="U17" s="1"/>
      <c r="V17" s="1"/>
      <c r="W17" s="1"/>
      <c r="X17" s="1"/>
      <c r="Y17" s="1"/>
      <c r="Z17" s="1"/>
      <c r="AA17" s="1"/>
      <c r="AB17" s="1"/>
      <c r="AC17" s="1"/>
      <c r="AD17" s="1"/>
    </row>
    <row r="18" spans="1:30" ht="21.9" customHeight="1">
      <c r="A18" s="328"/>
      <c r="B18" s="2"/>
      <c r="C18" s="333"/>
      <c r="D18" s="331"/>
      <c r="E18" s="328"/>
      <c r="F18" s="42"/>
      <c r="G18" s="42"/>
      <c r="H18" s="51"/>
      <c r="I18" s="321"/>
      <c r="J18" s="1"/>
      <c r="K18" s="1"/>
      <c r="L18" s="1"/>
      <c r="M18" s="1"/>
      <c r="N18" s="1"/>
      <c r="O18" s="1"/>
      <c r="P18" s="1"/>
      <c r="Q18" s="1"/>
      <c r="R18" s="1"/>
      <c r="S18" s="1"/>
      <c r="T18" s="1"/>
      <c r="U18" s="1"/>
      <c r="V18" s="1"/>
      <c r="W18" s="1"/>
      <c r="X18" s="1"/>
      <c r="Y18" s="1"/>
      <c r="Z18" s="1"/>
      <c r="AA18" s="1"/>
      <c r="AB18" s="1"/>
      <c r="AC18" s="1"/>
      <c r="AD18" s="1"/>
    </row>
    <row r="19" spans="1:30" ht="21.9" customHeight="1">
      <c r="A19" s="328"/>
      <c r="B19" s="321"/>
      <c r="C19" s="324"/>
      <c r="D19" s="331"/>
      <c r="E19" s="328"/>
      <c r="F19" s="42"/>
      <c r="G19" s="42"/>
      <c r="H19" s="51"/>
      <c r="I19" s="321"/>
      <c r="J19" s="1"/>
      <c r="K19" s="1"/>
      <c r="L19" s="1"/>
      <c r="M19" s="1"/>
      <c r="N19" s="1"/>
      <c r="O19" s="1"/>
      <c r="P19" s="1"/>
      <c r="Q19" s="1"/>
      <c r="R19" s="1"/>
      <c r="S19" s="1"/>
      <c r="T19" s="1"/>
      <c r="U19" s="1"/>
      <c r="V19" s="1"/>
      <c r="W19" s="1"/>
      <c r="X19" s="1"/>
      <c r="Y19" s="1"/>
      <c r="Z19" s="1"/>
      <c r="AA19" s="1"/>
      <c r="AB19" s="1"/>
      <c r="AC19" s="1"/>
      <c r="AD19" s="1"/>
    </row>
    <row r="20" spans="1:30" ht="21.9" customHeight="1">
      <c r="A20" s="328"/>
      <c r="B20" s="300" t="s">
        <v>17</v>
      </c>
      <c r="C20" s="330"/>
      <c r="D20" s="331"/>
      <c r="E20" s="328"/>
      <c r="F20" s="42"/>
      <c r="G20" s="42">
        <f>SUM(G3:G19)</f>
        <v>7866149</v>
      </c>
      <c r="H20" s="51"/>
      <c r="I20" s="321"/>
      <c r="J20" s="1"/>
      <c r="K20" s="1"/>
      <c r="L20" s="1"/>
      <c r="M20" s="1"/>
      <c r="N20" s="1"/>
      <c r="O20" s="1"/>
      <c r="P20" s="1"/>
      <c r="Q20" s="1"/>
      <c r="R20" s="1"/>
      <c r="S20" s="1"/>
      <c r="T20" s="1"/>
      <c r="U20" s="1"/>
      <c r="V20" s="1"/>
      <c r="W20" s="1"/>
      <c r="X20" s="1"/>
      <c r="Y20" s="1"/>
      <c r="Z20" s="1"/>
      <c r="AA20" s="1"/>
      <c r="AB20" s="1"/>
      <c r="AC20" s="1"/>
      <c r="AD20" s="1"/>
    </row>
    <row r="21" spans="1:30" ht="21.9" customHeight="1">
      <c r="A21" s="328"/>
      <c r="B21" s="300"/>
      <c r="C21" s="330"/>
      <c r="D21" s="331"/>
      <c r="E21" s="328"/>
      <c r="F21" s="42"/>
      <c r="G21" s="42"/>
      <c r="H21" s="51"/>
      <c r="I21" s="321"/>
      <c r="J21" s="1"/>
      <c r="K21" s="1"/>
      <c r="L21" s="1"/>
      <c r="M21" s="1"/>
      <c r="N21" s="1"/>
      <c r="O21" s="1"/>
      <c r="P21" s="1"/>
      <c r="Q21" s="1"/>
      <c r="R21" s="1"/>
      <c r="S21" s="1"/>
      <c r="T21" s="1"/>
      <c r="U21" s="1"/>
      <c r="V21" s="1"/>
      <c r="W21" s="1"/>
      <c r="X21" s="1"/>
      <c r="Y21" s="1"/>
      <c r="Z21" s="1"/>
      <c r="AA21" s="1"/>
      <c r="AB21" s="1"/>
      <c r="AC21" s="1"/>
      <c r="AD21" s="1"/>
    </row>
    <row r="22" spans="1:30" ht="21.9" customHeight="1">
      <c r="A22" s="328"/>
      <c r="B22" s="376"/>
      <c r="C22" s="330"/>
      <c r="D22" s="331"/>
      <c r="E22" s="328"/>
      <c r="F22" s="42"/>
      <c r="G22" s="41"/>
      <c r="H22" s="377"/>
      <c r="I22" s="321"/>
      <c r="J22" s="1"/>
      <c r="K22" s="1"/>
      <c r="L22" s="1"/>
      <c r="M22" s="1"/>
      <c r="N22" s="1"/>
      <c r="O22" s="1"/>
      <c r="P22" s="1"/>
      <c r="Q22" s="1"/>
      <c r="R22" s="1"/>
      <c r="S22" s="1"/>
      <c r="T22" s="1"/>
      <c r="U22" s="1"/>
      <c r="V22" s="1"/>
      <c r="W22" s="1"/>
      <c r="X22" s="1"/>
      <c r="Y22" s="1"/>
      <c r="Z22" s="1"/>
      <c r="AA22" s="1"/>
      <c r="AB22" s="1"/>
      <c r="AC22" s="1"/>
      <c r="AD22" s="1"/>
    </row>
    <row r="23" spans="1:30" ht="21.9" customHeight="1">
      <c r="A23" s="328"/>
      <c r="B23" s="332"/>
      <c r="C23" s="330"/>
      <c r="D23" s="331"/>
      <c r="E23" s="328"/>
      <c r="F23" s="42"/>
      <c r="G23" s="42"/>
      <c r="H23" s="51"/>
      <c r="I23" s="321"/>
      <c r="J23" s="1"/>
      <c r="K23" s="1"/>
      <c r="L23" s="1"/>
      <c r="M23" s="1"/>
      <c r="N23" s="1"/>
      <c r="O23" s="1"/>
      <c r="P23" s="1"/>
      <c r="Q23" s="1"/>
      <c r="R23" s="1"/>
      <c r="S23" s="1"/>
      <c r="T23" s="1"/>
      <c r="U23" s="1"/>
      <c r="V23" s="1"/>
      <c r="W23" s="1"/>
      <c r="X23" s="1"/>
      <c r="Y23" s="1"/>
      <c r="Z23" s="1"/>
      <c r="AA23" s="1"/>
      <c r="AB23" s="1"/>
      <c r="AC23" s="1"/>
      <c r="AD23" s="1"/>
    </row>
    <row r="24" spans="1:30" ht="21.9" customHeight="1">
      <c r="A24" s="378"/>
      <c r="B24" s="379"/>
      <c r="C24" s="379"/>
      <c r="D24" s="380" t="s">
        <v>23</v>
      </c>
      <c r="E24" s="379"/>
      <c r="F24" s="379"/>
      <c r="G24" s="379"/>
      <c r="H24" s="334">
        <v>18</v>
      </c>
      <c r="I24" s="321"/>
      <c r="J24" s="1"/>
      <c r="K24" s="1"/>
      <c r="L24" s="1"/>
      <c r="M24" s="1"/>
      <c r="N24" s="1"/>
      <c r="O24" s="1"/>
      <c r="P24" s="1"/>
      <c r="Q24" s="1"/>
      <c r="R24" s="1"/>
      <c r="S24" s="1"/>
      <c r="T24" s="1"/>
      <c r="U24" s="1"/>
      <c r="V24" s="1"/>
      <c r="W24" s="1"/>
      <c r="X24" s="1"/>
      <c r="Y24" s="1"/>
      <c r="Z24" s="1"/>
      <c r="AA24" s="1"/>
      <c r="AB24" s="1"/>
      <c r="AC24" s="1"/>
      <c r="AD24" s="1"/>
    </row>
  </sheetData>
  <phoneticPr fontId="48"/>
  <printOptions horizontalCentered="1" verticalCentered="1"/>
  <pageMargins left="0.31496062992125984" right="0.31496062992125984" top="0.59055118110236227" bottom="0.59055118110236227" header="0.51181102362204722" footer="0.51181102362204722"/>
  <pageSetup paperSize="9" orientation="landscape" horizontalDpi="4294967294"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6125F-2595-4A3C-846C-9487DFC97A95}">
  <sheetPr>
    <tabColor theme="9"/>
  </sheetPr>
  <dimension ref="A1:T532"/>
  <sheetViews>
    <sheetView showZeros="0" view="pageBreakPreview" zoomScale="120" zoomScaleNormal="100" zoomScaleSheetLayoutView="120" workbookViewId="0">
      <selection activeCell="B23" sqref="B23:G23"/>
    </sheetView>
  </sheetViews>
  <sheetFormatPr defaultColWidth="9" defaultRowHeight="13.2"/>
  <cols>
    <col min="1" max="1" width="5.88671875" style="15" customWidth="1"/>
    <col min="2" max="2" width="28.6640625" style="15" customWidth="1"/>
    <col min="3" max="3" width="25.88671875" style="15" customWidth="1"/>
    <col min="4" max="4" width="9.6640625" style="16" customWidth="1"/>
    <col min="5" max="5" width="5.6640625" style="17" customWidth="1"/>
    <col min="6" max="6" width="11.6640625" style="15" customWidth="1"/>
    <col min="7" max="7" width="15.88671875" style="15" customWidth="1"/>
    <col min="8" max="8" width="26.88671875" style="15" customWidth="1"/>
    <col min="9" max="16384" width="9" style="15"/>
  </cols>
  <sheetData>
    <row r="1" spans="1:20" ht="21.9" customHeight="1">
      <c r="A1" s="287"/>
      <c r="B1" s="288"/>
      <c r="C1" s="12"/>
      <c r="D1" s="289"/>
      <c r="E1" s="287"/>
      <c r="F1" s="290"/>
      <c r="G1" s="52"/>
      <c r="H1" s="290"/>
      <c r="I1" s="292"/>
      <c r="J1" s="292"/>
      <c r="K1" s="292"/>
      <c r="L1" s="292"/>
      <c r="M1" s="292"/>
      <c r="N1" s="292"/>
      <c r="O1" s="292"/>
      <c r="P1" s="292"/>
      <c r="Q1" s="292"/>
      <c r="R1" s="292"/>
      <c r="S1" s="292"/>
      <c r="T1" s="292"/>
    </row>
    <row r="2" spans="1:20" ht="21.9" customHeight="1">
      <c r="A2" s="293"/>
      <c r="B2" s="294" t="s">
        <v>0</v>
      </c>
      <c r="C2" s="53" t="s">
        <v>1</v>
      </c>
      <c r="D2" s="296" t="s">
        <v>5</v>
      </c>
      <c r="E2" s="297" t="s">
        <v>6</v>
      </c>
      <c r="F2" s="298" t="s">
        <v>20</v>
      </c>
      <c r="G2" s="54" t="s">
        <v>21</v>
      </c>
      <c r="H2" s="298" t="s">
        <v>3</v>
      </c>
      <c r="I2" s="292"/>
      <c r="J2" s="292"/>
      <c r="K2" s="292"/>
      <c r="L2" s="292"/>
      <c r="M2" s="292"/>
      <c r="N2" s="292"/>
      <c r="O2" s="292"/>
      <c r="P2" s="292"/>
      <c r="Q2" s="292"/>
      <c r="R2" s="292"/>
      <c r="S2" s="292"/>
      <c r="T2" s="292"/>
    </row>
    <row r="3" spans="1:20" ht="21.9" customHeight="1">
      <c r="A3" s="642" t="s">
        <v>593</v>
      </c>
      <c r="B3" s="641" t="s">
        <v>559</v>
      </c>
      <c r="C3" s="34"/>
      <c r="D3" s="335"/>
      <c r="E3" s="336"/>
      <c r="F3" s="337"/>
      <c r="G3" s="35"/>
      <c r="H3" s="337"/>
      <c r="I3" s="292"/>
      <c r="J3" s="292"/>
      <c r="K3" s="292"/>
      <c r="L3" s="292"/>
      <c r="M3" s="292"/>
      <c r="N3" s="292"/>
      <c r="O3" s="292"/>
      <c r="P3" s="292"/>
      <c r="Q3" s="292"/>
      <c r="R3" s="292"/>
      <c r="S3" s="292"/>
      <c r="T3" s="292"/>
    </row>
    <row r="4" spans="1:20" ht="21.9" customHeight="1">
      <c r="A4" s="300"/>
      <c r="B4" s="381" t="s">
        <v>595</v>
      </c>
      <c r="C4" s="53"/>
      <c r="D4" s="414">
        <v>1</v>
      </c>
      <c r="E4" s="297" t="s">
        <v>15</v>
      </c>
      <c r="F4" s="643">
        <v>2012774</v>
      </c>
      <c r="G4" s="644">
        <v>2012774</v>
      </c>
      <c r="H4" s="298"/>
      <c r="I4" s="292"/>
      <c r="J4" s="292"/>
      <c r="K4" s="292"/>
      <c r="L4" s="292"/>
      <c r="M4" s="292"/>
      <c r="N4" s="292"/>
      <c r="O4" s="292"/>
      <c r="P4" s="292"/>
      <c r="Q4" s="292"/>
      <c r="R4" s="292"/>
      <c r="S4" s="292"/>
      <c r="T4" s="292"/>
    </row>
    <row r="5" spans="1:20" ht="21.9" customHeight="1">
      <c r="A5" s="300"/>
      <c r="B5" s="382" t="s">
        <v>596</v>
      </c>
      <c r="C5" s="383"/>
      <c r="D5" s="384">
        <v>1</v>
      </c>
      <c r="E5" s="39" t="s">
        <v>15</v>
      </c>
      <c r="F5" s="40">
        <v>817981</v>
      </c>
      <c r="G5" s="42">
        <v>817981</v>
      </c>
      <c r="H5" s="338"/>
      <c r="I5" s="292"/>
      <c r="J5" s="292"/>
      <c r="K5" s="292"/>
      <c r="L5" s="292"/>
      <c r="M5" s="292"/>
      <c r="N5" s="292"/>
      <c r="O5" s="292"/>
      <c r="P5" s="292"/>
      <c r="Q5" s="292"/>
      <c r="R5" s="292"/>
      <c r="S5" s="292"/>
      <c r="T5" s="292"/>
    </row>
    <row r="6" spans="1:20" ht="21.9" customHeight="1">
      <c r="A6" s="300"/>
      <c r="B6" s="382" t="s">
        <v>597</v>
      </c>
      <c r="C6" s="383"/>
      <c r="D6" s="384">
        <v>1</v>
      </c>
      <c r="E6" s="39" t="s">
        <v>15</v>
      </c>
      <c r="F6" s="40">
        <v>5035394</v>
      </c>
      <c r="G6" s="42">
        <v>5035394</v>
      </c>
      <c r="H6" s="338"/>
      <c r="I6" s="292"/>
      <c r="J6" s="292"/>
      <c r="K6" s="292"/>
      <c r="L6" s="292"/>
      <c r="M6" s="292"/>
      <c r="N6" s="292"/>
      <c r="O6" s="292"/>
      <c r="P6" s="292"/>
      <c r="Q6" s="292"/>
      <c r="R6" s="292"/>
      <c r="S6" s="292"/>
      <c r="T6" s="292"/>
    </row>
    <row r="7" spans="1:20" ht="21.9" customHeight="1">
      <c r="A7" s="300"/>
      <c r="B7" s="382"/>
      <c r="C7" s="383"/>
      <c r="D7" s="384"/>
      <c r="E7" s="39"/>
      <c r="F7" s="40"/>
      <c r="G7" s="42"/>
      <c r="H7" s="338"/>
      <c r="I7" s="292"/>
      <c r="J7" s="292"/>
      <c r="K7" s="292"/>
      <c r="L7" s="292"/>
      <c r="M7" s="292"/>
      <c r="N7" s="292"/>
      <c r="O7" s="292"/>
      <c r="P7" s="292"/>
      <c r="Q7" s="292"/>
      <c r="R7" s="292"/>
      <c r="S7" s="292"/>
      <c r="T7" s="308"/>
    </row>
    <row r="8" spans="1:20" ht="21.9" customHeight="1">
      <c r="A8" s="326"/>
      <c r="B8" s="382"/>
      <c r="C8" s="383"/>
      <c r="D8" s="384"/>
      <c r="E8" s="39"/>
      <c r="F8" s="40"/>
      <c r="G8" s="42"/>
      <c r="H8" s="338"/>
      <c r="I8" s="292"/>
      <c r="J8" s="292"/>
      <c r="K8" s="292"/>
      <c r="L8" s="292"/>
      <c r="M8" s="292"/>
      <c r="N8" s="292"/>
      <c r="O8" s="292"/>
      <c r="P8" s="292"/>
      <c r="Q8" s="292"/>
      <c r="R8" s="292"/>
      <c r="S8" s="292"/>
      <c r="T8" s="292"/>
    </row>
    <row r="9" spans="1:20" ht="21.9" customHeight="1">
      <c r="A9" s="339"/>
      <c r="B9" s="385"/>
      <c r="C9" s="386"/>
      <c r="D9" s="384"/>
      <c r="E9" s="387"/>
      <c r="F9" s="388"/>
      <c r="G9" s="42"/>
      <c r="H9" s="338"/>
      <c r="I9" s="292"/>
      <c r="J9" s="292"/>
      <c r="K9" s="292"/>
      <c r="L9" s="292"/>
      <c r="M9" s="292"/>
      <c r="N9" s="292"/>
      <c r="O9" s="292"/>
      <c r="P9" s="292"/>
      <c r="Q9" s="292"/>
      <c r="R9" s="292"/>
      <c r="S9" s="292"/>
      <c r="T9" s="292"/>
    </row>
    <row r="10" spans="1:20" ht="21.9" customHeight="1">
      <c r="A10" s="302"/>
      <c r="B10" s="36"/>
      <c r="C10" s="383"/>
      <c r="D10" s="384"/>
      <c r="E10" s="387"/>
      <c r="F10" s="388"/>
      <c r="G10" s="42"/>
      <c r="H10" s="338"/>
      <c r="I10" s="292"/>
      <c r="J10" s="292"/>
      <c r="K10" s="292"/>
      <c r="L10" s="292"/>
      <c r="M10" s="292"/>
      <c r="N10" s="292"/>
      <c r="O10" s="292"/>
      <c r="P10" s="292"/>
      <c r="Q10" s="292"/>
      <c r="R10" s="292"/>
      <c r="S10" s="292"/>
      <c r="T10" s="292"/>
    </row>
    <row r="11" spans="1:20" ht="21.9" customHeight="1">
      <c r="A11" s="302"/>
      <c r="B11" s="389"/>
      <c r="C11" s="383"/>
      <c r="D11" s="384"/>
      <c r="E11" s="387"/>
      <c r="F11" s="388"/>
      <c r="G11" s="42"/>
      <c r="H11" s="338"/>
      <c r="I11" s="292"/>
      <c r="J11" s="292"/>
      <c r="K11" s="292"/>
      <c r="L11" s="292"/>
      <c r="M11" s="292"/>
      <c r="N11" s="292"/>
      <c r="O11" s="292"/>
      <c r="P11" s="292"/>
      <c r="Q11" s="292"/>
      <c r="R11" s="292"/>
      <c r="S11" s="292"/>
      <c r="T11" s="292"/>
    </row>
    <row r="12" spans="1:20" ht="21.9" customHeight="1">
      <c r="A12" s="302"/>
      <c r="B12" s="389"/>
      <c r="C12" s="383"/>
      <c r="D12" s="384"/>
      <c r="E12" s="387"/>
      <c r="F12" s="388"/>
      <c r="G12" s="42"/>
      <c r="H12" s="338"/>
      <c r="I12" s="292"/>
      <c r="J12" s="292"/>
      <c r="K12" s="292"/>
      <c r="L12" s="292"/>
      <c r="M12" s="292"/>
      <c r="N12" s="292"/>
      <c r="O12" s="292"/>
      <c r="P12" s="292"/>
      <c r="Q12" s="292"/>
      <c r="R12" s="292"/>
      <c r="S12" s="292"/>
      <c r="T12" s="292"/>
    </row>
    <row r="13" spans="1:20" ht="21.9" customHeight="1">
      <c r="A13" s="302"/>
      <c r="B13" s="389"/>
      <c r="C13" s="383"/>
      <c r="D13" s="384"/>
      <c r="E13" s="387"/>
      <c r="F13" s="388"/>
      <c r="G13" s="42"/>
      <c r="H13" s="338"/>
      <c r="I13" s="292"/>
      <c r="J13" s="292"/>
      <c r="K13" s="292"/>
      <c r="L13" s="292"/>
      <c r="M13" s="292"/>
      <c r="N13" s="292"/>
      <c r="O13" s="292"/>
      <c r="P13" s="292"/>
      <c r="Q13" s="292"/>
      <c r="R13" s="292"/>
      <c r="S13" s="292"/>
      <c r="T13" s="292"/>
    </row>
    <row r="14" spans="1:20" ht="21.9" customHeight="1">
      <c r="A14" s="302"/>
      <c r="B14" s="389"/>
      <c r="C14" s="383"/>
      <c r="D14" s="384"/>
      <c r="E14" s="387"/>
      <c r="F14" s="388"/>
      <c r="G14" s="42"/>
      <c r="H14" s="338"/>
      <c r="I14" s="292"/>
      <c r="J14" s="292"/>
      <c r="K14" s="292"/>
      <c r="L14" s="292"/>
      <c r="M14" s="292"/>
      <c r="N14" s="292"/>
      <c r="O14" s="292"/>
      <c r="P14" s="292"/>
      <c r="Q14" s="292"/>
      <c r="R14" s="292"/>
      <c r="S14" s="292"/>
      <c r="T14" s="292"/>
    </row>
    <row r="15" spans="1:20" ht="21.9" customHeight="1">
      <c r="A15" s="302"/>
      <c r="B15" s="389"/>
      <c r="C15" s="383"/>
      <c r="D15" s="384"/>
      <c r="E15" s="387"/>
      <c r="F15" s="388"/>
      <c r="G15" s="42"/>
      <c r="H15" s="338"/>
      <c r="I15" s="292"/>
      <c r="J15" s="292"/>
      <c r="K15" s="292"/>
      <c r="L15" s="292"/>
      <c r="M15" s="292"/>
      <c r="N15" s="292"/>
      <c r="O15" s="292"/>
      <c r="P15" s="292"/>
      <c r="Q15" s="292"/>
      <c r="R15" s="292"/>
      <c r="S15" s="292"/>
      <c r="T15" s="292"/>
    </row>
    <row r="16" spans="1:20" ht="21.9" customHeight="1">
      <c r="A16" s="302"/>
      <c r="B16" s="389"/>
      <c r="C16" s="383"/>
      <c r="D16" s="384"/>
      <c r="E16" s="387"/>
      <c r="F16" s="388"/>
      <c r="G16" s="42"/>
      <c r="H16" s="338"/>
      <c r="I16" s="292"/>
      <c r="J16" s="292"/>
      <c r="K16" s="292"/>
      <c r="L16" s="292"/>
      <c r="M16" s="292"/>
      <c r="N16" s="292"/>
      <c r="O16" s="292"/>
      <c r="P16" s="292"/>
      <c r="Q16" s="292"/>
      <c r="R16" s="292"/>
      <c r="S16" s="292"/>
      <c r="T16" s="292"/>
    </row>
    <row r="17" spans="1:20" ht="21.9" customHeight="1">
      <c r="A17" s="302"/>
      <c r="B17" s="389"/>
      <c r="C17" s="383"/>
      <c r="D17" s="384"/>
      <c r="E17" s="387"/>
      <c r="F17" s="388"/>
      <c r="G17" s="42"/>
      <c r="H17" s="338"/>
      <c r="I17" s="292"/>
      <c r="J17" s="292"/>
      <c r="K17" s="292"/>
      <c r="L17" s="292"/>
      <c r="M17" s="292"/>
      <c r="N17" s="292"/>
      <c r="O17" s="292"/>
      <c r="P17" s="292"/>
      <c r="Q17" s="292"/>
      <c r="R17" s="292"/>
      <c r="S17" s="292"/>
      <c r="T17" s="292"/>
    </row>
    <row r="18" spans="1:20" ht="21.9" customHeight="1">
      <c r="A18" s="302"/>
      <c r="B18" s="36"/>
      <c r="C18" s="383"/>
      <c r="D18" s="384"/>
      <c r="E18" s="39"/>
      <c r="F18" s="388"/>
      <c r="G18" s="42"/>
      <c r="H18" s="338"/>
      <c r="I18" s="292"/>
      <c r="J18" s="292"/>
      <c r="K18" s="292"/>
      <c r="L18" s="292"/>
      <c r="M18" s="292"/>
      <c r="N18" s="292"/>
      <c r="O18" s="292"/>
      <c r="P18" s="292"/>
      <c r="Q18" s="292"/>
      <c r="R18" s="292"/>
      <c r="S18" s="292"/>
      <c r="T18" s="292"/>
    </row>
    <row r="19" spans="1:20" ht="21.9" customHeight="1">
      <c r="A19" s="302"/>
      <c r="B19" s="36"/>
      <c r="C19" s="383"/>
      <c r="D19" s="384"/>
      <c r="E19" s="39"/>
      <c r="F19" s="40"/>
      <c r="G19" s="42"/>
      <c r="H19" s="338"/>
      <c r="I19" s="292"/>
      <c r="J19" s="292"/>
      <c r="K19" s="292"/>
      <c r="L19" s="292"/>
      <c r="M19" s="292"/>
      <c r="N19" s="292"/>
      <c r="O19" s="292"/>
      <c r="P19" s="292"/>
      <c r="Q19" s="292"/>
      <c r="R19" s="292"/>
      <c r="S19" s="292"/>
      <c r="T19" s="292"/>
    </row>
    <row r="20" spans="1:20" ht="21.9" customHeight="1">
      <c r="A20" s="302"/>
      <c r="B20" s="36"/>
      <c r="C20" s="383"/>
      <c r="D20" s="384"/>
      <c r="E20" s="39"/>
      <c r="F20" s="40"/>
      <c r="G20" s="42"/>
      <c r="H20" s="37"/>
      <c r="I20" s="292"/>
      <c r="J20" s="292"/>
      <c r="K20" s="292"/>
      <c r="L20" s="292"/>
      <c r="M20" s="292"/>
      <c r="N20" s="292"/>
      <c r="O20" s="292"/>
      <c r="P20" s="292"/>
      <c r="Q20" s="292"/>
      <c r="R20" s="292"/>
      <c r="S20" s="292"/>
      <c r="T20" s="292"/>
    </row>
    <row r="21" spans="1:20" ht="21.9" customHeight="1">
      <c r="A21" s="302"/>
      <c r="B21" s="36"/>
      <c r="C21" s="383"/>
      <c r="D21" s="384"/>
      <c r="E21" s="39"/>
      <c r="F21" s="40"/>
      <c r="G21" s="42"/>
      <c r="H21" s="37"/>
      <c r="I21" s="292"/>
      <c r="J21" s="292"/>
      <c r="K21" s="292"/>
      <c r="L21" s="292"/>
      <c r="M21" s="292"/>
      <c r="N21" s="292"/>
      <c r="O21" s="292"/>
      <c r="P21" s="292"/>
      <c r="Q21" s="292"/>
      <c r="R21" s="292"/>
      <c r="S21" s="292"/>
      <c r="T21" s="292"/>
    </row>
    <row r="22" spans="1:20" ht="21.9" customHeight="1">
      <c r="A22" s="302"/>
      <c r="B22" s="36"/>
      <c r="C22" s="383"/>
      <c r="D22" s="38"/>
      <c r="E22" s="39"/>
      <c r="F22" s="40"/>
      <c r="G22" s="42"/>
      <c r="H22" s="37"/>
      <c r="I22" s="292"/>
      <c r="J22" s="292"/>
      <c r="K22" s="292"/>
      <c r="L22" s="292"/>
      <c r="M22" s="292"/>
      <c r="N22" s="292"/>
      <c r="O22" s="292"/>
      <c r="P22" s="292"/>
      <c r="Q22" s="292"/>
      <c r="R22" s="292"/>
      <c r="S22" s="292"/>
      <c r="T22" s="292"/>
    </row>
    <row r="23" spans="1:20" ht="21.9" customHeight="1">
      <c r="A23" s="302"/>
      <c r="B23" s="36" t="s">
        <v>903</v>
      </c>
      <c r="C23" s="383"/>
      <c r="D23" s="38"/>
      <c r="E23" s="39"/>
      <c r="F23" s="40"/>
      <c r="G23" s="42">
        <f>SUM(G4:G21)</f>
        <v>7866149</v>
      </c>
      <c r="H23" s="37"/>
      <c r="I23" s="292"/>
      <c r="J23" s="292"/>
      <c r="K23" s="292"/>
      <c r="L23" s="292"/>
      <c r="M23" s="292"/>
      <c r="N23" s="292"/>
      <c r="O23" s="292"/>
      <c r="P23" s="292"/>
      <c r="Q23" s="292"/>
      <c r="R23" s="292"/>
      <c r="S23" s="292"/>
      <c r="T23" s="292"/>
    </row>
    <row r="24" spans="1:20" ht="21.9" customHeight="1">
      <c r="A24" s="302"/>
      <c r="B24" s="36"/>
      <c r="C24" s="383"/>
      <c r="D24" s="38"/>
      <c r="E24" s="39"/>
      <c r="F24" s="40"/>
      <c r="G24" s="42"/>
      <c r="H24" s="37"/>
      <c r="I24" s="292"/>
      <c r="J24" s="292"/>
      <c r="K24" s="292"/>
      <c r="L24" s="292"/>
      <c r="M24" s="292"/>
      <c r="N24" s="292"/>
      <c r="O24" s="292"/>
      <c r="P24" s="292"/>
      <c r="Q24" s="292"/>
      <c r="R24" s="292"/>
      <c r="S24" s="292"/>
      <c r="T24" s="292"/>
    </row>
    <row r="25" spans="1:20" ht="21.9" customHeight="1">
      <c r="A25" s="13"/>
      <c r="B25" s="309"/>
      <c r="C25" s="309"/>
      <c r="D25" s="14" t="s">
        <v>23</v>
      </c>
      <c r="E25" s="309"/>
      <c r="F25" s="309"/>
      <c r="G25" s="309"/>
      <c r="H25" s="310">
        <f>+'Ｃ付帯－計'!H24+1</f>
        <v>19</v>
      </c>
      <c r="I25" s="292"/>
      <c r="J25" s="292"/>
      <c r="K25" s="292"/>
      <c r="L25" s="292"/>
      <c r="M25" s="292"/>
      <c r="N25" s="292"/>
      <c r="O25" s="292"/>
      <c r="P25" s="292"/>
      <c r="Q25" s="292"/>
      <c r="R25" s="292"/>
      <c r="S25" s="292"/>
      <c r="T25" s="292"/>
    </row>
    <row r="26" spans="1:20" ht="21.9" customHeight="1">
      <c r="A26" s="287"/>
      <c r="B26" s="288"/>
      <c r="C26" s="12"/>
      <c r="D26" s="289"/>
      <c r="E26" s="287"/>
      <c r="F26" s="290"/>
      <c r="G26" s="52"/>
      <c r="H26" s="290"/>
      <c r="I26" s="292"/>
      <c r="J26" s="292"/>
      <c r="K26" s="292"/>
      <c r="L26" s="292"/>
      <c r="M26" s="292"/>
      <c r="N26" s="292"/>
      <c r="O26" s="292"/>
      <c r="P26" s="292"/>
      <c r="Q26" s="292"/>
      <c r="R26" s="292"/>
      <c r="S26" s="292"/>
      <c r="T26" s="292"/>
    </row>
    <row r="27" spans="1:20" ht="21.9" customHeight="1">
      <c r="A27" s="293"/>
      <c r="B27" s="294" t="s">
        <v>0</v>
      </c>
      <c r="C27" s="53" t="s">
        <v>1</v>
      </c>
      <c r="D27" s="296" t="s">
        <v>5</v>
      </c>
      <c r="E27" s="297" t="s">
        <v>6</v>
      </c>
      <c r="F27" s="298" t="s">
        <v>20</v>
      </c>
      <c r="G27" s="54" t="s">
        <v>21</v>
      </c>
      <c r="H27" s="298" t="s">
        <v>3</v>
      </c>
      <c r="I27" s="292"/>
      <c r="J27" s="292"/>
      <c r="K27" s="292"/>
      <c r="L27" s="292"/>
      <c r="M27" s="292"/>
      <c r="N27" s="292"/>
      <c r="O27" s="292"/>
      <c r="P27" s="292"/>
      <c r="Q27" s="292"/>
      <c r="R27" s="292"/>
      <c r="S27" s="292"/>
      <c r="T27" s="292"/>
    </row>
    <row r="28" spans="1:20" ht="21.9" customHeight="1">
      <c r="A28" s="300" t="s">
        <v>598</v>
      </c>
      <c r="B28" s="36" t="s">
        <v>599</v>
      </c>
      <c r="C28" s="383"/>
      <c r="D28" s="38"/>
      <c r="E28" s="39"/>
      <c r="F28" s="40"/>
      <c r="G28" s="42"/>
      <c r="H28" s="37"/>
      <c r="I28" s="292"/>
      <c r="J28" s="292"/>
      <c r="K28" s="292"/>
      <c r="L28" s="292"/>
      <c r="M28" s="292"/>
      <c r="N28" s="292"/>
      <c r="O28" s="292"/>
      <c r="P28" s="292"/>
      <c r="Q28" s="292"/>
      <c r="R28" s="292"/>
      <c r="S28" s="292"/>
      <c r="T28" s="308"/>
    </row>
    <row r="29" spans="1:20" ht="21.9" customHeight="1">
      <c r="A29" s="302"/>
      <c r="B29" s="36" t="s">
        <v>600</v>
      </c>
      <c r="C29" s="383" t="s">
        <v>601</v>
      </c>
      <c r="D29" s="38">
        <v>34.4</v>
      </c>
      <c r="E29" s="39" t="s">
        <v>602</v>
      </c>
      <c r="F29" s="40">
        <v>230</v>
      </c>
      <c r="G29" s="42">
        <f>D29*F29</f>
        <v>7912</v>
      </c>
      <c r="H29" s="37"/>
      <c r="I29" s="292"/>
      <c r="J29" s="292"/>
      <c r="K29" s="292"/>
      <c r="L29" s="292"/>
      <c r="M29" s="292"/>
      <c r="N29" s="292"/>
      <c r="O29" s="292"/>
      <c r="P29" s="292"/>
      <c r="Q29" s="292"/>
      <c r="R29" s="292"/>
      <c r="S29" s="292"/>
      <c r="T29" s="292"/>
    </row>
    <row r="30" spans="1:20" ht="21.9" customHeight="1">
      <c r="A30" s="302"/>
      <c r="B30" s="36" t="s">
        <v>603</v>
      </c>
      <c r="C30" s="383" t="s">
        <v>604</v>
      </c>
      <c r="D30" s="38">
        <v>34.4</v>
      </c>
      <c r="E30" s="39" t="s">
        <v>602</v>
      </c>
      <c r="F30" s="40">
        <v>450</v>
      </c>
      <c r="G30" s="42">
        <f t="shared" ref="G30:G38" si="0">D30*F30</f>
        <v>15480</v>
      </c>
      <c r="H30" s="37"/>
      <c r="I30" s="292"/>
      <c r="J30" s="292"/>
      <c r="K30" s="292"/>
      <c r="L30" s="292"/>
      <c r="M30" s="292"/>
      <c r="N30" s="292"/>
      <c r="O30" s="292"/>
      <c r="P30" s="292"/>
      <c r="Q30" s="292"/>
      <c r="R30" s="292"/>
      <c r="S30" s="292"/>
      <c r="T30" s="292"/>
    </row>
    <row r="31" spans="1:20" ht="21.9" customHeight="1">
      <c r="A31" s="302"/>
      <c r="B31" s="36" t="s">
        <v>605</v>
      </c>
      <c r="C31" s="383" t="s">
        <v>604</v>
      </c>
      <c r="D31" s="38">
        <v>34.4</v>
      </c>
      <c r="E31" s="39" t="s">
        <v>606</v>
      </c>
      <c r="F31" s="393">
        <v>310</v>
      </c>
      <c r="G31" s="42">
        <f t="shared" si="0"/>
        <v>10664</v>
      </c>
      <c r="H31" s="37"/>
      <c r="I31" s="292"/>
      <c r="J31" s="292"/>
      <c r="K31" s="292"/>
      <c r="L31" s="292"/>
      <c r="M31" s="292"/>
      <c r="N31" s="292"/>
      <c r="O31" s="292"/>
      <c r="P31" s="292"/>
      <c r="Q31" s="292"/>
      <c r="R31" s="292"/>
      <c r="S31" s="292"/>
      <c r="T31" s="292"/>
    </row>
    <row r="32" spans="1:20" ht="21.9" customHeight="1">
      <c r="A32" s="302"/>
      <c r="B32" s="36" t="s">
        <v>607</v>
      </c>
      <c r="C32" s="383" t="s">
        <v>608</v>
      </c>
      <c r="D32" s="38">
        <v>993</v>
      </c>
      <c r="E32" s="39" t="s">
        <v>602</v>
      </c>
      <c r="F32" s="40">
        <v>210</v>
      </c>
      <c r="G32" s="42">
        <f t="shared" si="0"/>
        <v>208530</v>
      </c>
      <c r="H32" s="37"/>
      <c r="I32" s="292"/>
      <c r="J32" s="292"/>
      <c r="K32" s="292"/>
      <c r="L32" s="292"/>
      <c r="M32" s="292"/>
      <c r="N32" s="292"/>
      <c r="O32" s="292"/>
      <c r="P32" s="292"/>
      <c r="Q32" s="292"/>
      <c r="R32" s="292"/>
      <c r="S32" s="292"/>
      <c r="T32" s="292"/>
    </row>
    <row r="33" spans="1:20" ht="21.9" customHeight="1">
      <c r="A33" s="302"/>
      <c r="B33" s="36" t="s">
        <v>609</v>
      </c>
      <c r="C33" s="383" t="s">
        <v>604</v>
      </c>
      <c r="D33" s="38">
        <v>34.4</v>
      </c>
      <c r="E33" s="39" t="s">
        <v>602</v>
      </c>
      <c r="F33" s="40">
        <v>780</v>
      </c>
      <c r="G33" s="42">
        <f t="shared" si="0"/>
        <v>26832</v>
      </c>
      <c r="H33" s="37"/>
      <c r="I33" s="292"/>
      <c r="J33" s="292"/>
      <c r="K33" s="292"/>
      <c r="L33" s="292"/>
      <c r="M33" s="292"/>
      <c r="N33" s="292"/>
      <c r="O33" s="292"/>
      <c r="P33" s="292"/>
      <c r="Q33" s="292"/>
      <c r="R33" s="292"/>
      <c r="S33" s="292"/>
      <c r="T33" s="292"/>
    </row>
    <row r="34" spans="1:20" ht="21.9" customHeight="1">
      <c r="A34" s="302"/>
      <c r="B34" s="36" t="s">
        <v>609</v>
      </c>
      <c r="C34" s="383" t="s">
        <v>608</v>
      </c>
      <c r="D34" s="38">
        <v>993</v>
      </c>
      <c r="E34" s="39" t="s">
        <v>602</v>
      </c>
      <c r="F34" s="393">
        <v>780</v>
      </c>
      <c r="G34" s="42">
        <f t="shared" si="0"/>
        <v>774540</v>
      </c>
      <c r="H34" s="37"/>
      <c r="I34" s="292"/>
      <c r="J34" s="292"/>
      <c r="K34" s="292"/>
      <c r="L34" s="292"/>
      <c r="M34" s="292"/>
      <c r="N34" s="292"/>
      <c r="O34" s="292"/>
      <c r="P34" s="292"/>
      <c r="Q34" s="292"/>
      <c r="R34" s="292"/>
      <c r="S34" s="292"/>
      <c r="T34" s="292"/>
    </row>
    <row r="35" spans="1:20" ht="21.9" customHeight="1">
      <c r="A35" s="302"/>
      <c r="B35" s="36" t="s">
        <v>610</v>
      </c>
      <c r="C35" s="383" t="s">
        <v>604</v>
      </c>
      <c r="D35" s="38">
        <v>34.4</v>
      </c>
      <c r="E35" s="39" t="s">
        <v>602</v>
      </c>
      <c r="F35" s="40">
        <v>440</v>
      </c>
      <c r="G35" s="42">
        <f t="shared" si="0"/>
        <v>15136</v>
      </c>
      <c r="H35" s="37"/>
      <c r="I35" s="292"/>
      <c r="J35" s="292"/>
      <c r="K35" s="292"/>
      <c r="L35" s="292"/>
      <c r="M35" s="292"/>
      <c r="N35" s="292"/>
      <c r="O35" s="292"/>
      <c r="P35" s="292"/>
      <c r="Q35" s="292"/>
      <c r="R35" s="292"/>
      <c r="S35" s="292"/>
      <c r="T35" s="292"/>
    </row>
    <row r="36" spans="1:20" ht="21.9" customHeight="1">
      <c r="A36" s="302"/>
      <c r="B36" s="36" t="s">
        <v>611</v>
      </c>
      <c r="C36" s="383" t="s">
        <v>612</v>
      </c>
      <c r="D36" s="38">
        <v>373</v>
      </c>
      <c r="E36" s="39" t="s">
        <v>602</v>
      </c>
      <c r="F36" s="40">
        <v>1780</v>
      </c>
      <c r="G36" s="42">
        <f t="shared" si="0"/>
        <v>663940</v>
      </c>
      <c r="H36" s="37"/>
      <c r="I36" s="292"/>
      <c r="J36" s="292"/>
      <c r="K36" s="292"/>
      <c r="L36" s="292"/>
      <c r="M36" s="292"/>
      <c r="N36" s="292"/>
      <c r="O36" s="292"/>
      <c r="P36" s="292"/>
      <c r="Q36" s="292"/>
      <c r="R36" s="292"/>
      <c r="S36" s="292"/>
      <c r="T36" s="292"/>
    </row>
    <row r="37" spans="1:20" ht="21.9" customHeight="1">
      <c r="A37" s="302"/>
      <c r="B37" s="36" t="s">
        <v>613</v>
      </c>
      <c r="C37" s="383"/>
      <c r="D37" s="38">
        <v>373</v>
      </c>
      <c r="E37" s="39" t="s">
        <v>602</v>
      </c>
      <c r="F37" s="40">
        <v>540</v>
      </c>
      <c r="G37" s="42">
        <f t="shared" si="0"/>
        <v>201420</v>
      </c>
      <c r="H37" s="37"/>
      <c r="I37" s="292"/>
      <c r="J37" s="292"/>
      <c r="K37" s="292"/>
      <c r="L37" s="292"/>
      <c r="M37" s="292"/>
      <c r="N37" s="292"/>
      <c r="O37" s="292"/>
      <c r="P37" s="292"/>
      <c r="Q37" s="292"/>
      <c r="R37" s="292"/>
      <c r="S37" s="292"/>
      <c r="T37" s="292"/>
    </row>
    <row r="38" spans="1:20" ht="21.9" customHeight="1">
      <c r="A38" s="302"/>
      <c r="B38" s="36" t="s">
        <v>614</v>
      </c>
      <c r="C38" s="383" t="s">
        <v>615</v>
      </c>
      <c r="D38" s="38">
        <v>192</v>
      </c>
      <c r="E38" s="39" t="s">
        <v>602</v>
      </c>
      <c r="F38" s="40">
        <v>460</v>
      </c>
      <c r="G38" s="42">
        <f t="shared" si="0"/>
        <v>88320</v>
      </c>
      <c r="H38" s="37"/>
      <c r="I38" s="292"/>
      <c r="J38" s="292"/>
      <c r="K38" s="292"/>
      <c r="L38" s="292"/>
      <c r="M38" s="292"/>
      <c r="N38" s="292"/>
      <c r="O38" s="292"/>
      <c r="P38" s="292"/>
      <c r="Q38" s="292"/>
      <c r="R38" s="292"/>
      <c r="S38" s="292"/>
      <c r="T38" s="292"/>
    </row>
    <row r="39" spans="1:20" ht="21.9" customHeight="1">
      <c r="A39" s="302"/>
      <c r="B39" s="36"/>
      <c r="C39" s="383"/>
      <c r="D39" s="38"/>
      <c r="E39" s="39"/>
      <c r="F39" s="40"/>
      <c r="G39" s="42"/>
      <c r="H39" s="37"/>
      <c r="I39" s="292"/>
      <c r="J39" s="292"/>
      <c r="K39" s="292"/>
      <c r="L39" s="292"/>
      <c r="M39" s="292"/>
      <c r="N39" s="292"/>
      <c r="O39" s="292"/>
      <c r="P39" s="292"/>
      <c r="Q39" s="292"/>
      <c r="R39" s="292"/>
      <c r="S39" s="292"/>
      <c r="T39" s="292"/>
    </row>
    <row r="40" spans="1:20" ht="21.9" customHeight="1">
      <c r="A40" s="302"/>
      <c r="B40" s="36"/>
      <c r="C40" s="383"/>
      <c r="D40" s="38"/>
      <c r="E40" s="39"/>
      <c r="F40" s="40"/>
      <c r="G40" s="42"/>
      <c r="H40" s="37"/>
      <c r="I40" s="292"/>
      <c r="J40" s="292"/>
      <c r="K40" s="292"/>
      <c r="L40" s="292"/>
      <c r="M40" s="292"/>
      <c r="N40" s="292"/>
      <c r="O40" s="292"/>
      <c r="P40" s="292"/>
      <c r="Q40" s="292"/>
      <c r="R40" s="292"/>
      <c r="S40" s="292"/>
      <c r="T40" s="292"/>
    </row>
    <row r="41" spans="1:20" ht="21.9" customHeight="1">
      <c r="A41" s="302"/>
      <c r="B41" s="36"/>
      <c r="C41" s="390"/>
      <c r="D41" s="38"/>
      <c r="E41" s="39"/>
      <c r="F41" s="40"/>
      <c r="G41" s="42"/>
      <c r="H41" s="37"/>
      <c r="I41" s="292"/>
      <c r="J41" s="292"/>
      <c r="K41" s="292"/>
      <c r="L41" s="292"/>
      <c r="M41" s="292"/>
      <c r="N41" s="292"/>
      <c r="O41" s="292"/>
      <c r="P41" s="292"/>
      <c r="Q41" s="292"/>
      <c r="R41" s="292"/>
      <c r="S41" s="292"/>
      <c r="T41" s="292"/>
    </row>
    <row r="42" spans="1:20" ht="21.9" customHeight="1">
      <c r="A42" s="302"/>
      <c r="B42" s="36"/>
      <c r="C42" s="390"/>
      <c r="D42" s="38"/>
      <c r="E42" s="39"/>
      <c r="F42" s="40"/>
      <c r="G42" s="42"/>
      <c r="H42" s="37"/>
      <c r="I42" s="292"/>
      <c r="J42" s="292"/>
      <c r="K42" s="292"/>
      <c r="L42" s="292"/>
      <c r="M42" s="292"/>
      <c r="N42" s="292"/>
      <c r="O42" s="292"/>
      <c r="P42" s="292"/>
      <c r="Q42" s="292"/>
      <c r="R42" s="292"/>
      <c r="S42" s="292"/>
      <c r="T42" s="292"/>
    </row>
    <row r="43" spans="1:20" ht="21.9" customHeight="1">
      <c r="A43" s="302"/>
      <c r="B43" s="391"/>
      <c r="C43" s="392"/>
      <c r="D43" s="38"/>
      <c r="E43" s="39"/>
      <c r="F43" s="40"/>
      <c r="G43" s="42"/>
      <c r="H43" s="37"/>
      <c r="I43" s="292"/>
      <c r="J43" s="292"/>
      <c r="K43" s="292"/>
      <c r="L43" s="292"/>
      <c r="M43" s="292"/>
      <c r="N43" s="292"/>
      <c r="O43" s="292"/>
      <c r="P43" s="292"/>
      <c r="Q43" s="292"/>
      <c r="R43" s="292"/>
      <c r="S43" s="292"/>
      <c r="T43" s="292"/>
    </row>
    <row r="44" spans="1:20" ht="21.9" customHeight="1">
      <c r="A44" s="302"/>
      <c r="B44" s="391"/>
      <c r="C44" s="392"/>
      <c r="D44" s="38"/>
      <c r="E44" s="39"/>
      <c r="F44" s="40"/>
      <c r="G44" s="42"/>
      <c r="H44" s="37"/>
      <c r="I44" s="292"/>
      <c r="J44" s="292"/>
      <c r="K44" s="292"/>
      <c r="L44" s="292"/>
      <c r="M44" s="292"/>
      <c r="N44" s="292"/>
      <c r="O44" s="292"/>
      <c r="P44" s="292"/>
      <c r="Q44" s="292"/>
      <c r="R44" s="292"/>
      <c r="S44" s="292"/>
      <c r="T44" s="292"/>
    </row>
    <row r="45" spans="1:20" ht="21.9" customHeight="1">
      <c r="A45" s="302"/>
      <c r="B45" s="36"/>
      <c r="C45" s="390"/>
      <c r="D45" s="38"/>
      <c r="E45" s="39"/>
      <c r="F45" s="40"/>
      <c r="G45" s="42"/>
      <c r="H45" s="37"/>
      <c r="I45" s="292"/>
      <c r="J45" s="292"/>
      <c r="K45" s="292"/>
      <c r="L45" s="292"/>
      <c r="M45" s="292"/>
      <c r="N45" s="292"/>
      <c r="O45" s="292"/>
      <c r="P45" s="292"/>
      <c r="Q45" s="292"/>
      <c r="R45" s="292"/>
      <c r="S45" s="292"/>
      <c r="T45" s="292"/>
    </row>
    <row r="46" spans="1:20" ht="21.9" customHeight="1">
      <c r="A46" s="302"/>
      <c r="B46" s="36"/>
      <c r="C46" s="383"/>
      <c r="D46" s="38"/>
      <c r="E46" s="39"/>
      <c r="F46" s="40"/>
      <c r="G46" s="42"/>
      <c r="H46" s="37"/>
      <c r="I46" s="292"/>
      <c r="J46" s="292"/>
      <c r="K46" s="292"/>
      <c r="L46" s="292"/>
      <c r="M46" s="292"/>
      <c r="N46" s="292"/>
      <c r="O46" s="292"/>
      <c r="P46" s="292"/>
      <c r="Q46" s="292"/>
      <c r="R46" s="292"/>
      <c r="S46" s="292"/>
      <c r="T46" s="292"/>
    </row>
    <row r="47" spans="1:20" ht="21.9" customHeight="1">
      <c r="A47" s="302"/>
      <c r="B47" s="36"/>
      <c r="C47" s="392"/>
      <c r="D47" s="38"/>
      <c r="E47" s="39"/>
      <c r="F47" s="393"/>
      <c r="G47" s="42"/>
      <c r="H47" s="37"/>
      <c r="I47" s="292"/>
      <c r="J47" s="292"/>
      <c r="K47" s="292"/>
      <c r="L47" s="292"/>
      <c r="M47" s="292"/>
      <c r="N47" s="292"/>
      <c r="O47" s="292"/>
      <c r="P47" s="292"/>
      <c r="Q47" s="292"/>
      <c r="R47" s="292"/>
      <c r="S47" s="292"/>
      <c r="T47" s="292"/>
    </row>
    <row r="48" spans="1:20" ht="21.9" customHeight="1">
      <c r="A48" s="302"/>
      <c r="B48" s="645" t="s">
        <v>419</v>
      </c>
      <c r="C48" s="390"/>
      <c r="D48" s="38"/>
      <c r="E48" s="39"/>
      <c r="F48" s="40"/>
      <c r="G48" s="42">
        <f>SUM(G29:G47)</f>
        <v>2012774</v>
      </c>
      <c r="H48" s="37"/>
      <c r="I48" s="292"/>
      <c r="J48" s="292"/>
      <c r="K48" s="292"/>
      <c r="L48" s="292"/>
      <c r="M48" s="292"/>
      <c r="N48" s="292"/>
      <c r="O48" s="292"/>
      <c r="P48" s="292"/>
      <c r="Q48" s="292"/>
      <c r="R48" s="292"/>
      <c r="S48" s="292"/>
      <c r="T48" s="292"/>
    </row>
    <row r="49" spans="1:20" ht="21.9" customHeight="1">
      <c r="A49" s="297"/>
      <c r="B49" s="36"/>
      <c r="C49" s="383"/>
      <c r="D49" s="38"/>
      <c r="E49" s="39"/>
      <c r="F49" s="40"/>
      <c r="G49" s="42"/>
      <c r="H49" s="37"/>
      <c r="I49" s="292"/>
      <c r="J49" s="292"/>
      <c r="K49" s="292"/>
      <c r="L49" s="292"/>
      <c r="M49" s="292"/>
      <c r="N49" s="292"/>
      <c r="O49" s="292"/>
      <c r="P49" s="292"/>
      <c r="Q49" s="292"/>
      <c r="R49" s="292"/>
      <c r="S49" s="292"/>
      <c r="T49" s="292"/>
    </row>
    <row r="50" spans="1:20" ht="21.9" customHeight="1">
      <c r="A50" s="13"/>
      <c r="B50" s="309"/>
      <c r="C50" s="309"/>
      <c r="D50" s="14" t="s">
        <v>23</v>
      </c>
      <c r="E50" s="309"/>
      <c r="F50" s="309"/>
      <c r="G50" s="309"/>
      <c r="H50" s="310">
        <f>+H25+1</f>
        <v>20</v>
      </c>
      <c r="I50" s="292"/>
      <c r="J50" s="292"/>
      <c r="K50" s="292"/>
      <c r="L50" s="292"/>
      <c r="M50" s="292"/>
      <c r="N50" s="292"/>
      <c r="O50" s="292"/>
      <c r="P50" s="292"/>
      <c r="Q50" s="292"/>
      <c r="R50" s="292"/>
      <c r="S50" s="292"/>
      <c r="T50" s="292"/>
    </row>
    <row r="51" spans="1:20" ht="21.9" customHeight="1">
      <c r="A51" s="287"/>
      <c r="B51" s="288"/>
      <c r="C51" s="12"/>
      <c r="D51" s="289"/>
      <c r="E51" s="287"/>
      <c r="F51" s="290"/>
      <c r="G51" s="52"/>
      <c r="H51" s="290"/>
      <c r="I51" s="292"/>
      <c r="J51" s="292"/>
      <c r="K51" s="292"/>
      <c r="L51" s="292"/>
      <c r="M51" s="292"/>
      <c r="N51" s="292"/>
      <c r="O51" s="292"/>
      <c r="P51" s="292"/>
      <c r="Q51" s="292"/>
      <c r="R51" s="292"/>
      <c r="S51" s="292"/>
      <c r="T51" s="292"/>
    </row>
    <row r="52" spans="1:20" ht="21.9" customHeight="1">
      <c r="A52" s="293"/>
      <c r="B52" s="294" t="s">
        <v>0</v>
      </c>
      <c r="C52" s="53" t="s">
        <v>1</v>
      </c>
      <c r="D52" s="296" t="s">
        <v>5</v>
      </c>
      <c r="E52" s="297" t="s">
        <v>6</v>
      </c>
      <c r="F52" s="298" t="s">
        <v>20</v>
      </c>
      <c r="G52" s="54" t="s">
        <v>21</v>
      </c>
      <c r="H52" s="298" t="s">
        <v>3</v>
      </c>
      <c r="I52" s="292"/>
      <c r="J52" s="292"/>
      <c r="K52" s="292"/>
      <c r="L52" s="292"/>
      <c r="M52" s="292"/>
      <c r="N52" s="292"/>
      <c r="O52" s="292"/>
      <c r="P52" s="292"/>
      <c r="Q52" s="292"/>
      <c r="R52" s="292"/>
      <c r="S52" s="292"/>
      <c r="T52" s="292"/>
    </row>
    <row r="53" spans="1:20" ht="21.9" customHeight="1">
      <c r="A53" s="306" t="s">
        <v>598</v>
      </c>
      <c r="B53" s="36" t="s">
        <v>616</v>
      </c>
      <c r="C53" s="383"/>
      <c r="D53" s="38"/>
      <c r="E53" s="39"/>
      <c r="F53" s="40"/>
      <c r="G53" s="42"/>
      <c r="H53" s="37"/>
      <c r="I53" s="292"/>
      <c r="J53" s="292"/>
      <c r="K53" s="292"/>
      <c r="L53" s="292"/>
      <c r="M53" s="292"/>
      <c r="N53" s="292"/>
      <c r="O53" s="292"/>
      <c r="P53" s="292"/>
      <c r="Q53" s="292"/>
      <c r="R53" s="292"/>
      <c r="S53" s="292"/>
      <c r="T53" s="308"/>
    </row>
    <row r="54" spans="1:20" ht="21.9" customHeight="1">
      <c r="A54" s="306"/>
      <c r="B54" s="391" t="s">
        <v>617</v>
      </c>
      <c r="C54" s="392"/>
      <c r="D54" s="38">
        <v>1</v>
      </c>
      <c r="E54" s="39" t="s">
        <v>24</v>
      </c>
      <c r="F54" s="393">
        <v>105000</v>
      </c>
      <c r="G54" s="42">
        <f>D54*F54</f>
        <v>105000</v>
      </c>
      <c r="H54" s="37" t="s">
        <v>618</v>
      </c>
      <c r="I54" s="292"/>
      <c r="J54" s="292"/>
      <c r="K54" s="292"/>
      <c r="L54" s="292"/>
      <c r="M54" s="292"/>
      <c r="N54" s="292"/>
      <c r="O54" s="292"/>
      <c r="P54" s="292"/>
      <c r="Q54" s="292"/>
      <c r="R54" s="292"/>
      <c r="S54" s="292"/>
      <c r="T54" s="292"/>
    </row>
    <row r="55" spans="1:20" ht="21.9" customHeight="1">
      <c r="A55" s="302"/>
      <c r="B55" s="391" t="s">
        <v>619</v>
      </c>
      <c r="C55" s="383"/>
      <c r="D55" s="38">
        <v>6</v>
      </c>
      <c r="E55" s="39" t="s">
        <v>606</v>
      </c>
      <c r="F55" s="40">
        <v>1400</v>
      </c>
      <c r="G55" s="42">
        <f t="shared" ref="G55:G71" si="1">D55*F55</f>
        <v>8400</v>
      </c>
      <c r="H55" s="37" t="s">
        <v>618</v>
      </c>
      <c r="I55" s="292"/>
      <c r="J55" s="292"/>
      <c r="K55" s="292"/>
      <c r="L55" s="292"/>
      <c r="M55" s="292"/>
      <c r="N55" s="292"/>
      <c r="O55" s="292"/>
      <c r="P55" s="292"/>
      <c r="Q55" s="292"/>
      <c r="R55" s="292"/>
      <c r="S55" s="292"/>
      <c r="T55" s="292"/>
    </row>
    <row r="56" spans="1:20" ht="21.9" customHeight="1">
      <c r="A56" s="297"/>
      <c r="B56" s="36" t="s">
        <v>620</v>
      </c>
      <c r="C56" s="383" t="s">
        <v>621</v>
      </c>
      <c r="D56" s="38">
        <v>1.5</v>
      </c>
      <c r="E56" s="39" t="s">
        <v>622</v>
      </c>
      <c r="F56" s="40">
        <v>38500</v>
      </c>
      <c r="G56" s="42">
        <f t="shared" si="1"/>
        <v>57750</v>
      </c>
      <c r="H56" s="37" t="s">
        <v>618</v>
      </c>
      <c r="I56" s="292"/>
      <c r="J56" s="292"/>
      <c r="K56" s="292"/>
      <c r="L56" s="292"/>
      <c r="M56" s="292"/>
      <c r="N56" s="292"/>
      <c r="O56" s="292"/>
      <c r="P56" s="292"/>
      <c r="Q56" s="292"/>
      <c r="R56" s="292"/>
      <c r="S56" s="292"/>
      <c r="T56" s="292"/>
    </row>
    <row r="57" spans="1:20" ht="21.9" customHeight="1">
      <c r="A57" s="302"/>
      <c r="B57" s="391" t="s">
        <v>623</v>
      </c>
      <c r="C57" s="383" t="s">
        <v>621</v>
      </c>
      <c r="D57" s="38">
        <v>14.3</v>
      </c>
      <c r="E57" s="39" t="s">
        <v>606</v>
      </c>
      <c r="F57" s="40">
        <v>2450</v>
      </c>
      <c r="G57" s="42">
        <f t="shared" si="1"/>
        <v>35035</v>
      </c>
      <c r="H57" s="37" t="s">
        <v>618</v>
      </c>
      <c r="I57" s="292"/>
      <c r="J57" s="292"/>
      <c r="K57" s="292"/>
      <c r="L57" s="292"/>
      <c r="M57" s="292"/>
      <c r="N57" s="292"/>
      <c r="O57" s="292"/>
      <c r="P57" s="292"/>
      <c r="Q57" s="292"/>
      <c r="R57" s="292"/>
      <c r="S57" s="292"/>
      <c r="T57" s="292"/>
    </row>
    <row r="58" spans="1:20" ht="21.9" customHeight="1">
      <c r="A58" s="302"/>
      <c r="B58" s="391" t="s">
        <v>624</v>
      </c>
      <c r="C58" s="383" t="s">
        <v>621</v>
      </c>
      <c r="D58" s="38">
        <v>10.5</v>
      </c>
      <c r="E58" s="39" t="s">
        <v>622</v>
      </c>
      <c r="F58" s="40">
        <v>10500</v>
      </c>
      <c r="G58" s="42">
        <f t="shared" si="1"/>
        <v>110250</v>
      </c>
      <c r="H58" s="37" t="s">
        <v>618</v>
      </c>
      <c r="I58" s="292"/>
      <c r="J58" s="292"/>
      <c r="K58" s="292"/>
      <c r="L58" s="292"/>
      <c r="M58" s="292"/>
      <c r="N58" s="292"/>
      <c r="O58" s="292"/>
      <c r="P58" s="292"/>
      <c r="Q58" s="292"/>
      <c r="R58" s="292"/>
      <c r="S58" s="292"/>
      <c r="T58" s="292"/>
    </row>
    <row r="59" spans="1:20" ht="21.9" customHeight="1">
      <c r="A59" s="302"/>
      <c r="B59" s="391" t="s">
        <v>625</v>
      </c>
      <c r="C59" s="383"/>
      <c r="D59" s="38">
        <v>1</v>
      </c>
      <c r="E59" s="39" t="s">
        <v>24</v>
      </c>
      <c r="F59" s="40">
        <v>84000</v>
      </c>
      <c r="G59" s="42">
        <f t="shared" si="1"/>
        <v>84000</v>
      </c>
      <c r="H59" s="37" t="s">
        <v>618</v>
      </c>
      <c r="I59" s="292"/>
      <c r="J59" s="292"/>
      <c r="K59" s="292"/>
      <c r="L59" s="292"/>
      <c r="M59" s="292"/>
      <c r="N59" s="292"/>
      <c r="O59" s="292"/>
      <c r="P59" s="292"/>
      <c r="Q59" s="292"/>
      <c r="R59" s="292"/>
      <c r="S59" s="292"/>
      <c r="T59" s="292"/>
    </row>
    <row r="60" spans="1:20" ht="21.9" customHeight="1">
      <c r="A60" s="302"/>
      <c r="B60" s="391" t="s">
        <v>626</v>
      </c>
      <c r="C60" s="18" t="s">
        <v>627</v>
      </c>
      <c r="D60" s="38">
        <v>77.3</v>
      </c>
      <c r="E60" s="39" t="s">
        <v>628</v>
      </c>
      <c r="F60" s="40">
        <v>3520</v>
      </c>
      <c r="G60" s="42">
        <f t="shared" si="1"/>
        <v>272096</v>
      </c>
      <c r="H60" s="37"/>
      <c r="I60" s="292"/>
      <c r="J60" s="292"/>
      <c r="K60" s="292"/>
      <c r="L60" s="292"/>
      <c r="M60" s="292"/>
      <c r="N60" s="292"/>
      <c r="O60" s="292"/>
      <c r="P60" s="292"/>
      <c r="Q60" s="292"/>
      <c r="R60" s="292"/>
      <c r="S60" s="292"/>
      <c r="T60" s="292"/>
    </row>
    <row r="61" spans="1:20" ht="21.9" customHeight="1">
      <c r="A61" s="302"/>
      <c r="B61" s="36" t="s">
        <v>629</v>
      </c>
      <c r="C61" s="383"/>
      <c r="D61" s="38">
        <v>1</v>
      </c>
      <c r="E61" s="39" t="s">
        <v>24</v>
      </c>
      <c r="F61" s="40">
        <v>59000</v>
      </c>
      <c r="G61" s="42">
        <f t="shared" si="1"/>
        <v>59000</v>
      </c>
      <c r="H61" s="37" t="s">
        <v>630</v>
      </c>
      <c r="I61" s="292"/>
      <c r="J61" s="292"/>
      <c r="K61" s="292"/>
      <c r="L61" s="292"/>
      <c r="M61" s="292"/>
      <c r="N61" s="292"/>
      <c r="O61" s="292"/>
      <c r="P61" s="292"/>
      <c r="Q61" s="292"/>
      <c r="R61" s="292"/>
      <c r="S61" s="292"/>
      <c r="T61" s="292"/>
    </row>
    <row r="62" spans="1:20" ht="21.9" customHeight="1">
      <c r="A62" s="302"/>
      <c r="B62" s="36" t="s">
        <v>631</v>
      </c>
      <c r="C62" s="383"/>
      <c r="D62" s="38">
        <v>1</v>
      </c>
      <c r="E62" s="39" t="s">
        <v>24</v>
      </c>
      <c r="F62" s="40">
        <v>53900</v>
      </c>
      <c r="G62" s="255">
        <f t="shared" si="1"/>
        <v>53900</v>
      </c>
      <c r="H62" s="37" t="s">
        <v>632</v>
      </c>
      <c r="I62" s="292"/>
      <c r="J62" s="292"/>
      <c r="K62" s="292"/>
      <c r="L62" s="292"/>
      <c r="M62" s="292"/>
      <c r="N62" s="292"/>
      <c r="O62" s="292"/>
      <c r="P62" s="292"/>
      <c r="Q62" s="292"/>
      <c r="R62" s="292"/>
      <c r="S62" s="292"/>
      <c r="T62" s="292"/>
    </row>
    <row r="63" spans="1:20" ht="21.9" customHeight="1">
      <c r="A63" s="302"/>
      <c r="B63" s="36" t="s">
        <v>633</v>
      </c>
      <c r="C63" s="18"/>
      <c r="D63" s="38">
        <v>155</v>
      </c>
      <c r="E63" s="39" t="s">
        <v>606</v>
      </c>
      <c r="F63" s="40">
        <v>210</v>
      </c>
      <c r="G63" s="42">
        <f t="shared" si="1"/>
        <v>32550</v>
      </c>
      <c r="H63" s="394"/>
      <c r="I63" s="292"/>
      <c r="J63" s="292"/>
      <c r="K63" s="292"/>
      <c r="L63" s="292"/>
      <c r="M63" s="292"/>
      <c r="N63" s="292"/>
      <c r="O63" s="292"/>
      <c r="P63" s="292"/>
      <c r="Q63" s="292"/>
      <c r="R63" s="292"/>
      <c r="S63" s="292"/>
      <c r="T63" s="292"/>
    </row>
    <row r="64" spans="1:20" ht="21.9" customHeight="1">
      <c r="A64" s="302"/>
      <c r="B64" s="18"/>
      <c r="C64" s="18"/>
      <c r="D64" s="395"/>
      <c r="E64" s="396"/>
      <c r="F64" s="304"/>
      <c r="G64" s="42">
        <f t="shared" si="1"/>
        <v>0</v>
      </c>
      <c r="H64" s="18"/>
      <c r="I64" s="292"/>
      <c r="J64" s="292"/>
      <c r="K64" s="292"/>
      <c r="L64" s="292"/>
      <c r="M64" s="292"/>
      <c r="N64" s="292"/>
      <c r="O64" s="292"/>
      <c r="P64" s="292"/>
      <c r="Q64" s="292"/>
      <c r="R64" s="292"/>
      <c r="S64" s="292"/>
      <c r="T64" s="292"/>
    </row>
    <row r="65" spans="1:20" ht="21.9" customHeight="1">
      <c r="A65" s="302"/>
      <c r="B65" s="18"/>
      <c r="C65" s="18"/>
      <c r="D65" s="395"/>
      <c r="E65" s="396"/>
      <c r="F65" s="304"/>
      <c r="G65" s="42">
        <f t="shared" si="1"/>
        <v>0</v>
      </c>
      <c r="H65" s="18"/>
      <c r="I65" s="292"/>
      <c r="J65" s="292"/>
      <c r="K65" s="292"/>
      <c r="L65" s="292"/>
      <c r="M65" s="292"/>
      <c r="N65" s="292"/>
      <c r="O65" s="292"/>
      <c r="P65" s="292"/>
      <c r="Q65" s="292"/>
      <c r="R65" s="292"/>
      <c r="S65" s="292"/>
      <c r="T65" s="292"/>
    </row>
    <row r="66" spans="1:20" ht="21.9" customHeight="1">
      <c r="A66" s="302"/>
      <c r="B66" s="18"/>
      <c r="C66" s="18"/>
      <c r="D66" s="395"/>
      <c r="E66" s="396"/>
      <c r="F66" s="304"/>
      <c r="G66" s="42">
        <f t="shared" si="1"/>
        <v>0</v>
      </c>
      <c r="H66" s="18"/>
      <c r="I66" s="292"/>
      <c r="J66" s="292"/>
      <c r="K66" s="292"/>
      <c r="L66" s="292"/>
      <c r="M66" s="292"/>
      <c r="N66" s="292"/>
      <c r="O66" s="292"/>
      <c r="P66" s="292"/>
      <c r="Q66" s="292"/>
      <c r="R66" s="292"/>
      <c r="S66" s="292"/>
      <c r="T66" s="292"/>
    </row>
    <row r="67" spans="1:20" ht="21.9" customHeight="1">
      <c r="A67" s="302"/>
      <c r="B67" s="18"/>
      <c r="C67" s="18"/>
      <c r="D67" s="395"/>
      <c r="E67" s="396"/>
      <c r="F67" s="304"/>
      <c r="G67" s="42">
        <f t="shared" si="1"/>
        <v>0</v>
      </c>
      <c r="H67" s="18"/>
      <c r="I67" s="292"/>
      <c r="J67" s="292"/>
      <c r="K67" s="292"/>
      <c r="L67" s="292"/>
      <c r="M67" s="292"/>
      <c r="N67" s="292"/>
      <c r="O67" s="292"/>
      <c r="P67" s="292"/>
      <c r="Q67" s="292"/>
      <c r="R67" s="292"/>
      <c r="S67" s="292"/>
      <c r="T67" s="292"/>
    </row>
    <row r="68" spans="1:20" ht="21.9" customHeight="1">
      <c r="A68" s="302"/>
      <c r="B68" s="18"/>
      <c r="C68" s="18"/>
      <c r="D68" s="395"/>
      <c r="E68" s="396"/>
      <c r="F68" s="304"/>
      <c r="G68" s="42">
        <f t="shared" si="1"/>
        <v>0</v>
      </c>
      <c r="H68" s="18"/>
      <c r="I68" s="292"/>
      <c r="J68" s="292"/>
      <c r="K68" s="292"/>
      <c r="L68" s="292"/>
      <c r="M68" s="292"/>
      <c r="N68" s="292"/>
      <c r="O68" s="292"/>
      <c r="P68" s="292"/>
      <c r="Q68" s="292"/>
      <c r="R68" s="292"/>
      <c r="S68" s="292"/>
      <c r="T68" s="292"/>
    </row>
    <row r="69" spans="1:20" ht="21.9" customHeight="1">
      <c r="A69" s="302"/>
      <c r="B69" s="18"/>
      <c r="C69" s="18"/>
      <c r="D69" s="395"/>
      <c r="E69" s="396"/>
      <c r="F69" s="304"/>
      <c r="G69" s="42">
        <f t="shared" si="1"/>
        <v>0</v>
      </c>
      <c r="H69" s="18"/>
      <c r="I69" s="292"/>
      <c r="J69" s="292"/>
      <c r="K69" s="292"/>
      <c r="L69" s="292"/>
      <c r="M69" s="292"/>
      <c r="N69" s="292"/>
      <c r="O69" s="292"/>
      <c r="P69" s="292"/>
      <c r="Q69" s="292"/>
      <c r="R69" s="292"/>
      <c r="S69" s="292"/>
      <c r="T69" s="292"/>
    </row>
    <row r="70" spans="1:20" ht="21.9" customHeight="1">
      <c r="A70" s="302"/>
      <c r="B70" s="18"/>
      <c r="C70" s="18"/>
      <c r="D70" s="395"/>
      <c r="E70" s="396"/>
      <c r="F70" s="304"/>
      <c r="G70" s="42">
        <f t="shared" si="1"/>
        <v>0</v>
      </c>
      <c r="H70" s="18"/>
      <c r="I70" s="292"/>
      <c r="J70" s="292"/>
      <c r="K70" s="292"/>
      <c r="L70" s="292"/>
      <c r="M70" s="292"/>
      <c r="N70" s="292"/>
      <c r="O70" s="292"/>
      <c r="P70" s="292"/>
      <c r="Q70" s="292"/>
      <c r="R70" s="292"/>
      <c r="S70" s="292"/>
      <c r="T70" s="292"/>
    </row>
    <row r="71" spans="1:20" ht="21.9" customHeight="1">
      <c r="A71" s="302"/>
      <c r="B71" s="18"/>
      <c r="C71" s="18"/>
      <c r="D71" s="395"/>
      <c r="E71" s="396"/>
      <c r="F71" s="304"/>
      <c r="G71" s="42">
        <f t="shared" si="1"/>
        <v>0</v>
      </c>
      <c r="H71" s="18"/>
      <c r="I71" s="292"/>
      <c r="J71" s="292"/>
      <c r="K71" s="292"/>
      <c r="L71" s="292"/>
      <c r="M71" s="292"/>
      <c r="N71" s="292"/>
      <c r="O71" s="292"/>
      <c r="P71" s="292"/>
      <c r="Q71" s="292"/>
      <c r="R71" s="292"/>
      <c r="S71" s="292"/>
      <c r="T71" s="292"/>
    </row>
    <row r="72" spans="1:20" ht="21.9" customHeight="1">
      <c r="A72" s="302"/>
      <c r="B72" s="300" t="s">
        <v>419</v>
      </c>
      <c r="C72" s="44"/>
      <c r="D72" s="38"/>
      <c r="E72" s="39"/>
      <c r="F72" s="40"/>
      <c r="G72" s="255">
        <f>SUM(G54:G71)</f>
        <v>817981</v>
      </c>
      <c r="H72" s="37"/>
      <c r="I72" s="292"/>
      <c r="J72" s="292"/>
      <c r="K72" s="292"/>
      <c r="L72" s="292"/>
      <c r="M72" s="292"/>
      <c r="N72" s="292"/>
      <c r="O72" s="292"/>
      <c r="P72" s="292"/>
      <c r="Q72" s="292"/>
      <c r="R72" s="292"/>
      <c r="S72" s="292"/>
      <c r="T72" s="292"/>
    </row>
    <row r="73" spans="1:20" ht="21.9" customHeight="1">
      <c r="A73" s="302"/>
      <c r="B73" s="18"/>
      <c r="C73" s="43"/>
      <c r="D73" s="395"/>
      <c r="E73" s="396"/>
      <c r="F73" s="304"/>
      <c r="G73" s="42"/>
      <c r="H73" s="18"/>
      <c r="I73" s="292"/>
      <c r="J73" s="292"/>
      <c r="K73" s="292"/>
      <c r="L73" s="292"/>
      <c r="M73" s="292"/>
      <c r="N73" s="292"/>
      <c r="O73" s="292"/>
      <c r="P73" s="292"/>
      <c r="Q73" s="292"/>
      <c r="R73" s="292"/>
      <c r="S73" s="292"/>
      <c r="T73" s="292"/>
    </row>
    <row r="74" spans="1:20" ht="21.9" customHeight="1">
      <c r="A74" s="13"/>
      <c r="B74" s="309"/>
      <c r="C74" s="309"/>
      <c r="D74" s="14" t="s">
        <v>23</v>
      </c>
      <c r="E74" s="309"/>
      <c r="F74" s="309"/>
      <c r="G74" s="309"/>
      <c r="H74" s="310">
        <f>+H50+1</f>
        <v>21</v>
      </c>
      <c r="I74" s="292"/>
      <c r="J74" s="292"/>
      <c r="K74" s="292"/>
      <c r="L74" s="292"/>
      <c r="M74" s="292"/>
      <c r="N74" s="292"/>
      <c r="O74" s="292"/>
      <c r="P74" s="292"/>
      <c r="Q74" s="292"/>
      <c r="R74" s="292"/>
      <c r="S74" s="292"/>
      <c r="T74" s="292"/>
    </row>
    <row r="75" spans="1:20" ht="21.9" customHeight="1">
      <c r="A75" s="287"/>
      <c r="B75" s="288"/>
      <c r="C75" s="12"/>
      <c r="D75" s="289"/>
      <c r="E75" s="287"/>
      <c r="F75" s="290"/>
      <c r="G75" s="52"/>
      <c r="H75" s="290"/>
      <c r="I75" s="292"/>
      <c r="J75" s="292"/>
      <c r="K75" s="292"/>
      <c r="L75" s="292"/>
      <c r="M75" s="292"/>
      <c r="N75" s="292"/>
      <c r="O75" s="292"/>
      <c r="P75" s="292"/>
      <c r="Q75" s="292"/>
      <c r="R75" s="292"/>
      <c r="S75" s="292"/>
      <c r="T75" s="292"/>
    </row>
    <row r="76" spans="1:20" ht="21.9" customHeight="1">
      <c r="A76" s="293"/>
      <c r="B76" s="294" t="s">
        <v>0</v>
      </c>
      <c r="C76" s="53" t="s">
        <v>1</v>
      </c>
      <c r="D76" s="296" t="s">
        <v>5</v>
      </c>
      <c r="E76" s="297" t="s">
        <v>6</v>
      </c>
      <c r="F76" s="298" t="s">
        <v>20</v>
      </c>
      <c r="G76" s="54" t="s">
        <v>21</v>
      </c>
      <c r="H76" s="298" t="s">
        <v>3</v>
      </c>
      <c r="I76" s="292"/>
      <c r="J76" s="292"/>
      <c r="K76" s="292"/>
      <c r="L76" s="292"/>
      <c r="M76" s="292"/>
      <c r="N76" s="292"/>
      <c r="O76" s="292"/>
      <c r="P76" s="292"/>
      <c r="Q76" s="292"/>
      <c r="R76" s="292"/>
      <c r="S76" s="292"/>
      <c r="T76" s="292"/>
    </row>
    <row r="77" spans="1:20" ht="21.9" customHeight="1">
      <c r="A77" s="302" t="s">
        <v>598</v>
      </c>
      <c r="B77" s="18" t="s">
        <v>634</v>
      </c>
      <c r="C77" s="43"/>
      <c r="D77" s="395"/>
      <c r="E77" s="396"/>
      <c r="F77" s="304"/>
      <c r="G77" s="42"/>
      <c r="H77" s="18"/>
      <c r="I77" s="292"/>
      <c r="J77" s="292"/>
      <c r="K77" s="292"/>
      <c r="L77" s="292"/>
      <c r="M77" s="292"/>
      <c r="N77" s="292"/>
      <c r="O77" s="292"/>
      <c r="P77" s="292"/>
      <c r="Q77" s="292"/>
      <c r="R77" s="292"/>
      <c r="S77" s="292"/>
      <c r="T77" s="308"/>
    </row>
    <row r="78" spans="1:20" ht="21.9" customHeight="1">
      <c r="A78" s="302"/>
      <c r="B78" s="341" t="s">
        <v>635</v>
      </c>
      <c r="C78" s="43"/>
      <c r="D78" s="314">
        <v>1</v>
      </c>
      <c r="E78" s="396" t="s">
        <v>24</v>
      </c>
      <c r="F78" s="304">
        <f>G121</f>
        <v>471759</v>
      </c>
      <c r="G78" s="42">
        <f t="shared" ref="G78:G83" si="2">D78*F78</f>
        <v>471759</v>
      </c>
      <c r="H78" s="397"/>
      <c r="I78" s="292"/>
      <c r="J78" s="292"/>
      <c r="K78" s="292"/>
      <c r="L78" s="292"/>
      <c r="M78" s="292"/>
      <c r="N78" s="292"/>
      <c r="O78" s="292"/>
      <c r="P78" s="292"/>
      <c r="Q78" s="292"/>
      <c r="R78" s="292"/>
      <c r="S78" s="292"/>
      <c r="T78" s="292"/>
    </row>
    <row r="79" spans="1:20" ht="21.9" customHeight="1">
      <c r="A79" s="302"/>
      <c r="B79" s="341" t="s">
        <v>636</v>
      </c>
      <c r="C79" s="43"/>
      <c r="D79" s="314">
        <v>1</v>
      </c>
      <c r="E79" s="297" t="s">
        <v>24</v>
      </c>
      <c r="F79" s="304">
        <f>G146</f>
        <v>883805</v>
      </c>
      <c r="G79" s="42">
        <f t="shared" si="2"/>
        <v>883805</v>
      </c>
      <c r="H79" s="304"/>
      <c r="I79" s="292"/>
      <c r="J79" s="292"/>
      <c r="K79" s="292"/>
      <c r="L79" s="292"/>
      <c r="M79" s="292"/>
      <c r="N79" s="292"/>
      <c r="O79" s="292"/>
      <c r="P79" s="292"/>
      <c r="Q79" s="292"/>
      <c r="R79" s="292"/>
      <c r="S79" s="292"/>
      <c r="T79" s="292"/>
    </row>
    <row r="80" spans="1:20" ht="21.9" customHeight="1">
      <c r="A80" s="302"/>
      <c r="B80" s="340" t="s">
        <v>637</v>
      </c>
      <c r="C80" s="340"/>
      <c r="D80" s="314">
        <v>1</v>
      </c>
      <c r="E80" s="297" t="s">
        <v>24</v>
      </c>
      <c r="F80" s="304">
        <f>G170</f>
        <v>148940.00000000003</v>
      </c>
      <c r="G80" s="42">
        <f t="shared" si="2"/>
        <v>148940.00000000003</v>
      </c>
      <c r="H80" s="304"/>
      <c r="I80" s="292"/>
      <c r="J80" s="292"/>
      <c r="K80" s="292"/>
      <c r="L80" s="292"/>
      <c r="M80" s="292"/>
      <c r="N80" s="292"/>
      <c r="O80" s="292"/>
      <c r="P80" s="292"/>
      <c r="Q80" s="292"/>
      <c r="R80" s="292"/>
      <c r="S80" s="292"/>
      <c r="T80" s="292"/>
    </row>
    <row r="81" spans="1:20" ht="21.9" customHeight="1">
      <c r="A81" s="302"/>
      <c r="B81" s="340" t="s">
        <v>638</v>
      </c>
      <c r="C81" s="340"/>
      <c r="D81" s="314">
        <v>1</v>
      </c>
      <c r="E81" s="297" t="s">
        <v>24</v>
      </c>
      <c r="F81" s="304">
        <f>G194</f>
        <v>533485</v>
      </c>
      <c r="G81" s="42">
        <f t="shared" si="2"/>
        <v>533485</v>
      </c>
      <c r="H81" s="304"/>
      <c r="I81" s="292"/>
      <c r="J81" s="292"/>
      <c r="K81" s="292"/>
      <c r="L81" s="292"/>
      <c r="M81" s="292"/>
      <c r="N81" s="292"/>
      <c r="O81" s="292"/>
      <c r="P81" s="292"/>
      <c r="Q81" s="292"/>
      <c r="R81" s="292"/>
      <c r="S81" s="292"/>
      <c r="T81" s="292"/>
    </row>
    <row r="82" spans="1:20" ht="21.9" customHeight="1">
      <c r="A82" s="302"/>
      <c r="B82" s="340" t="s">
        <v>639</v>
      </c>
      <c r="C82" s="340"/>
      <c r="D82" s="303">
        <v>1</v>
      </c>
      <c r="E82" s="297" t="s">
        <v>24</v>
      </c>
      <c r="F82" s="304">
        <f>G218</f>
        <v>26670</v>
      </c>
      <c r="G82" s="42">
        <f t="shared" si="2"/>
        <v>26670</v>
      </c>
      <c r="H82" s="304"/>
      <c r="I82" s="292"/>
      <c r="J82" s="292"/>
      <c r="K82" s="292"/>
      <c r="L82" s="292"/>
      <c r="M82" s="292"/>
      <c r="N82" s="292"/>
      <c r="O82" s="292"/>
      <c r="P82" s="292"/>
      <c r="Q82" s="292"/>
      <c r="R82" s="292"/>
      <c r="S82" s="292"/>
      <c r="T82" s="292"/>
    </row>
    <row r="83" spans="1:20" ht="21.9" customHeight="1">
      <c r="A83" s="302"/>
      <c r="B83" s="340" t="s">
        <v>640</v>
      </c>
      <c r="C83" s="340"/>
      <c r="D83" s="303">
        <v>1</v>
      </c>
      <c r="E83" s="297" t="s">
        <v>24</v>
      </c>
      <c r="F83" s="304">
        <f>G242</f>
        <v>2970735</v>
      </c>
      <c r="G83" s="42">
        <f t="shared" si="2"/>
        <v>2970735</v>
      </c>
      <c r="H83" s="304"/>
      <c r="I83" s="292"/>
      <c r="J83" s="292"/>
      <c r="K83" s="292"/>
      <c r="L83" s="292"/>
      <c r="M83" s="292"/>
      <c r="N83" s="292"/>
      <c r="O83" s="292"/>
      <c r="P83" s="292"/>
      <c r="Q83" s="292"/>
      <c r="R83" s="292"/>
      <c r="S83" s="292"/>
      <c r="T83" s="292"/>
    </row>
    <row r="84" spans="1:20" ht="21.9" customHeight="1">
      <c r="A84" s="302"/>
      <c r="B84" s="340"/>
      <c r="C84" s="340"/>
      <c r="D84" s="303"/>
      <c r="E84" s="297"/>
      <c r="F84" s="304"/>
      <c r="G84" s="42"/>
      <c r="H84" s="304"/>
      <c r="I84" s="292"/>
      <c r="J84" s="292"/>
      <c r="K84" s="292"/>
      <c r="L84" s="292"/>
      <c r="M84" s="292"/>
      <c r="N84" s="292"/>
      <c r="O84" s="292"/>
      <c r="P84" s="292"/>
      <c r="Q84" s="292"/>
      <c r="R84" s="292"/>
      <c r="S84" s="292"/>
      <c r="T84" s="292"/>
    </row>
    <row r="85" spans="1:20" ht="21.9" customHeight="1">
      <c r="A85" s="302"/>
      <c r="B85" s="341"/>
      <c r="C85" s="43"/>
      <c r="D85" s="314"/>
      <c r="E85" s="297"/>
      <c r="F85" s="304"/>
      <c r="G85" s="42"/>
      <c r="H85" s="304"/>
      <c r="I85" s="292"/>
      <c r="J85" s="292"/>
      <c r="K85" s="292"/>
      <c r="L85" s="292"/>
      <c r="M85" s="292"/>
      <c r="N85" s="292"/>
      <c r="O85" s="292"/>
      <c r="P85" s="292"/>
      <c r="Q85" s="292"/>
      <c r="R85" s="292"/>
      <c r="S85" s="292"/>
      <c r="T85" s="292"/>
    </row>
    <row r="86" spans="1:20" ht="21.9" customHeight="1">
      <c r="A86" s="302"/>
      <c r="B86" s="341"/>
      <c r="C86" s="43"/>
      <c r="D86" s="314"/>
      <c r="E86" s="297"/>
      <c r="F86" s="304"/>
      <c r="G86" s="42"/>
      <c r="H86" s="304"/>
      <c r="I86" s="292"/>
      <c r="J86" s="292"/>
      <c r="K86" s="292"/>
      <c r="L86" s="292"/>
      <c r="M86" s="292"/>
      <c r="N86" s="292"/>
      <c r="O86" s="292"/>
      <c r="P86" s="292"/>
      <c r="Q86" s="292"/>
      <c r="R86" s="292"/>
      <c r="S86" s="292"/>
      <c r="T86" s="292"/>
    </row>
    <row r="87" spans="1:20" ht="21.9" customHeight="1">
      <c r="A87" s="302"/>
      <c r="B87" s="341"/>
      <c r="C87" s="43"/>
      <c r="D87" s="314"/>
      <c r="E87" s="297"/>
      <c r="F87" s="304"/>
      <c r="G87" s="42"/>
      <c r="H87" s="304"/>
      <c r="I87" s="292"/>
      <c r="J87" s="292"/>
      <c r="K87" s="292"/>
      <c r="L87" s="292"/>
      <c r="M87" s="292"/>
      <c r="N87" s="292"/>
      <c r="O87" s="292"/>
      <c r="P87" s="292"/>
      <c r="Q87" s="292"/>
      <c r="R87" s="292"/>
      <c r="S87" s="292"/>
      <c r="T87" s="292"/>
    </row>
    <row r="88" spans="1:20" ht="21.9" customHeight="1">
      <c r="A88" s="302"/>
      <c r="B88" s="341"/>
      <c r="C88" s="43"/>
      <c r="D88" s="314"/>
      <c r="E88" s="297"/>
      <c r="F88" s="304"/>
      <c r="G88" s="42"/>
      <c r="H88" s="304"/>
      <c r="I88" s="292"/>
      <c r="J88" s="292"/>
      <c r="K88" s="292"/>
      <c r="L88" s="292"/>
      <c r="M88" s="292"/>
      <c r="N88" s="292"/>
      <c r="O88" s="292"/>
      <c r="P88" s="292"/>
      <c r="Q88" s="292"/>
      <c r="R88" s="292"/>
      <c r="S88" s="292"/>
      <c r="T88" s="292"/>
    </row>
    <row r="89" spans="1:20" ht="21.9" customHeight="1">
      <c r="A89" s="302"/>
      <c r="B89" s="341"/>
      <c r="C89" s="43"/>
      <c r="D89" s="314"/>
      <c r="E89" s="297"/>
      <c r="F89" s="304"/>
      <c r="G89" s="42"/>
      <c r="H89" s="304"/>
      <c r="I89" s="292"/>
      <c r="J89" s="292"/>
      <c r="K89" s="292"/>
      <c r="L89" s="292"/>
      <c r="M89" s="292"/>
      <c r="N89" s="292"/>
      <c r="O89" s="292"/>
      <c r="P89" s="292"/>
      <c r="Q89" s="292"/>
      <c r="R89" s="292"/>
      <c r="S89" s="292"/>
      <c r="T89" s="292"/>
    </row>
    <row r="90" spans="1:20" ht="21.9" customHeight="1">
      <c r="A90" s="302"/>
      <c r="B90" s="341"/>
      <c r="C90" s="43"/>
      <c r="D90" s="314"/>
      <c r="E90" s="297"/>
      <c r="F90" s="304"/>
      <c r="G90" s="42"/>
      <c r="H90" s="304"/>
      <c r="I90" s="292"/>
      <c r="J90" s="292"/>
      <c r="K90" s="292"/>
      <c r="L90" s="292"/>
      <c r="M90" s="292"/>
      <c r="N90" s="292"/>
      <c r="O90" s="292"/>
      <c r="P90" s="292"/>
      <c r="Q90" s="292"/>
      <c r="R90" s="292"/>
      <c r="S90" s="292"/>
      <c r="T90" s="292"/>
    </row>
    <row r="91" spans="1:20" ht="21.9" customHeight="1">
      <c r="A91" s="302"/>
      <c r="B91" s="341"/>
      <c r="C91" s="43"/>
      <c r="D91" s="314"/>
      <c r="E91" s="297"/>
      <c r="F91" s="304"/>
      <c r="G91" s="42"/>
      <c r="H91" s="304"/>
      <c r="I91" s="292"/>
      <c r="J91" s="292"/>
      <c r="K91" s="292"/>
      <c r="L91" s="292"/>
      <c r="M91" s="292"/>
      <c r="N91" s="292"/>
      <c r="O91" s="292"/>
      <c r="P91" s="292"/>
      <c r="Q91" s="292"/>
      <c r="R91" s="292"/>
      <c r="S91" s="292"/>
      <c r="T91" s="292"/>
    </row>
    <row r="92" spans="1:20" ht="21.9" customHeight="1">
      <c r="A92" s="302"/>
      <c r="B92" s="341"/>
      <c r="C92" s="43"/>
      <c r="D92" s="314"/>
      <c r="E92" s="297"/>
      <c r="F92" s="304"/>
      <c r="G92" s="42"/>
      <c r="H92" s="304"/>
      <c r="I92" s="292"/>
      <c r="J92" s="292"/>
      <c r="K92" s="292"/>
      <c r="L92" s="292"/>
      <c r="M92" s="292"/>
      <c r="N92" s="292"/>
      <c r="O92" s="292"/>
      <c r="P92" s="292"/>
      <c r="Q92" s="292"/>
      <c r="R92" s="292"/>
      <c r="S92" s="292"/>
      <c r="T92" s="292"/>
    </row>
    <row r="93" spans="1:20" ht="21.9" customHeight="1">
      <c r="A93" s="302"/>
      <c r="B93" s="341"/>
      <c r="C93" s="43"/>
      <c r="D93" s="314"/>
      <c r="E93" s="297"/>
      <c r="F93" s="304"/>
      <c r="G93" s="42"/>
      <c r="H93" s="304"/>
      <c r="I93" s="292"/>
      <c r="J93" s="292"/>
      <c r="K93" s="292"/>
      <c r="L93" s="292"/>
      <c r="M93" s="292"/>
      <c r="N93" s="292"/>
      <c r="O93" s="292"/>
      <c r="P93" s="292"/>
      <c r="Q93" s="292"/>
      <c r="R93" s="292"/>
      <c r="S93" s="292"/>
      <c r="T93" s="292"/>
    </row>
    <row r="94" spans="1:20" ht="21.9" customHeight="1">
      <c r="A94" s="302"/>
      <c r="B94" s="341"/>
      <c r="C94" s="43"/>
      <c r="D94" s="314"/>
      <c r="E94" s="297"/>
      <c r="F94" s="304"/>
      <c r="G94" s="42"/>
      <c r="H94" s="304"/>
      <c r="I94" s="292"/>
      <c r="J94" s="292"/>
      <c r="K94" s="292"/>
      <c r="L94" s="292"/>
      <c r="M94" s="292"/>
      <c r="N94" s="292"/>
      <c r="O94" s="292"/>
      <c r="P94" s="292"/>
      <c r="Q94" s="292"/>
      <c r="R94" s="292"/>
      <c r="S94" s="292"/>
      <c r="T94" s="292"/>
    </row>
    <row r="95" spans="1:20" ht="21.9" customHeight="1">
      <c r="A95" s="302"/>
      <c r="B95" s="341"/>
      <c r="C95" s="43"/>
      <c r="D95" s="314"/>
      <c r="E95" s="297"/>
      <c r="F95" s="304"/>
      <c r="G95" s="42"/>
      <c r="H95" s="304"/>
      <c r="I95" s="292"/>
      <c r="J95" s="292"/>
      <c r="K95" s="292"/>
      <c r="L95" s="292"/>
      <c r="M95" s="292"/>
      <c r="N95" s="292"/>
      <c r="O95" s="292"/>
      <c r="P95" s="292"/>
      <c r="Q95" s="292"/>
      <c r="R95" s="292"/>
      <c r="S95" s="292"/>
      <c r="T95" s="292"/>
    </row>
    <row r="96" spans="1:20" ht="21.9" customHeight="1">
      <c r="A96" s="302"/>
      <c r="B96" s="297" t="s">
        <v>641</v>
      </c>
      <c r="C96" s="43"/>
      <c r="D96" s="314"/>
      <c r="E96" s="297"/>
      <c r="F96" s="304"/>
      <c r="G96" s="42">
        <f>SUM(G78:G93)</f>
        <v>5035394</v>
      </c>
      <c r="H96" s="304"/>
      <c r="I96" s="292"/>
      <c r="J96" s="292"/>
      <c r="K96" s="292"/>
      <c r="L96" s="292"/>
      <c r="M96" s="292"/>
      <c r="N96" s="292"/>
      <c r="O96" s="292"/>
      <c r="P96" s="292"/>
      <c r="Q96" s="292"/>
      <c r="R96" s="292"/>
      <c r="S96" s="292"/>
      <c r="T96" s="292"/>
    </row>
    <row r="97" spans="1:20" ht="21.9" customHeight="1">
      <c r="A97" s="302"/>
      <c r="B97" s="315"/>
      <c r="C97" s="316"/>
      <c r="D97" s="314"/>
      <c r="E97" s="297"/>
      <c r="F97" s="304"/>
      <c r="G97" s="255"/>
      <c r="H97" s="304"/>
      <c r="I97" s="292"/>
      <c r="J97" s="292"/>
      <c r="K97" s="292"/>
      <c r="L97" s="292"/>
      <c r="M97" s="292"/>
      <c r="N97" s="292"/>
      <c r="O97" s="292"/>
      <c r="P97" s="292"/>
      <c r="Q97" s="292"/>
      <c r="R97" s="292"/>
      <c r="S97" s="292"/>
      <c r="T97" s="292"/>
    </row>
    <row r="98" spans="1:20" ht="21.9" customHeight="1">
      <c r="A98" s="13"/>
      <c r="B98" s="309"/>
      <c r="C98" s="309"/>
      <c r="D98" s="14" t="s">
        <v>23</v>
      </c>
      <c r="E98" s="309"/>
      <c r="F98" s="309"/>
      <c r="G98" s="309"/>
      <c r="H98" s="310">
        <f>+H74+1</f>
        <v>22</v>
      </c>
      <c r="I98" s="292"/>
      <c r="J98" s="292"/>
      <c r="K98" s="292"/>
      <c r="L98" s="292"/>
      <c r="M98" s="292"/>
      <c r="N98" s="292"/>
      <c r="O98" s="292"/>
      <c r="P98" s="292"/>
      <c r="Q98" s="292"/>
      <c r="R98" s="292"/>
      <c r="S98" s="292"/>
      <c r="T98" s="292"/>
    </row>
    <row r="99" spans="1:20" ht="21.9" customHeight="1">
      <c r="A99" s="287"/>
      <c r="B99" s="288"/>
      <c r="C99" s="12"/>
      <c r="D99" s="289"/>
      <c r="E99" s="287"/>
      <c r="F99" s="290"/>
      <c r="G99" s="52"/>
      <c r="H99" s="290"/>
      <c r="I99" s="292"/>
      <c r="J99" s="292"/>
      <c r="K99" s="292"/>
      <c r="L99" s="292"/>
      <c r="M99" s="292"/>
      <c r="N99" s="292"/>
      <c r="O99" s="292"/>
      <c r="P99" s="292"/>
      <c r="Q99" s="292"/>
      <c r="R99" s="292"/>
      <c r="S99" s="292"/>
      <c r="T99" s="292"/>
    </row>
    <row r="100" spans="1:20" ht="21.9" customHeight="1">
      <c r="A100" s="293"/>
      <c r="B100" s="294" t="s">
        <v>0</v>
      </c>
      <c r="C100" s="53" t="s">
        <v>1</v>
      </c>
      <c r="D100" s="296" t="s">
        <v>5</v>
      </c>
      <c r="E100" s="297" t="s">
        <v>6</v>
      </c>
      <c r="F100" s="298" t="s">
        <v>20</v>
      </c>
      <c r="G100" s="54" t="s">
        <v>21</v>
      </c>
      <c r="H100" s="298" t="s">
        <v>3</v>
      </c>
      <c r="I100" s="292"/>
      <c r="J100" s="292"/>
      <c r="K100" s="292"/>
      <c r="L100" s="292"/>
      <c r="M100" s="292"/>
      <c r="N100" s="292"/>
      <c r="O100" s="292"/>
      <c r="P100" s="292"/>
      <c r="Q100" s="292"/>
      <c r="R100" s="292"/>
      <c r="S100" s="292"/>
      <c r="T100" s="292"/>
    </row>
    <row r="101" spans="1:20" ht="21.9" customHeight="1">
      <c r="A101" s="306" t="s">
        <v>598</v>
      </c>
      <c r="B101" s="301" t="s">
        <v>635</v>
      </c>
      <c r="C101" s="398"/>
      <c r="D101" s="314"/>
      <c r="E101" s="297"/>
      <c r="F101" s="304"/>
      <c r="G101" s="42"/>
      <c r="H101" s="304"/>
      <c r="I101" s="292"/>
      <c r="J101" s="292"/>
      <c r="K101" s="292"/>
      <c r="L101" s="292"/>
      <c r="M101" s="292"/>
      <c r="N101" s="292"/>
      <c r="O101" s="292"/>
      <c r="P101" s="292"/>
      <c r="Q101" s="292"/>
      <c r="R101" s="292"/>
      <c r="S101" s="292"/>
      <c r="T101" s="308"/>
    </row>
    <row r="102" spans="1:20" ht="21.9" customHeight="1">
      <c r="A102" s="306"/>
      <c r="B102" s="18" t="s">
        <v>642</v>
      </c>
      <c r="C102" s="18" t="s">
        <v>643</v>
      </c>
      <c r="D102" s="395">
        <v>31.3</v>
      </c>
      <c r="E102" s="396" t="s">
        <v>622</v>
      </c>
      <c r="F102" s="304">
        <v>590</v>
      </c>
      <c r="G102" s="42">
        <f>D102*F102</f>
        <v>18467</v>
      </c>
      <c r="H102" s="399"/>
      <c r="I102" s="292"/>
      <c r="J102" s="292"/>
      <c r="K102" s="292"/>
      <c r="L102" s="292"/>
      <c r="M102" s="292"/>
      <c r="N102" s="292"/>
      <c r="O102" s="292"/>
      <c r="P102" s="292"/>
      <c r="Q102" s="292"/>
      <c r="R102" s="292"/>
      <c r="S102" s="292"/>
      <c r="T102" s="292"/>
    </row>
    <row r="103" spans="1:20" ht="21.9" customHeight="1">
      <c r="A103" s="302"/>
      <c r="B103" s="18" t="s">
        <v>644</v>
      </c>
      <c r="C103" s="18" t="s">
        <v>645</v>
      </c>
      <c r="D103" s="395">
        <v>7.1</v>
      </c>
      <c r="E103" s="396" t="s">
        <v>622</v>
      </c>
      <c r="F103" s="304">
        <v>1010</v>
      </c>
      <c r="G103" s="42">
        <f t="shared" ref="G103:G120" si="3">D103*F103</f>
        <v>7171</v>
      </c>
      <c r="H103" s="304"/>
      <c r="I103" s="292"/>
      <c r="J103" s="292"/>
      <c r="K103" s="292"/>
      <c r="L103" s="292"/>
      <c r="M103" s="292"/>
      <c r="N103" s="292"/>
      <c r="O103" s="292"/>
      <c r="P103" s="292"/>
      <c r="Q103" s="292"/>
      <c r="R103" s="292"/>
      <c r="S103" s="292"/>
      <c r="T103" s="292"/>
    </row>
    <row r="104" spans="1:20" ht="21.9" customHeight="1">
      <c r="A104" s="302"/>
      <c r="B104" s="18" t="s">
        <v>644</v>
      </c>
      <c r="C104" s="18" t="s">
        <v>646</v>
      </c>
      <c r="D104" s="395">
        <v>2.2999999999999998</v>
      </c>
      <c r="E104" s="396" t="s">
        <v>622</v>
      </c>
      <c r="F104" s="304">
        <v>3760</v>
      </c>
      <c r="G104" s="42">
        <f t="shared" si="3"/>
        <v>8648</v>
      </c>
      <c r="H104" s="304"/>
      <c r="I104" s="292"/>
      <c r="J104" s="292"/>
      <c r="K104" s="292"/>
      <c r="L104" s="292"/>
      <c r="M104" s="292"/>
      <c r="N104" s="292"/>
      <c r="O104" s="292"/>
      <c r="P104" s="292"/>
      <c r="Q104" s="292"/>
      <c r="R104" s="292"/>
      <c r="S104" s="292"/>
      <c r="T104" s="292"/>
    </row>
    <row r="105" spans="1:20" ht="21.9" customHeight="1">
      <c r="A105" s="302"/>
      <c r="B105" s="18" t="s">
        <v>647</v>
      </c>
      <c r="C105" s="18"/>
      <c r="D105" s="395">
        <v>21.9</v>
      </c>
      <c r="E105" s="396" t="s">
        <v>622</v>
      </c>
      <c r="F105" s="304">
        <v>15000</v>
      </c>
      <c r="G105" s="42">
        <f t="shared" si="3"/>
        <v>328500</v>
      </c>
      <c r="H105" s="304"/>
      <c r="I105" s="292"/>
      <c r="J105" s="292"/>
      <c r="K105" s="292"/>
      <c r="L105" s="292"/>
      <c r="M105" s="292"/>
      <c r="N105" s="292"/>
      <c r="O105" s="292"/>
      <c r="P105" s="292"/>
      <c r="Q105" s="292"/>
      <c r="R105" s="292"/>
      <c r="S105" s="292"/>
      <c r="T105" s="292"/>
    </row>
    <row r="106" spans="1:20" ht="21.9" customHeight="1">
      <c r="A106" s="302"/>
      <c r="B106" s="18" t="s">
        <v>648</v>
      </c>
      <c r="C106" s="18" t="s">
        <v>649</v>
      </c>
      <c r="D106" s="395">
        <v>3.7</v>
      </c>
      <c r="E106" s="396" t="s">
        <v>622</v>
      </c>
      <c r="F106" s="304">
        <v>7290</v>
      </c>
      <c r="G106" s="42">
        <f t="shared" si="3"/>
        <v>26973</v>
      </c>
      <c r="H106" s="304"/>
      <c r="I106" s="292"/>
      <c r="J106" s="292"/>
      <c r="K106" s="292"/>
      <c r="L106" s="292"/>
      <c r="M106" s="292"/>
      <c r="N106" s="292"/>
      <c r="O106" s="292"/>
      <c r="P106" s="292"/>
      <c r="Q106" s="292"/>
      <c r="R106" s="292"/>
      <c r="S106" s="292"/>
      <c r="T106" s="292"/>
    </row>
    <row r="107" spans="1:20" ht="21.9" customHeight="1">
      <c r="A107" s="302"/>
      <c r="B107" s="18" t="s">
        <v>650</v>
      </c>
      <c r="C107" s="18" t="s">
        <v>651</v>
      </c>
      <c r="D107" s="395">
        <v>1</v>
      </c>
      <c r="E107" s="396" t="s">
        <v>652</v>
      </c>
      <c r="F107" s="304">
        <v>82000</v>
      </c>
      <c r="G107" s="42">
        <f t="shared" si="3"/>
        <v>82000</v>
      </c>
      <c r="H107" s="304"/>
      <c r="I107" s="292"/>
      <c r="J107" s="292"/>
      <c r="K107" s="292"/>
      <c r="L107" s="292"/>
      <c r="M107" s="292"/>
      <c r="N107" s="292"/>
      <c r="O107" s="292"/>
      <c r="P107" s="292"/>
      <c r="Q107" s="292"/>
      <c r="R107" s="292"/>
      <c r="S107" s="292"/>
      <c r="T107" s="292"/>
    </row>
    <row r="108" spans="1:20" ht="21.9" customHeight="1">
      <c r="A108" s="302"/>
      <c r="B108" s="18"/>
      <c r="C108" s="18"/>
      <c r="D108" s="395"/>
      <c r="E108" s="396"/>
      <c r="F108" s="304"/>
      <c r="G108" s="42">
        <f t="shared" si="3"/>
        <v>0</v>
      </c>
      <c r="H108" s="18"/>
      <c r="I108" s="292"/>
      <c r="J108" s="292"/>
      <c r="K108" s="292"/>
      <c r="L108" s="292"/>
      <c r="M108" s="292"/>
      <c r="N108" s="292"/>
      <c r="O108" s="292"/>
      <c r="P108" s="292"/>
      <c r="Q108" s="292"/>
      <c r="R108" s="292"/>
      <c r="S108" s="292"/>
      <c r="T108" s="292"/>
    </row>
    <row r="109" spans="1:20" ht="21.9" customHeight="1">
      <c r="A109" s="302"/>
      <c r="B109" s="18"/>
      <c r="C109" s="18"/>
      <c r="D109" s="395"/>
      <c r="E109" s="396"/>
      <c r="F109" s="304"/>
      <c r="G109" s="42">
        <f t="shared" si="3"/>
        <v>0</v>
      </c>
      <c r="H109" s="399"/>
      <c r="I109" s="292"/>
      <c r="J109" s="292"/>
      <c r="K109" s="292"/>
      <c r="L109" s="292"/>
      <c r="M109" s="292"/>
      <c r="N109" s="292"/>
      <c r="O109" s="292"/>
      <c r="P109" s="292"/>
      <c r="Q109" s="292"/>
      <c r="R109" s="292"/>
      <c r="S109" s="292"/>
      <c r="T109" s="292"/>
    </row>
    <row r="110" spans="1:20" ht="21.9" customHeight="1">
      <c r="A110" s="302"/>
      <c r="B110" s="18"/>
      <c r="C110" s="18"/>
      <c r="D110" s="395"/>
      <c r="E110" s="396"/>
      <c r="F110" s="304"/>
      <c r="G110" s="42">
        <f t="shared" si="3"/>
        <v>0</v>
      </c>
      <c r="H110" s="304"/>
      <c r="I110" s="292"/>
      <c r="J110" s="292"/>
      <c r="K110" s="292"/>
      <c r="L110" s="292"/>
      <c r="M110" s="292"/>
      <c r="N110" s="292"/>
      <c r="O110" s="292"/>
      <c r="P110" s="292"/>
      <c r="Q110" s="292"/>
      <c r="R110" s="292"/>
      <c r="S110" s="292"/>
      <c r="T110" s="292"/>
    </row>
    <row r="111" spans="1:20" ht="21.9" customHeight="1">
      <c r="A111" s="302"/>
      <c r="B111" s="18"/>
      <c r="C111" s="18"/>
      <c r="D111" s="395"/>
      <c r="E111" s="396"/>
      <c r="F111" s="304"/>
      <c r="G111" s="42">
        <f t="shared" si="3"/>
        <v>0</v>
      </c>
      <c r="H111" s="304"/>
      <c r="I111" s="292"/>
      <c r="J111" s="292"/>
      <c r="K111" s="292"/>
      <c r="L111" s="292"/>
      <c r="M111" s="292"/>
      <c r="N111" s="292"/>
      <c r="O111" s="292"/>
      <c r="P111" s="292"/>
      <c r="Q111" s="292"/>
      <c r="R111" s="292"/>
      <c r="S111" s="292"/>
      <c r="T111" s="292"/>
    </row>
    <row r="112" spans="1:20" ht="21.9" customHeight="1">
      <c r="A112" s="302"/>
      <c r="B112" s="18"/>
      <c r="C112" s="18"/>
      <c r="D112" s="395"/>
      <c r="E112" s="396"/>
      <c r="F112" s="304"/>
      <c r="G112" s="42">
        <f t="shared" si="3"/>
        <v>0</v>
      </c>
      <c r="H112" s="304"/>
      <c r="I112" s="292"/>
      <c r="J112" s="292"/>
      <c r="K112" s="292"/>
      <c r="L112" s="292"/>
      <c r="M112" s="292"/>
      <c r="N112" s="292"/>
      <c r="O112" s="292"/>
      <c r="P112" s="292"/>
      <c r="Q112" s="292"/>
      <c r="R112" s="292"/>
      <c r="S112" s="292"/>
      <c r="T112" s="292"/>
    </row>
    <row r="113" spans="1:20" ht="21.9" customHeight="1">
      <c r="A113" s="302"/>
      <c r="B113" s="18"/>
      <c r="C113" s="18"/>
      <c r="D113" s="395"/>
      <c r="E113" s="396"/>
      <c r="F113" s="304"/>
      <c r="G113" s="42">
        <f t="shared" si="3"/>
        <v>0</v>
      </c>
      <c r="H113" s="304"/>
      <c r="I113" s="292"/>
      <c r="J113" s="292"/>
      <c r="K113" s="292"/>
      <c r="L113" s="292"/>
      <c r="M113" s="292"/>
      <c r="N113" s="292"/>
      <c r="O113" s="292"/>
      <c r="P113" s="292"/>
      <c r="Q113" s="292"/>
      <c r="R113" s="292"/>
      <c r="S113" s="292"/>
      <c r="T113" s="292"/>
    </row>
    <row r="114" spans="1:20" ht="21.9" customHeight="1">
      <c r="A114" s="302"/>
      <c r="B114" s="18"/>
      <c r="C114" s="18"/>
      <c r="D114" s="395"/>
      <c r="E114" s="396"/>
      <c r="F114" s="304"/>
      <c r="G114" s="42">
        <f t="shared" si="3"/>
        <v>0</v>
      </c>
      <c r="H114" s="304"/>
      <c r="I114" s="292"/>
      <c r="J114" s="292"/>
      <c r="K114" s="292"/>
      <c r="L114" s="292"/>
      <c r="M114" s="292"/>
      <c r="N114" s="292"/>
      <c r="O114" s="292"/>
      <c r="P114" s="292"/>
      <c r="Q114" s="292"/>
      <c r="R114" s="292"/>
      <c r="S114" s="292"/>
      <c r="T114" s="292"/>
    </row>
    <row r="115" spans="1:20" ht="21.9" customHeight="1">
      <c r="A115" s="302"/>
      <c r="B115" s="18"/>
      <c r="C115" s="18"/>
      <c r="D115" s="395"/>
      <c r="E115" s="396"/>
      <c r="F115" s="304"/>
      <c r="G115" s="42">
        <f t="shared" si="3"/>
        <v>0</v>
      </c>
      <c r="H115" s="18"/>
      <c r="I115" s="292"/>
      <c r="J115" s="292"/>
      <c r="K115" s="292"/>
      <c r="L115" s="292"/>
      <c r="M115" s="292"/>
      <c r="N115" s="292"/>
      <c r="O115" s="292"/>
      <c r="P115" s="292"/>
      <c r="Q115" s="292"/>
      <c r="R115" s="292"/>
      <c r="S115" s="292"/>
      <c r="T115" s="292"/>
    </row>
    <row r="116" spans="1:20" ht="21.9" customHeight="1">
      <c r="A116" s="302"/>
      <c r="B116" s="18"/>
      <c r="C116" s="18"/>
      <c r="D116" s="395"/>
      <c r="E116" s="396"/>
      <c r="F116" s="304"/>
      <c r="G116" s="42">
        <f t="shared" si="3"/>
        <v>0</v>
      </c>
      <c r="H116" s="304"/>
      <c r="I116" s="292"/>
      <c r="J116" s="292"/>
      <c r="K116" s="292"/>
      <c r="L116" s="292"/>
      <c r="M116" s="292"/>
      <c r="N116" s="292"/>
      <c r="O116" s="292"/>
      <c r="P116" s="292"/>
      <c r="Q116" s="292"/>
      <c r="R116" s="292"/>
      <c r="S116" s="292"/>
      <c r="T116" s="292"/>
    </row>
    <row r="117" spans="1:20" ht="21.9" customHeight="1">
      <c r="A117" s="302"/>
      <c r="B117" s="18"/>
      <c r="C117" s="18"/>
      <c r="D117" s="395"/>
      <c r="E117" s="396"/>
      <c r="F117" s="304"/>
      <c r="G117" s="42">
        <f t="shared" si="3"/>
        <v>0</v>
      </c>
      <c r="H117" s="304"/>
      <c r="I117" s="292"/>
      <c r="J117" s="292"/>
      <c r="K117" s="292"/>
      <c r="L117" s="292"/>
      <c r="M117" s="292"/>
      <c r="N117" s="292"/>
      <c r="O117" s="292"/>
      <c r="P117" s="292"/>
      <c r="Q117" s="292"/>
      <c r="R117" s="292"/>
      <c r="S117" s="292"/>
      <c r="T117" s="292"/>
    </row>
    <row r="118" spans="1:20" ht="21.9" customHeight="1">
      <c r="A118" s="302"/>
      <c r="B118" s="18"/>
      <c r="C118" s="18"/>
      <c r="D118" s="395"/>
      <c r="E118" s="396"/>
      <c r="F118" s="304"/>
      <c r="G118" s="42">
        <f t="shared" si="3"/>
        <v>0</v>
      </c>
      <c r="H118" s="304"/>
      <c r="I118" s="292"/>
      <c r="J118" s="292"/>
      <c r="K118" s="292"/>
      <c r="L118" s="292"/>
      <c r="M118" s="292"/>
      <c r="N118" s="292"/>
      <c r="O118" s="292"/>
      <c r="P118" s="292"/>
      <c r="Q118" s="292"/>
      <c r="R118" s="292"/>
      <c r="S118" s="292"/>
      <c r="T118" s="292"/>
    </row>
    <row r="119" spans="1:20" ht="21.9" customHeight="1">
      <c r="A119" s="302"/>
      <c r="B119" s="18"/>
      <c r="C119" s="18"/>
      <c r="D119" s="395"/>
      <c r="E119" s="396"/>
      <c r="F119" s="304"/>
      <c r="G119" s="42">
        <f t="shared" si="3"/>
        <v>0</v>
      </c>
      <c r="H119" s="399"/>
      <c r="I119" s="292"/>
      <c r="J119" s="292"/>
      <c r="K119" s="292"/>
      <c r="L119" s="292"/>
      <c r="M119" s="292"/>
      <c r="N119" s="292"/>
      <c r="O119" s="292"/>
      <c r="P119" s="292"/>
      <c r="Q119" s="292"/>
      <c r="R119" s="292"/>
      <c r="S119" s="292"/>
      <c r="T119" s="292"/>
    </row>
    <row r="120" spans="1:20" ht="21.9" customHeight="1">
      <c r="A120" s="302"/>
      <c r="B120" s="18"/>
      <c r="C120" s="18"/>
      <c r="D120" s="395"/>
      <c r="E120" s="396"/>
      <c r="F120" s="304"/>
      <c r="G120" s="42">
        <f t="shared" si="3"/>
        <v>0</v>
      </c>
      <c r="H120" s="304"/>
      <c r="I120" s="292"/>
      <c r="J120" s="292"/>
      <c r="K120" s="292"/>
      <c r="L120" s="292"/>
      <c r="M120" s="292"/>
      <c r="N120" s="292"/>
      <c r="O120" s="292"/>
      <c r="P120" s="292"/>
      <c r="Q120" s="292"/>
      <c r="R120" s="292"/>
      <c r="S120" s="292"/>
      <c r="T120" s="292"/>
    </row>
    <row r="121" spans="1:20" ht="21.9" customHeight="1">
      <c r="A121" s="302"/>
      <c r="B121" s="18" t="s">
        <v>419</v>
      </c>
      <c r="C121" s="18"/>
      <c r="D121" s="395"/>
      <c r="E121" s="396"/>
      <c r="F121" s="304"/>
      <c r="G121" s="42">
        <f>SUM(G102:G119)</f>
        <v>471759</v>
      </c>
      <c r="H121" s="399"/>
      <c r="I121" s="292"/>
      <c r="J121" s="292"/>
      <c r="K121" s="292"/>
      <c r="L121" s="292"/>
      <c r="M121" s="292"/>
      <c r="N121" s="292"/>
      <c r="O121" s="292"/>
      <c r="P121" s="292"/>
      <c r="Q121" s="292"/>
      <c r="R121" s="292"/>
      <c r="S121" s="292"/>
      <c r="T121" s="292"/>
    </row>
    <row r="122" spans="1:20" ht="21.9" customHeight="1">
      <c r="A122" s="302"/>
      <c r="B122" s="18"/>
      <c r="C122" s="18"/>
      <c r="D122" s="395"/>
      <c r="E122" s="396"/>
      <c r="F122" s="304"/>
      <c r="G122" s="42"/>
      <c r="H122" s="18"/>
      <c r="I122" s="292"/>
      <c r="J122" s="292"/>
      <c r="K122" s="292"/>
      <c r="L122" s="292"/>
      <c r="M122" s="292"/>
      <c r="N122" s="292"/>
      <c r="O122" s="292"/>
      <c r="P122" s="292"/>
      <c r="Q122" s="292"/>
      <c r="R122" s="292"/>
      <c r="S122" s="292"/>
      <c r="T122" s="292"/>
    </row>
    <row r="123" spans="1:20" ht="21.9" customHeight="1">
      <c r="A123" s="13"/>
      <c r="B123" s="309"/>
      <c r="C123" s="309"/>
      <c r="D123" s="14" t="s">
        <v>23</v>
      </c>
      <c r="E123" s="309"/>
      <c r="F123" s="309"/>
      <c r="G123" s="309"/>
      <c r="H123" s="310">
        <f>+H98+1</f>
        <v>23</v>
      </c>
      <c r="I123" s="292"/>
      <c r="J123" s="292"/>
      <c r="K123" s="292"/>
      <c r="L123" s="292"/>
      <c r="M123" s="292"/>
      <c r="N123" s="292"/>
      <c r="O123" s="292"/>
      <c r="P123" s="292"/>
      <c r="Q123" s="292"/>
      <c r="R123" s="292"/>
      <c r="S123" s="292"/>
      <c r="T123" s="292"/>
    </row>
    <row r="124" spans="1:20" ht="21.9" customHeight="1">
      <c r="A124" s="287"/>
      <c r="B124" s="288"/>
      <c r="C124" s="12"/>
      <c r="D124" s="289"/>
      <c r="E124" s="287"/>
      <c r="F124" s="290"/>
      <c r="G124" s="52"/>
      <c r="H124" s="290"/>
      <c r="I124" s="292"/>
      <c r="J124" s="292"/>
      <c r="K124" s="292"/>
      <c r="L124" s="292"/>
      <c r="M124" s="292"/>
      <c r="N124" s="292"/>
      <c r="O124" s="292"/>
      <c r="P124" s="292"/>
      <c r="Q124" s="292"/>
      <c r="R124" s="292"/>
      <c r="S124" s="292"/>
      <c r="T124" s="292"/>
    </row>
    <row r="125" spans="1:20" ht="21.9" customHeight="1">
      <c r="A125" s="293"/>
      <c r="B125" s="294" t="s">
        <v>0</v>
      </c>
      <c r="C125" s="53" t="s">
        <v>1</v>
      </c>
      <c r="D125" s="296" t="s">
        <v>5</v>
      </c>
      <c r="E125" s="297" t="s">
        <v>6</v>
      </c>
      <c r="F125" s="298" t="s">
        <v>20</v>
      </c>
      <c r="G125" s="54" t="s">
        <v>21</v>
      </c>
      <c r="H125" s="298" t="s">
        <v>3</v>
      </c>
      <c r="I125" s="292"/>
      <c r="J125" s="292"/>
      <c r="K125" s="292"/>
      <c r="L125" s="292"/>
      <c r="M125" s="292"/>
      <c r="N125" s="292"/>
      <c r="O125" s="292"/>
      <c r="P125" s="292"/>
      <c r="Q125" s="292"/>
      <c r="R125" s="292"/>
      <c r="S125" s="292"/>
      <c r="T125" s="292"/>
    </row>
    <row r="126" spans="1:20" s="403" customFormat="1" ht="21.9" customHeight="1">
      <c r="A126" s="400" t="s">
        <v>598</v>
      </c>
      <c r="B126" s="18" t="s">
        <v>636</v>
      </c>
      <c r="C126" s="18"/>
      <c r="D126" s="395"/>
      <c r="E126" s="396"/>
      <c r="F126" s="304"/>
      <c r="G126" s="42"/>
      <c r="H126" s="18"/>
      <c r="I126" s="401"/>
      <c r="J126" s="401"/>
      <c r="K126" s="401"/>
      <c r="L126" s="401"/>
      <c r="M126" s="401"/>
      <c r="N126" s="401"/>
      <c r="O126" s="401"/>
      <c r="P126" s="401"/>
      <c r="Q126" s="401"/>
      <c r="R126" s="401"/>
      <c r="S126" s="401"/>
      <c r="T126" s="402"/>
    </row>
    <row r="127" spans="1:20" s="403" customFormat="1" ht="21.9" customHeight="1">
      <c r="A127" s="400"/>
      <c r="B127" s="18" t="s">
        <v>653</v>
      </c>
      <c r="C127" s="18" t="s">
        <v>654</v>
      </c>
      <c r="D127" s="395">
        <v>3.7</v>
      </c>
      <c r="E127" s="396" t="s">
        <v>622</v>
      </c>
      <c r="F127" s="304">
        <v>22000</v>
      </c>
      <c r="G127" s="42">
        <f t="shared" ref="G127:G144" si="4">D127*F127</f>
        <v>81400</v>
      </c>
      <c r="H127" s="304"/>
      <c r="I127" s="401"/>
      <c r="J127" s="401"/>
      <c r="K127" s="401"/>
      <c r="L127" s="401"/>
      <c r="M127" s="401"/>
      <c r="N127" s="401"/>
      <c r="O127" s="401"/>
      <c r="P127" s="401"/>
      <c r="Q127" s="401"/>
      <c r="R127" s="401"/>
      <c r="S127" s="401"/>
      <c r="T127" s="401"/>
    </row>
    <row r="128" spans="1:20" ht="21.9" customHeight="1">
      <c r="A128" s="302"/>
      <c r="B128" s="18" t="s">
        <v>655</v>
      </c>
      <c r="C128" s="18"/>
      <c r="D128" s="395">
        <v>3.7</v>
      </c>
      <c r="E128" s="396" t="s">
        <v>622</v>
      </c>
      <c r="F128" s="304">
        <v>2210</v>
      </c>
      <c r="G128" s="42">
        <f t="shared" si="4"/>
        <v>8177</v>
      </c>
      <c r="H128" s="304"/>
      <c r="I128" s="292"/>
      <c r="J128" s="292"/>
      <c r="K128" s="292"/>
      <c r="L128" s="292"/>
      <c r="M128" s="292"/>
      <c r="N128" s="292"/>
      <c r="O128" s="292"/>
      <c r="P128" s="292"/>
      <c r="Q128" s="292"/>
      <c r="R128" s="292"/>
      <c r="S128" s="292"/>
      <c r="T128" s="292"/>
    </row>
    <row r="129" spans="1:20" ht="21.9" customHeight="1">
      <c r="A129" s="302"/>
      <c r="B129" s="18" t="s">
        <v>656</v>
      </c>
      <c r="C129" s="18" t="s">
        <v>657</v>
      </c>
      <c r="D129" s="395">
        <v>14.6</v>
      </c>
      <c r="E129" s="396" t="s">
        <v>622</v>
      </c>
      <c r="F129" s="304">
        <v>23200</v>
      </c>
      <c r="G129" s="42">
        <f t="shared" si="4"/>
        <v>338720</v>
      </c>
      <c r="H129" s="304"/>
      <c r="I129" s="292"/>
      <c r="J129" s="292"/>
      <c r="K129" s="292"/>
      <c r="L129" s="292"/>
      <c r="M129" s="292"/>
      <c r="N129" s="292"/>
      <c r="O129" s="292"/>
      <c r="P129" s="292"/>
      <c r="Q129" s="292"/>
      <c r="R129" s="292"/>
      <c r="S129" s="292"/>
      <c r="T129" s="292"/>
    </row>
    <row r="130" spans="1:20" ht="21.9" customHeight="1">
      <c r="A130" s="302"/>
      <c r="B130" s="18" t="s">
        <v>655</v>
      </c>
      <c r="C130" s="18" t="s">
        <v>658</v>
      </c>
      <c r="D130" s="395">
        <v>14.6</v>
      </c>
      <c r="E130" s="396" t="s">
        <v>622</v>
      </c>
      <c r="F130" s="304">
        <v>980</v>
      </c>
      <c r="G130" s="42">
        <f t="shared" si="4"/>
        <v>14308</v>
      </c>
      <c r="H130" s="304"/>
      <c r="I130" s="292"/>
      <c r="J130" s="292"/>
      <c r="K130" s="292"/>
      <c r="L130" s="292"/>
      <c r="M130" s="292"/>
      <c r="N130" s="292"/>
      <c r="O130" s="292"/>
      <c r="P130" s="292"/>
      <c r="Q130" s="292"/>
      <c r="R130" s="292"/>
      <c r="S130" s="292"/>
      <c r="T130" s="292"/>
    </row>
    <row r="131" spans="1:20" ht="21.9" customHeight="1">
      <c r="A131" s="302"/>
      <c r="B131" s="18" t="s">
        <v>659</v>
      </c>
      <c r="C131" s="18" t="s">
        <v>657</v>
      </c>
      <c r="D131" s="395">
        <v>4</v>
      </c>
      <c r="E131" s="396" t="s">
        <v>622</v>
      </c>
      <c r="F131" s="304">
        <v>23200</v>
      </c>
      <c r="G131" s="42">
        <f t="shared" si="4"/>
        <v>92800</v>
      </c>
      <c r="H131" s="304"/>
      <c r="I131" s="292"/>
      <c r="J131" s="292"/>
      <c r="K131" s="292"/>
      <c r="L131" s="292"/>
      <c r="M131" s="292"/>
      <c r="N131" s="292"/>
      <c r="O131" s="292"/>
      <c r="P131" s="292"/>
      <c r="Q131" s="292"/>
      <c r="R131" s="292"/>
      <c r="S131" s="292"/>
      <c r="T131" s="292"/>
    </row>
    <row r="132" spans="1:20" ht="21.9" customHeight="1">
      <c r="A132" s="302"/>
      <c r="B132" s="18" t="s">
        <v>655</v>
      </c>
      <c r="C132" s="18" t="s">
        <v>660</v>
      </c>
      <c r="D132" s="395">
        <v>4</v>
      </c>
      <c r="E132" s="396" t="s">
        <v>622</v>
      </c>
      <c r="F132" s="304">
        <v>850</v>
      </c>
      <c r="G132" s="42">
        <f t="shared" si="4"/>
        <v>3400</v>
      </c>
      <c r="H132" s="304"/>
      <c r="I132" s="292"/>
      <c r="J132" s="292"/>
      <c r="K132" s="292"/>
      <c r="L132" s="292"/>
      <c r="M132" s="292"/>
      <c r="N132" s="292"/>
      <c r="O132" s="292"/>
      <c r="P132" s="292"/>
      <c r="Q132" s="292"/>
      <c r="R132" s="292"/>
      <c r="S132" s="292"/>
      <c r="T132" s="292"/>
    </row>
    <row r="133" spans="1:20" s="403" customFormat="1" ht="21.9" customHeight="1">
      <c r="A133" s="400"/>
      <c r="B133" s="18" t="s">
        <v>661</v>
      </c>
      <c r="C133" s="18"/>
      <c r="D133" s="395">
        <v>3</v>
      </c>
      <c r="E133" s="396" t="s">
        <v>662</v>
      </c>
      <c r="F133" s="304">
        <v>115000</v>
      </c>
      <c r="G133" s="42">
        <f t="shared" si="4"/>
        <v>345000</v>
      </c>
      <c r="H133" s="304"/>
      <c r="I133" s="401"/>
      <c r="J133" s="401"/>
      <c r="K133" s="401"/>
      <c r="L133" s="401"/>
      <c r="M133" s="401"/>
      <c r="N133" s="401"/>
      <c r="O133" s="401"/>
      <c r="P133" s="401"/>
      <c r="Q133" s="401"/>
      <c r="R133" s="401"/>
      <c r="S133" s="401"/>
      <c r="T133" s="401"/>
    </row>
    <row r="134" spans="1:20" ht="21.9" customHeight="1">
      <c r="A134" s="302"/>
      <c r="B134" s="18"/>
      <c r="C134" s="18"/>
      <c r="D134" s="395"/>
      <c r="E134" s="396"/>
      <c r="F134" s="304"/>
      <c r="G134" s="42">
        <f t="shared" si="4"/>
        <v>0</v>
      </c>
      <c r="H134" s="304"/>
      <c r="I134" s="292"/>
      <c r="J134" s="292"/>
      <c r="K134" s="292"/>
      <c r="L134" s="292"/>
      <c r="M134" s="292"/>
      <c r="N134" s="292"/>
      <c r="O134" s="292"/>
      <c r="P134" s="292"/>
      <c r="Q134" s="292"/>
      <c r="R134" s="292"/>
      <c r="S134" s="292"/>
      <c r="T134" s="292"/>
    </row>
    <row r="135" spans="1:20" ht="21.9" customHeight="1">
      <c r="A135" s="302"/>
      <c r="B135" s="18"/>
      <c r="C135" s="18"/>
      <c r="D135" s="395"/>
      <c r="E135" s="396"/>
      <c r="F135" s="304"/>
      <c r="G135" s="42">
        <f t="shared" si="4"/>
        <v>0</v>
      </c>
      <c r="H135" s="304"/>
      <c r="I135" s="292"/>
      <c r="J135" s="292"/>
      <c r="K135" s="292"/>
      <c r="L135" s="292"/>
      <c r="M135" s="292"/>
      <c r="N135" s="292"/>
      <c r="O135" s="292"/>
      <c r="P135" s="292"/>
      <c r="Q135" s="292"/>
      <c r="R135" s="292"/>
      <c r="S135" s="292"/>
      <c r="T135" s="292"/>
    </row>
    <row r="136" spans="1:20" ht="21.9" customHeight="1">
      <c r="A136" s="302"/>
      <c r="B136" s="18"/>
      <c r="C136" s="18"/>
      <c r="D136" s="395"/>
      <c r="E136" s="396"/>
      <c r="F136" s="304"/>
      <c r="G136" s="42">
        <f t="shared" si="4"/>
        <v>0</v>
      </c>
      <c r="H136" s="304"/>
      <c r="I136" s="292"/>
      <c r="J136" s="292"/>
      <c r="K136" s="292"/>
      <c r="L136" s="292"/>
      <c r="M136" s="292"/>
      <c r="N136" s="292"/>
      <c r="O136" s="292"/>
      <c r="P136" s="292"/>
      <c r="Q136" s="292"/>
      <c r="R136" s="292"/>
      <c r="S136" s="292"/>
      <c r="T136" s="292"/>
    </row>
    <row r="137" spans="1:20" ht="21.9" customHeight="1">
      <c r="A137" s="302"/>
      <c r="B137" s="18"/>
      <c r="C137" s="18"/>
      <c r="D137" s="395"/>
      <c r="E137" s="396"/>
      <c r="F137" s="304"/>
      <c r="G137" s="42">
        <f t="shared" si="4"/>
        <v>0</v>
      </c>
      <c r="H137" s="304"/>
      <c r="I137" s="292"/>
      <c r="J137" s="292"/>
      <c r="K137" s="292"/>
      <c r="L137" s="292"/>
      <c r="M137" s="292"/>
      <c r="N137" s="292"/>
      <c r="O137" s="292"/>
      <c r="P137" s="292"/>
      <c r="Q137" s="292"/>
      <c r="R137" s="292"/>
      <c r="S137" s="292"/>
      <c r="T137" s="292"/>
    </row>
    <row r="138" spans="1:20" ht="21.9" customHeight="1">
      <c r="A138" s="302"/>
      <c r="B138" s="18"/>
      <c r="C138" s="18"/>
      <c r="D138" s="395"/>
      <c r="E138" s="396"/>
      <c r="F138" s="304"/>
      <c r="G138" s="42">
        <f t="shared" si="4"/>
        <v>0</v>
      </c>
      <c r="H138" s="304"/>
      <c r="I138" s="292"/>
      <c r="J138" s="292"/>
      <c r="K138" s="292"/>
      <c r="L138" s="292"/>
      <c r="M138" s="292"/>
      <c r="N138" s="292"/>
      <c r="O138" s="292"/>
      <c r="P138" s="292"/>
      <c r="Q138" s="292"/>
      <c r="R138" s="292"/>
      <c r="S138" s="292"/>
      <c r="T138" s="292"/>
    </row>
    <row r="139" spans="1:20" ht="21.9" customHeight="1">
      <c r="A139" s="302"/>
      <c r="B139" s="18"/>
      <c r="C139" s="18"/>
      <c r="D139" s="395"/>
      <c r="E139" s="396"/>
      <c r="F139" s="304"/>
      <c r="G139" s="42">
        <f t="shared" si="4"/>
        <v>0</v>
      </c>
      <c r="H139" s="304"/>
      <c r="I139" s="292"/>
      <c r="J139" s="292"/>
      <c r="K139" s="292"/>
      <c r="L139" s="292"/>
      <c r="M139" s="292"/>
      <c r="N139" s="292"/>
      <c r="O139" s="292"/>
      <c r="P139" s="292"/>
      <c r="Q139" s="292"/>
      <c r="R139" s="292"/>
      <c r="S139" s="292"/>
      <c r="T139" s="292"/>
    </row>
    <row r="140" spans="1:20" ht="21.9" customHeight="1">
      <c r="A140" s="302"/>
      <c r="B140" s="18"/>
      <c r="C140" s="18"/>
      <c r="D140" s="395"/>
      <c r="E140" s="396"/>
      <c r="F140" s="304"/>
      <c r="G140" s="42">
        <f t="shared" si="4"/>
        <v>0</v>
      </c>
      <c r="H140" s="304"/>
      <c r="I140" s="292"/>
      <c r="J140" s="292"/>
      <c r="K140" s="292"/>
      <c r="L140" s="292"/>
      <c r="M140" s="292"/>
      <c r="N140" s="292"/>
      <c r="O140" s="292"/>
      <c r="P140" s="292"/>
      <c r="Q140" s="292"/>
      <c r="R140" s="292"/>
      <c r="S140" s="292"/>
      <c r="T140" s="292"/>
    </row>
    <row r="141" spans="1:20" ht="21.9" customHeight="1">
      <c r="A141" s="302"/>
      <c r="B141" s="18"/>
      <c r="C141" s="18"/>
      <c r="D141" s="395"/>
      <c r="E141" s="396"/>
      <c r="F141" s="304"/>
      <c r="G141" s="42">
        <f t="shared" si="4"/>
        <v>0</v>
      </c>
      <c r="H141" s="18"/>
      <c r="I141" s="292"/>
      <c r="J141" s="292"/>
      <c r="K141" s="292"/>
      <c r="L141" s="292"/>
      <c r="M141" s="292"/>
      <c r="N141" s="292"/>
      <c r="O141" s="292"/>
      <c r="P141" s="292"/>
      <c r="Q141" s="292"/>
      <c r="R141" s="292"/>
      <c r="S141" s="292"/>
      <c r="T141" s="292"/>
    </row>
    <row r="142" spans="1:20" ht="21.9" customHeight="1">
      <c r="A142" s="302"/>
      <c r="B142" s="18"/>
      <c r="C142" s="18"/>
      <c r="D142" s="395"/>
      <c r="E142" s="396"/>
      <c r="F142" s="304"/>
      <c r="G142" s="42">
        <f t="shared" si="4"/>
        <v>0</v>
      </c>
      <c r="H142" s="399"/>
      <c r="I142" s="292"/>
      <c r="J142" s="292"/>
      <c r="K142" s="292"/>
      <c r="L142" s="292"/>
      <c r="M142" s="292"/>
      <c r="N142" s="292"/>
      <c r="O142" s="292"/>
      <c r="P142" s="292"/>
      <c r="Q142" s="292"/>
      <c r="R142" s="292"/>
      <c r="S142" s="292"/>
      <c r="T142" s="292"/>
    </row>
    <row r="143" spans="1:20" ht="21.9" customHeight="1">
      <c r="A143" s="302"/>
      <c r="B143" s="18"/>
      <c r="C143" s="398"/>
      <c r="D143" s="395"/>
      <c r="E143" s="396"/>
      <c r="F143" s="304"/>
      <c r="G143" s="42">
        <f t="shared" si="4"/>
        <v>0</v>
      </c>
      <c r="H143" s="18"/>
      <c r="I143" s="292"/>
      <c r="J143" s="292"/>
      <c r="K143" s="292"/>
      <c r="L143" s="292"/>
      <c r="M143" s="292"/>
      <c r="N143" s="292"/>
      <c r="O143" s="292"/>
      <c r="P143" s="292"/>
      <c r="Q143" s="292"/>
      <c r="R143" s="292"/>
      <c r="S143" s="292"/>
      <c r="T143" s="292"/>
    </row>
    <row r="144" spans="1:20" ht="21.9" customHeight="1">
      <c r="A144" s="302"/>
      <c r="B144" s="18"/>
      <c r="C144" s="398"/>
      <c r="D144" s="395"/>
      <c r="E144" s="396"/>
      <c r="F144" s="304"/>
      <c r="G144" s="42">
        <f t="shared" si="4"/>
        <v>0</v>
      </c>
      <c r="H144" s="18"/>
      <c r="I144" s="292"/>
      <c r="J144" s="292"/>
      <c r="K144" s="292"/>
      <c r="L144" s="292"/>
      <c r="M144" s="292"/>
      <c r="N144" s="292"/>
      <c r="O144" s="292"/>
      <c r="P144" s="292"/>
      <c r="Q144" s="292"/>
      <c r="R144" s="292"/>
      <c r="S144" s="292"/>
      <c r="T144" s="292"/>
    </row>
    <row r="145" spans="1:20" ht="21.9" customHeight="1">
      <c r="A145" s="302"/>
      <c r="B145" s="18"/>
      <c r="C145" s="18"/>
      <c r="D145" s="395"/>
      <c r="E145" s="396"/>
      <c r="F145" s="304"/>
      <c r="G145" s="42"/>
      <c r="H145" s="399"/>
      <c r="I145" s="292"/>
      <c r="J145" s="292"/>
      <c r="K145" s="292"/>
      <c r="L145" s="292"/>
      <c r="M145" s="292"/>
      <c r="N145" s="292"/>
      <c r="O145" s="292"/>
      <c r="P145" s="292"/>
      <c r="Q145" s="292"/>
      <c r="R145" s="292"/>
      <c r="S145" s="292"/>
      <c r="T145" s="292"/>
    </row>
    <row r="146" spans="1:20" ht="21.9" customHeight="1">
      <c r="A146" s="302"/>
      <c r="B146" s="297" t="s">
        <v>419</v>
      </c>
      <c r="C146" s="43"/>
      <c r="D146" s="314"/>
      <c r="E146" s="297"/>
      <c r="F146" s="304"/>
      <c r="G146" s="42">
        <f>SUM(G127:G144)</f>
        <v>883805</v>
      </c>
      <c r="H146" s="304"/>
      <c r="I146" s="292"/>
      <c r="J146" s="292"/>
      <c r="K146" s="292"/>
      <c r="L146" s="292"/>
      <c r="M146" s="292"/>
      <c r="N146" s="292"/>
      <c r="O146" s="292"/>
      <c r="P146" s="292"/>
      <c r="Q146" s="292"/>
      <c r="R146" s="292"/>
      <c r="S146" s="292"/>
      <c r="T146" s="292"/>
    </row>
    <row r="147" spans="1:20" ht="21.9" customHeight="1">
      <c r="A147" s="302"/>
      <c r="B147" s="315"/>
      <c r="C147" s="316"/>
      <c r="D147" s="314"/>
      <c r="E147" s="297"/>
      <c r="F147" s="304"/>
      <c r="G147" s="255"/>
      <c r="H147" s="304"/>
      <c r="I147" s="292"/>
      <c r="J147" s="292"/>
      <c r="K147" s="292"/>
      <c r="L147" s="292"/>
      <c r="M147" s="292"/>
      <c r="N147" s="292"/>
      <c r="O147" s="292"/>
      <c r="P147" s="292"/>
      <c r="Q147" s="292"/>
      <c r="R147" s="292"/>
      <c r="S147" s="292"/>
      <c r="T147" s="292"/>
    </row>
    <row r="148" spans="1:20" ht="21.9" customHeight="1">
      <c r="A148" s="13"/>
      <c r="B148" s="309"/>
      <c r="C148" s="309"/>
      <c r="D148" s="14" t="s">
        <v>2</v>
      </c>
      <c r="E148" s="309"/>
      <c r="F148" s="309"/>
      <c r="G148" s="309"/>
      <c r="H148" s="310">
        <f>+H123+1</f>
        <v>24</v>
      </c>
      <c r="I148" s="292"/>
      <c r="J148" s="292"/>
      <c r="K148" s="292"/>
      <c r="L148" s="292"/>
      <c r="M148" s="292"/>
      <c r="N148" s="292"/>
      <c r="O148" s="292"/>
      <c r="P148" s="292"/>
      <c r="Q148" s="292"/>
      <c r="R148" s="292"/>
      <c r="S148" s="292"/>
      <c r="T148" s="292"/>
    </row>
    <row r="149" spans="1:20" ht="21.9" customHeight="1">
      <c r="A149" s="287"/>
      <c r="B149" s="288"/>
      <c r="C149" s="12"/>
      <c r="D149" s="289"/>
      <c r="E149" s="287"/>
      <c r="F149" s="290"/>
      <c r="G149" s="52"/>
      <c r="H149" s="290"/>
      <c r="I149" s="292"/>
      <c r="J149" s="292"/>
      <c r="K149" s="292"/>
      <c r="L149" s="292"/>
      <c r="M149" s="292"/>
      <c r="N149" s="292"/>
      <c r="O149" s="292"/>
      <c r="P149" s="292"/>
      <c r="Q149" s="292"/>
      <c r="R149" s="292"/>
      <c r="S149" s="292"/>
      <c r="T149" s="292"/>
    </row>
    <row r="150" spans="1:20" ht="21.9" customHeight="1">
      <c r="A150" s="293"/>
      <c r="B150" s="294" t="s">
        <v>0</v>
      </c>
      <c r="C150" s="53" t="s">
        <v>1</v>
      </c>
      <c r="D150" s="296" t="s">
        <v>5</v>
      </c>
      <c r="E150" s="297" t="s">
        <v>6</v>
      </c>
      <c r="F150" s="298" t="s">
        <v>20</v>
      </c>
      <c r="G150" s="54" t="s">
        <v>21</v>
      </c>
      <c r="H150" s="298" t="s">
        <v>3</v>
      </c>
      <c r="I150" s="292"/>
      <c r="J150" s="292"/>
      <c r="K150" s="292"/>
      <c r="L150" s="292"/>
      <c r="M150" s="292"/>
      <c r="N150" s="292"/>
      <c r="O150" s="292"/>
      <c r="P150" s="292"/>
      <c r="Q150" s="292"/>
      <c r="R150" s="292"/>
      <c r="S150" s="292"/>
      <c r="T150" s="292"/>
    </row>
    <row r="151" spans="1:20" ht="21.9" customHeight="1">
      <c r="A151" s="306" t="s">
        <v>598</v>
      </c>
      <c r="B151" s="318" t="s">
        <v>637</v>
      </c>
      <c r="C151" s="398"/>
      <c r="D151" s="314"/>
      <c r="E151" s="297"/>
      <c r="F151" s="304"/>
      <c r="G151" s="42"/>
      <c r="H151" s="304"/>
      <c r="I151" s="292"/>
      <c r="J151" s="292"/>
      <c r="K151" s="292"/>
      <c r="L151" s="292"/>
      <c r="M151" s="292"/>
      <c r="N151" s="292"/>
      <c r="O151" s="292"/>
      <c r="P151" s="292"/>
      <c r="Q151" s="292"/>
      <c r="R151" s="292"/>
      <c r="S151" s="292"/>
      <c r="T151" s="308"/>
    </row>
    <row r="152" spans="1:20" ht="21.9" customHeight="1">
      <c r="A152" s="302"/>
      <c r="B152" s="294" t="s">
        <v>663</v>
      </c>
      <c r="C152" s="398" t="s">
        <v>664</v>
      </c>
      <c r="D152" s="314">
        <v>1.1000000000000001</v>
      </c>
      <c r="E152" s="297" t="s">
        <v>665</v>
      </c>
      <c r="F152" s="304">
        <v>116500</v>
      </c>
      <c r="G152" s="42">
        <f t="shared" ref="G152:G168" si="5">D152*F152</f>
        <v>128150.00000000001</v>
      </c>
      <c r="H152" s="304"/>
      <c r="I152" s="292"/>
      <c r="J152" s="292"/>
      <c r="K152" s="292"/>
      <c r="L152" s="292"/>
      <c r="M152" s="292"/>
      <c r="N152" s="292"/>
      <c r="O152" s="292"/>
      <c r="P152" s="292"/>
      <c r="Q152" s="292"/>
      <c r="R152" s="292"/>
      <c r="S152" s="292"/>
      <c r="T152" s="292"/>
    </row>
    <row r="153" spans="1:20" ht="21.9" customHeight="1">
      <c r="A153" s="302"/>
      <c r="B153" s="18" t="s">
        <v>666</v>
      </c>
      <c r="C153" s="398" t="s">
        <v>667</v>
      </c>
      <c r="D153" s="395">
        <v>1.1000000000000001</v>
      </c>
      <c r="E153" s="396" t="s">
        <v>665</v>
      </c>
      <c r="F153" s="304">
        <v>13900</v>
      </c>
      <c r="G153" s="42">
        <f t="shared" si="5"/>
        <v>15290.000000000002</v>
      </c>
      <c r="H153" s="18"/>
      <c r="I153" s="292"/>
      <c r="J153" s="292"/>
      <c r="K153" s="292"/>
      <c r="L153" s="292"/>
      <c r="M153" s="292"/>
      <c r="N153" s="292"/>
      <c r="O153" s="292"/>
      <c r="P153" s="292"/>
      <c r="Q153" s="292"/>
      <c r="R153" s="292"/>
      <c r="S153" s="292"/>
      <c r="T153" s="292"/>
    </row>
    <row r="154" spans="1:20" ht="21.9" customHeight="1">
      <c r="A154" s="302"/>
      <c r="B154" s="18" t="s">
        <v>668</v>
      </c>
      <c r="C154" s="398" t="s">
        <v>669</v>
      </c>
      <c r="D154" s="395">
        <v>1.1000000000000001</v>
      </c>
      <c r="E154" s="396" t="s">
        <v>665</v>
      </c>
      <c r="F154" s="304">
        <v>5000</v>
      </c>
      <c r="G154" s="42">
        <f t="shared" si="5"/>
        <v>5500</v>
      </c>
      <c r="H154" s="18"/>
      <c r="I154" s="292"/>
      <c r="J154" s="292"/>
      <c r="K154" s="292"/>
      <c r="L154" s="292"/>
      <c r="M154" s="292"/>
      <c r="N154" s="292"/>
      <c r="O154" s="292"/>
      <c r="P154" s="292"/>
      <c r="Q154" s="292"/>
      <c r="R154" s="292"/>
      <c r="S154" s="292"/>
      <c r="T154" s="292"/>
    </row>
    <row r="155" spans="1:20" ht="21.9" customHeight="1">
      <c r="A155" s="302"/>
      <c r="B155" s="18"/>
      <c r="C155" s="398"/>
      <c r="D155" s="395"/>
      <c r="E155" s="396"/>
      <c r="F155" s="304"/>
      <c r="G155" s="42">
        <f t="shared" si="5"/>
        <v>0</v>
      </c>
      <c r="H155" s="18"/>
      <c r="I155" s="292"/>
      <c r="J155" s="292"/>
      <c r="K155" s="292"/>
      <c r="L155" s="292"/>
      <c r="M155" s="292"/>
      <c r="N155" s="292"/>
      <c r="O155" s="292"/>
      <c r="P155" s="292"/>
      <c r="Q155" s="292"/>
      <c r="R155" s="292"/>
      <c r="S155" s="292"/>
      <c r="T155" s="292"/>
    </row>
    <row r="156" spans="1:20" ht="21.9" customHeight="1">
      <c r="A156" s="302"/>
      <c r="B156" s="294"/>
      <c r="C156" s="398"/>
      <c r="D156" s="314"/>
      <c r="E156" s="297"/>
      <c r="F156" s="304"/>
      <c r="G156" s="42">
        <f t="shared" si="5"/>
        <v>0</v>
      </c>
      <c r="H156" s="304"/>
      <c r="I156" s="292"/>
      <c r="J156" s="292"/>
      <c r="K156" s="292"/>
      <c r="L156" s="292"/>
      <c r="M156" s="292"/>
      <c r="N156" s="292"/>
      <c r="O156" s="292"/>
      <c r="P156" s="292"/>
      <c r="Q156" s="292"/>
      <c r="R156" s="292"/>
      <c r="S156" s="292"/>
      <c r="T156" s="292"/>
    </row>
    <row r="157" spans="1:20" ht="21.9" customHeight="1">
      <c r="A157" s="302"/>
      <c r="B157" s="294"/>
      <c r="C157" s="398"/>
      <c r="D157" s="314"/>
      <c r="E157" s="297"/>
      <c r="F157" s="304"/>
      <c r="G157" s="42">
        <f t="shared" si="5"/>
        <v>0</v>
      </c>
      <c r="H157" s="304"/>
      <c r="I157" s="292"/>
      <c r="J157" s="292"/>
      <c r="K157" s="292"/>
      <c r="L157" s="292"/>
      <c r="M157" s="292"/>
      <c r="N157" s="292"/>
      <c r="O157" s="292"/>
      <c r="P157" s="292"/>
      <c r="Q157" s="292"/>
      <c r="R157" s="292"/>
      <c r="S157" s="292"/>
      <c r="T157" s="292"/>
    </row>
    <row r="158" spans="1:20" ht="21.9" customHeight="1">
      <c r="A158" s="302"/>
      <c r="B158" s="294"/>
      <c r="C158" s="398"/>
      <c r="D158" s="314"/>
      <c r="E158" s="297"/>
      <c r="F158" s="304"/>
      <c r="G158" s="42">
        <f t="shared" si="5"/>
        <v>0</v>
      </c>
      <c r="H158" s="304"/>
      <c r="I158" s="292"/>
      <c r="J158" s="292"/>
      <c r="K158" s="292"/>
      <c r="L158" s="292"/>
      <c r="M158" s="292"/>
      <c r="N158" s="292"/>
      <c r="O158" s="292"/>
      <c r="P158" s="292"/>
      <c r="Q158" s="292"/>
      <c r="R158" s="292"/>
      <c r="S158" s="292"/>
      <c r="T158" s="292"/>
    </row>
    <row r="159" spans="1:20" ht="21.9" customHeight="1">
      <c r="A159" s="302"/>
      <c r="B159" s="294"/>
      <c r="C159" s="398"/>
      <c r="D159" s="314"/>
      <c r="E159" s="297"/>
      <c r="F159" s="304"/>
      <c r="G159" s="42">
        <f t="shared" si="5"/>
        <v>0</v>
      </c>
      <c r="H159" s="304"/>
      <c r="I159" s="292"/>
      <c r="J159" s="292"/>
      <c r="K159" s="292"/>
      <c r="L159" s="292"/>
      <c r="M159" s="292"/>
      <c r="N159" s="292"/>
      <c r="O159" s="292"/>
      <c r="P159" s="292"/>
      <c r="Q159" s="292"/>
      <c r="R159" s="292"/>
      <c r="S159" s="292"/>
      <c r="T159" s="292"/>
    </row>
    <row r="160" spans="1:20" ht="21.9" customHeight="1">
      <c r="A160" s="302"/>
      <c r="B160" s="294"/>
      <c r="C160" s="398"/>
      <c r="D160" s="314"/>
      <c r="E160" s="297"/>
      <c r="F160" s="304"/>
      <c r="G160" s="42">
        <f t="shared" si="5"/>
        <v>0</v>
      </c>
      <c r="H160" s="304"/>
      <c r="I160" s="292"/>
      <c r="J160" s="292"/>
      <c r="K160" s="292"/>
      <c r="L160" s="292"/>
      <c r="M160" s="292"/>
      <c r="N160" s="292"/>
      <c r="O160" s="292"/>
      <c r="P160" s="292"/>
      <c r="Q160" s="292"/>
      <c r="R160" s="292"/>
      <c r="S160" s="292"/>
      <c r="T160" s="292"/>
    </row>
    <row r="161" spans="1:20" ht="21.9" customHeight="1">
      <c r="A161" s="302"/>
      <c r="B161" s="294"/>
      <c r="C161" s="398"/>
      <c r="D161" s="314"/>
      <c r="E161" s="297"/>
      <c r="F161" s="304"/>
      <c r="G161" s="42">
        <f t="shared" si="5"/>
        <v>0</v>
      </c>
      <c r="H161" s="304"/>
      <c r="I161" s="292"/>
      <c r="J161" s="292"/>
      <c r="K161" s="292"/>
      <c r="L161" s="292"/>
      <c r="M161" s="292"/>
      <c r="N161" s="292"/>
      <c r="O161" s="292"/>
      <c r="P161" s="292"/>
      <c r="Q161" s="292"/>
      <c r="R161" s="292"/>
      <c r="S161" s="292"/>
      <c r="T161" s="292"/>
    </row>
    <row r="162" spans="1:20" ht="21.9" customHeight="1">
      <c r="A162" s="302"/>
      <c r="B162" s="294"/>
      <c r="C162" s="398"/>
      <c r="D162" s="314"/>
      <c r="E162" s="297"/>
      <c r="F162" s="304"/>
      <c r="G162" s="42">
        <f t="shared" si="5"/>
        <v>0</v>
      </c>
      <c r="H162" s="304"/>
      <c r="I162" s="292"/>
      <c r="J162" s="292"/>
      <c r="K162" s="292"/>
      <c r="L162" s="292"/>
      <c r="M162" s="292"/>
      <c r="N162" s="292"/>
      <c r="O162" s="292"/>
      <c r="P162" s="292"/>
      <c r="Q162" s="292"/>
      <c r="R162" s="292"/>
      <c r="S162" s="292"/>
      <c r="T162" s="292"/>
    </row>
    <row r="163" spans="1:20" ht="21.9" customHeight="1">
      <c r="A163" s="302"/>
      <c r="B163" s="294"/>
      <c r="C163" s="398"/>
      <c r="D163" s="314"/>
      <c r="E163" s="297"/>
      <c r="F163" s="304"/>
      <c r="G163" s="42">
        <f t="shared" si="5"/>
        <v>0</v>
      </c>
      <c r="H163" s="304"/>
      <c r="I163" s="292"/>
      <c r="J163" s="292"/>
      <c r="K163" s="292"/>
      <c r="L163" s="292"/>
      <c r="M163" s="292"/>
      <c r="N163" s="292"/>
      <c r="O163" s="292"/>
      <c r="P163" s="292"/>
      <c r="Q163" s="292"/>
      <c r="R163" s="292"/>
      <c r="S163" s="292"/>
      <c r="T163" s="292"/>
    </row>
    <row r="164" spans="1:20" ht="21.9" customHeight="1">
      <c r="A164" s="302"/>
      <c r="B164" s="294"/>
      <c r="C164" s="398"/>
      <c r="D164" s="314"/>
      <c r="E164" s="297"/>
      <c r="F164" s="304"/>
      <c r="G164" s="42">
        <f t="shared" si="5"/>
        <v>0</v>
      </c>
      <c r="H164" s="304"/>
      <c r="I164" s="292"/>
      <c r="J164" s="292"/>
      <c r="K164" s="292"/>
      <c r="L164" s="292"/>
      <c r="M164" s="292"/>
      <c r="N164" s="292"/>
      <c r="O164" s="292"/>
      <c r="P164" s="292"/>
      <c r="Q164" s="292"/>
      <c r="R164" s="292"/>
      <c r="S164" s="292"/>
      <c r="T164" s="292"/>
    </row>
    <row r="165" spans="1:20" ht="21.9" customHeight="1">
      <c r="A165" s="302"/>
      <c r="B165" s="294"/>
      <c r="C165" s="398"/>
      <c r="D165" s="314"/>
      <c r="E165" s="297"/>
      <c r="F165" s="304"/>
      <c r="G165" s="42">
        <f t="shared" si="5"/>
        <v>0</v>
      </c>
      <c r="H165" s="304"/>
      <c r="I165" s="292"/>
      <c r="J165" s="292"/>
      <c r="K165" s="292"/>
      <c r="L165" s="292"/>
      <c r="M165" s="292"/>
      <c r="N165" s="292"/>
      <c r="O165" s="292"/>
      <c r="P165" s="292"/>
      <c r="Q165" s="292"/>
      <c r="R165" s="292"/>
      <c r="S165" s="292"/>
      <c r="T165" s="292"/>
    </row>
    <row r="166" spans="1:20" ht="21.9" customHeight="1">
      <c r="A166" s="302"/>
      <c r="B166" s="294"/>
      <c r="C166" s="398"/>
      <c r="D166" s="314"/>
      <c r="E166" s="297"/>
      <c r="F166" s="304"/>
      <c r="G166" s="42">
        <f t="shared" si="5"/>
        <v>0</v>
      </c>
      <c r="H166" s="304"/>
      <c r="I166" s="292"/>
      <c r="J166" s="292"/>
      <c r="K166" s="292"/>
      <c r="L166" s="292"/>
      <c r="M166" s="292"/>
      <c r="N166" s="292"/>
      <c r="O166" s="292"/>
      <c r="P166" s="292"/>
      <c r="Q166" s="292"/>
      <c r="R166" s="292"/>
      <c r="S166" s="292"/>
      <c r="T166" s="292"/>
    </row>
    <row r="167" spans="1:20" ht="21.9" customHeight="1">
      <c r="A167" s="302"/>
      <c r="B167" s="294"/>
      <c r="C167" s="398"/>
      <c r="D167" s="314"/>
      <c r="E167" s="297"/>
      <c r="F167" s="304"/>
      <c r="G167" s="42">
        <f t="shared" si="5"/>
        <v>0</v>
      </c>
      <c r="H167" s="304"/>
      <c r="I167" s="292"/>
      <c r="J167" s="292"/>
      <c r="K167" s="292"/>
      <c r="L167" s="292"/>
      <c r="M167" s="292"/>
      <c r="N167" s="292"/>
      <c r="O167" s="292"/>
      <c r="P167" s="292"/>
      <c r="Q167" s="292"/>
      <c r="R167" s="292"/>
      <c r="S167" s="292"/>
      <c r="T167" s="292"/>
    </row>
    <row r="168" spans="1:20" ht="21.9" customHeight="1">
      <c r="A168" s="302"/>
      <c r="B168" s="294"/>
      <c r="C168" s="398"/>
      <c r="D168" s="314"/>
      <c r="E168" s="297"/>
      <c r="F168" s="304"/>
      <c r="G168" s="42">
        <f t="shared" si="5"/>
        <v>0</v>
      </c>
      <c r="H168" s="304"/>
      <c r="I168" s="292"/>
      <c r="J168" s="292"/>
      <c r="K168" s="292"/>
      <c r="L168" s="292"/>
      <c r="M168" s="292"/>
      <c r="N168" s="292"/>
      <c r="O168" s="292"/>
      <c r="P168" s="292"/>
      <c r="Q168" s="292"/>
      <c r="R168" s="292"/>
      <c r="S168" s="292"/>
      <c r="T168" s="292"/>
    </row>
    <row r="169" spans="1:20" ht="21.9" customHeight="1">
      <c r="A169" s="302"/>
      <c r="B169" s="294"/>
      <c r="C169" s="398"/>
      <c r="D169" s="314"/>
      <c r="E169" s="297"/>
      <c r="F169" s="304"/>
      <c r="G169" s="42"/>
      <c r="H169" s="304"/>
      <c r="I169" s="292"/>
      <c r="J169" s="292"/>
      <c r="K169" s="292"/>
      <c r="L169" s="292"/>
      <c r="M169" s="292"/>
      <c r="N169" s="292"/>
      <c r="O169" s="292"/>
      <c r="P169" s="292"/>
      <c r="Q169" s="292"/>
      <c r="R169" s="292"/>
      <c r="S169" s="292"/>
      <c r="T169" s="292"/>
    </row>
    <row r="170" spans="1:20" ht="21.9" customHeight="1">
      <c r="A170" s="302"/>
      <c r="B170" s="297" t="s">
        <v>419</v>
      </c>
      <c r="C170" s="43"/>
      <c r="D170" s="314"/>
      <c r="E170" s="297"/>
      <c r="F170" s="304"/>
      <c r="G170" s="42">
        <f>SUM(G152:G168)</f>
        <v>148940.00000000003</v>
      </c>
      <c r="H170" s="304"/>
      <c r="I170" s="292"/>
      <c r="J170" s="292"/>
      <c r="K170" s="292"/>
      <c r="L170" s="292"/>
      <c r="M170" s="292"/>
      <c r="N170" s="292"/>
      <c r="O170" s="292"/>
      <c r="P170" s="292"/>
      <c r="Q170" s="292"/>
      <c r="R170" s="292"/>
      <c r="S170" s="292"/>
      <c r="T170" s="292"/>
    </row>
    <row r="171" spans="1:20" ht="21.9" customHeight="1">
      <c r="A171" s="302"/>
      <c r="B171" s="315"/>
      <c r="C171" s="316"/>
      <c r="D171" s="314"/>
      <c r="E171" s="297"/>
      <c r="F171" s="304"/>
      <c r="G171" s="255"/>
      <c r="H171" s="304"/>
      <c r="I171" s="292"/>
      <c r="J171" s="292"/>
      <c r="K171" s="292"/>
      <c r="L171" s="292"/>
      <c r="M171" s="292"/>
      <c r="N171" s="292"/>
      <c r="O171" s="292"/>
      <c r="P171" s="292"/>
      <c r="Q171" s="292"/>
      <c r="R171" s="292"/>
      <c r="S171" s="292"/>
      <c r="T171" s="292"/>
    </row>
    <row r="172" spans="1:20" ht="21.9" customHeight="1">
      <c r="A172" s="13"/>
      <c r="B172" s="309"/>
      <c r="C172" s="309"/>
      <c r="D172" s="14" t="s">
        <v>23</v>
      </c>
      <c r="E172" s="309"/>
      <c r="F172" s="309"/>
      <c r="G172" s="309"/>
      <c r="H172" s="310">
        <f>+H148+1</f>
        <v>25</v>
      </c>
      <c r="I172" s="292"/>
      <c r="J172" s="292"/>
      <c r="K172" s="292"/>
      <c r="L172" s="292"/>
      <c r="M172" s="292"/>
      <c r="N172" s="292"/>
      <c r="O172" s="292"/>
      <c r="P172" s="292"/>
      <c r="Q172" s="292"/>
      <c r="R172" s="292"/>
      <c r="S172" s="292"/>
      <c r="T172" s="292"/>
    </row>
    <row r="173" spans="1:20" ht="21.9" customHeight="1">
      <c r="A173" s="287"/>
      <c r="B173" s="288"/>
      <c r="C173" s="12"/>
      <c r="D173" s="289"/>
      <c r="E173" s="287"/>
      <c r="F173" s="290"/>
      <c r="G173" s="52"/>
      <c r="H173" s="290"/>
      <c r="I173" s="292"/>
      <c r="J173" s="292"/>
      <c r="K173" s="292"/>
      <c r="L173" s="292"/>
      <c r="M173" s="292"/>
      <c r="N173" s="292"/>
      <c r="O173" s="292"/>
      <c r="P173" s="292"/>
      <c r="Q173" s="292"/>
      <c r="R173" s="292"/>
      <c r="S173" s="292"/>
      <c r="T173" s="292"/>
    </row>
    <row r="174" spans="1:20" ht="21.9" customHeight="1">
      <c r="A174" s="293"/>
      <c r="B174" s="294" t="s">
        <v>0</v>
      </c>
      <c r="C174" s="53" t="s">
        <v>1</v>
      </c>
      <c r="D174" s="296" t="s">
        <v>5</v>
      </c>
      <c r="E174" s="297" t="s">
        <v>6</v>
      </c>
      <c r="F174" s="298" t="s">
        <v>20</v>
      </c>
      <c r="G174" s="54" t="s">
        <v>21</v>
      </c>
      <c r="H174" s="298" t="s">
        <v>3</v>
      </c>
      <c r="I174" s="292"/>
      <c r="J174" s="292"/>
      <c r="K174" s="292"/>
      <c r="L174" s="292"/>
      <c r="M174" s="292"/>
      <c r="N174" s="292"/>
      <c r="O174" s="292"/>
      <c r="P174" s="292"/>
      <c r="Q174" s="292"/>
      <c r="R174" s="292"/>
      <c r="S174" s="292"/>
      <c r="T174" s="292"/>
    </row>
    <row r="175" spans="1:20" ht="21.9" customHeight="1">
      <c r="A175" s="302" t="s">
        <v>598</v>
      </c>
      <c r="B175" s="294" t="s">
        <v>638</v>
      </c>
      <c r="C175" s="398"/>
      <c r="D175" s="314"/>
      <c r="E175" s="297"/>
      <c r="F175" s="304"/>
      <c r="G175" s="42"/>
      <c r="H175" s="304"/>
      <c r="I175" s="292"/>
      <c r="J175" s="292"/>
      <c r="K175" s="292"/>
      <c r="L175" s="292"/>
      <c r="M175" s="292"/>
      <c r="N175" s="292"/>
      <c r="O175" s="292"/>
      <c r="P175" s="292"/>
      <c r="Q175" s="292"/>
      <c r="R175" s="292"/>
      <c r="S175" s="292"/>
      <c r="T175" s="308"/>
    </row>
    <row r="176" spans="1:20" ht="21.9" customHeight="1">
      <c r="A176" s="302"/>
      <c r="B176" s="294" t="s">
        <v>670</v>
      </c>
      <c r="C176" s="398" t="s">
        <v>671</v>
      </c>
      <c r="D176" s="314">
        <v>1.7</v>
      </c>
      <c r="E176" s="297" t="s">
        <v>622</v>
      </c>
      <c r="F176" s="304">
        <v>8230</v>
      </c>
      <c r="G176" s="42">
        <f t="shared" ref="G176:G192" si="6">D176*F176</f>
        <v>13991</v>
      </c>
      <c r="H176" s="304"/>
      <c r="I176" s="292"/>
      <c r="J176" s="292"/>
      <c r="K176" s="292"/>
      <c r="L176" s="292"/>
      <c r="M176" s="292"/>
      <c r="N176" s="292"/>
      <c r="O176" s="292"/>
      <c r="P176" s="292"/>
      <c r="Q176" s="292"/>
      <c r="R176" s="292"/>
      <c r="S176" s="292"/>
      <c r="T176" s="292"/>
    </row>
    <row r="177" spans="1:20" ht="21.9" customHeight="1">
      <c r="A177" s="302"/>
      <c r="B177" s="18" t="s">
        <v>672</v>
      </c>
      <c r="C177" s="398" t="s">
        <v>667</v>
      </c>
      <c r="D177" s="395">
        <v>53.5</v>
      </c>
      <c r="E177" s="396" t="s">
        <v>622</v>
      </c>
      <c r="F177" s="304">
        <v>9380</v>
      </c>
      <c r="G177" s="42">
        <f t="shared" si="6"/>
        <v>501830</v>
      </c>
      <c r="H177" s="18"/>
      <c r="I177" s="292"/>
      <c r="J177" s="292"/>
      <c r="K177" s="292"/>
      <c r="L177" s="292"/>
      <c r="M177" s="292"/>
      <c r="N177" s="292"/>
      <c r="O177" s="292"/>
      <c r="P177" s="292"/>
      <c r="Q177" s="292"/>
      <c r="R177" s="292"/>
      <c r="S177" s="292"/>
      <c r="T177" s="292"/>
    </row>
    <row r="178" spans="1:20" ht="21.9" customHeight="1">
      <c r="A178" s="302"/>
      <c r="B178" s="18" t="s">
        <v>673</v>
      </c>
      <c r="C178" s="398" t="s">
        <v>674</v>
      </c>
      <c r="D178" s="395">
        <v>55.2</v>
      </c>
      <c r="E178" s="396" t="s">
        <v>622</v>
      </c>
      <c r="F178" s="304">
        <v>320</v>
      </c>
      <c r="G178" s="42">
        <f t="shared" si="6"/>
        <v>17664</v>
      </c>
      <c r="H178" s="304"/>
      <c r="I178" s="292"/>
      <c r="J178" s="292"/>
      <c r="K178" s="292"/>
      <c r="L178" s="292"/>
      <c r="M178" s="292"/>
      <c r="N178" s="292"/>
      <c r="O178" s="292"/>
      <c r="P178" s="292"/>
      <c r="Q178" s="292"/>
      <c r="R178" s="292"/>
      <c r="S178" s="292"/>
      <c r="T178" s="292"/>
    </row>
    <row r="179" spans="1:20" ht="21.9" customHeight="1">
      <c r="A179" s="302"/>
      <c r="B179" s="18"/>
      <c r="C179" s="398"/>
      <c r="D179" s="395"/>
      <c r="E179" s="396"/>
      <c r="F179" s="304"/>
      <c r="G179" s="42">
        <f t="shared" si="6"/>
        <v>0</v>
      </c>
      <c r="H179" s="304"/>
      <c r="I179" s="292"/>
      <c r="J179" s="292"/>
      <c r="K179" s="292"/>
      <c r="L179" s="292"/>
      <c r="M179" s="292"/>
      <c r="N179" s="292"/>
      <c r="O179" s="292"/>
      <c r="P179" s="292"/>
      <c r="Q179" s="292"/>
      <c r="R179" s="292"/>
      <c r="S179" s="292"/>
      <c r="T179" s="292"/>
    </row>
    <row r="180" spans="1:20" ht="21.9" customHeight="1">
      <c r="A180" s="302"/>
      <c r="B180" s="18"/>
      <c r="C180" s="398"/>
      <c r="D180" s="395"/>
      <c r="E180" s="396"/>
      <c r="F180" s="304"/>
      <c r="G180" s="42">
        <f t="shared" si="6"/>
        <v>0</v>
      </c>
      <c r="H180" s="304"/>
      <c r="I180" s="292"/>
      <c r="J180" s="292"/>
      <c r="K180" s="292"/>
      <c r="L180" s="292"/>
      <c r="M180" s="292"/>
      <c r="N180" s="292"/>
      <c r="O180" s="292"/>
      <c r="P180" s="292"/>
      <c r="Q180" s="292"/>
      <c r="R180" s="292"/>
      <c r="S180" s="292"/>
      <c r="T180" s="292"/>
    </row>
    <row r="181" spans="1:20" ht="21.9" customHeight="1">
      <c r="A181" s="302"/>
      <c r="B181" s="18"/>
      <c r="C181" s="398"/>
      <c r="D181" s="395"/>
      <c r="E181" s="396"/>
      <c r="F181" s="304"/>
      <c r="G181" s="42">
        <f t="shared" si="6"/>
        <v>0</v>
      </c>
      <c r="H181" s="18"/>
      <c r="I181" s="292"/>
      <c r="J181" s="292"/>
      <c r="K181" s="292"/>
      <c r="L181" s="292"/>
      <c r="M181" s="292"/>
      <c r="N181" s="292"/>
      <c r="O181" s="292"/>
      <c r="P181" s="292"/>
      <c r="Q181" s="292"/>
      <c r="R181" s="292"/>
      <c r="S181" s="292"/>
      <c r="T181" s="292"/>
    </row>
    <row r="182" spans="1:20" ht="21.9" customHeight="1">
      <c r="A182" s="302"/>
      <c r="B182" s="294"/>
      <c r="C182" s="398"/>
      <c r="D182" s="314"/>
      <c r="E182" s="297"/>
      <c r="F182" s="304"/>
      <c r="G182" s="42">
        <f t="shared" si="6"/>
        <v>0</v>
      </c>
      <c r="H182" s="304"/>
      <c r="I182" s="292"/>
      <c r="J182" s="292"/>
      <c r="K182" s="292"/>
      <c r="L182" s="292"/>
      <c r="M182" s="292"/>
      <c r="N182" s="292"/>
      <c r="O182" s="292"/>
      <c r="P182" s="292"/>
      <c r="Q182" s="292"/>
      <c r="R182" s="292"/>
      <c r="S182" s="292"/>
      <c r="T182" s="292"/>
    </row>
    <row r="183" spans="1:20" ht="21.9" customHeight="1">
      <c r="A183" s="302"/>
      <c r="B183" s="294"/>
      <c r="C183" s="398"/>
      <c r="D183" s="314"/>
      <c r="E183" s="297"/>
      <c r="F183" s="304"/>
      <c r="G183" s="42">
        <f t="shared" si="6"/>
        <v>0</v>
      </c>
      <c r="H183" s="304"/>
      <c r="I183" s="292"/>
      <c r="J183" s="292"/>
      <c r="K183" s="292"/>
      <c r="L183" s="292"/>
      <c r="M183" s="292"/>
      <c r="N183" s="292"/>
      <c r="O183" s="292"/>
      <c r="P183" s="292"/>
      <c r="Q183" s="292"/>
      <c r="R183" s="292"/>
      <c r="S183" s="292"/>
      <c r="T183" s="292"/>
    </row>
    <row r="184" spans="1:20" ht="21.9" customHeight="1">
      <c r="A184" s="302"/>
      <c r="B184" s="294"/>
      <c r="C184" s="398"/>
      <c r="D184" s="314"/>
      <c r="E184" s="297"/>
      <c r="F184" s="304"/>
      <c r="G184" s="42">
        <f t="shared" si="6"/>
        <v>0</v>
      </c>
      <c r="H184" s="304"/>
      <c r="I184" s="292"/>
      <c r="J184" s="292"/>
      <c r="K184" s="292"/>
      <c r="L184" s="292"/>
      <c r="M184" s="292"/>
      <c r="N184" s="292"/>
      <c r="O184" s="292"/>
      <c r="P184" s="292"/>
      <c r="Q184" s="292"/>
      <c r="R184" s="292"/>
      <c r="S184" s="292"/>
      <c r="T184" s="292"/>
    </row>
    <row r="185" spans="1:20" ht="21.9" customHeight="1">
      <c r="A185" s="302"/>
      <c r="B185" s="294"/>
      <c r="C185" s="398"/>
      <c r="D185" s="314"/>
      <c r="E185" s="297"/>
      <c r="F185" s="304"/>
      <c r="G185" s="42">
        <f t="shared" si="6"/>
        <v>0</v>
      </c>
      <c r="H185" s="304"/>
      <c r="I185" s="292"/>
      <c r="J185" s="292"/>
      <c r="K185" s="292"/>
      <c r="L185" s="292"/>
      <c r="M185" s="292"/>
      <c r="N185" s="292"/>
      <c r="O185" s="292"/>
      <c r="P185" s="292"/>
      <c r="Q185" s="292"/>
      <c r="R185" s="292"/>
      <c r="S185" s="292"/>
      <c r="T185" s="292"/>
    </row>
    <row r="186" spans="1:20" ht="21.9" customHeight="1">
      <c r="A186" s="302"/>
      <c r="B186" s="294"/>
      <c r="C186" s="398"/>
      <c r="D186" s="314"/>
      <c r="E186" s="297"/>
      <c r="F186" s="304"/>
      <c r="G186" s="42">
        <f t="shared" si="6"/>
        <v>0</v>
      </c>
      <c r="H186" s="304"/>
      <c r="I186" s="292"/>
      <c r="J186" s="292"/>
      <c r="K186" s="292"/>
      <c r="L186" s="292"/>
      <c r="M186" s="292"/>
      <c r="N186" s="292"/>
      <c r="O186" s="292"/>
      <c r="P186" s="292"/>
      <c r="Q186" s="292"/>
      <c r="R186" s="292"/>
      <c r="S186" s="292"/>
      <c r="T186" s="292"/>
    </row>
    <row r="187" spans="1:20" ht="21.9" customHeight="1">
      <c r="A187" s="302"/>
      <c r="B187" s="294"/>
      <c r="C187" s="398"/>
      <c r="D187" s="314"/>
      <c r="E187" s="297"/>
      <c r="F187" s="304"/>
      <c r="G187" s="42">
        <f t="shared" si="6"/>
        <v>0</v>
      </c>
      <c r="H187" s="304"/>
      <c r="I187" s="292"/>
      <c r="J187" s="292"/>
      <c r="K187" s="292"/>
      <c r="L187" s="292"/>
      <c r="M187" s="292"/>
      <c r="N187" s="292"/>
      <c r="O187" s="292"/>
      <c r="P187" s="292"/>
      <c r="Q187" s="292"/>
      <c r="R187" s="292"/>
      <c r="S187" s="292"/>
      <c r="T187" s="292"/>
    </row>
    <row r="188" spans="1:20" ht="21.9" customHeight="1">
      <c r="A188" s="302"/>
      <c r="B188" s="294"/>
      <c r="C188" s="398"/>
      <c r="D188" s="314"/>
      <c r="E188" s="297"/>
      <c r="F188" s="304"/>
      <c r="G188" s="42">
        <f t="shared" si="6"/>
        <v>0</v>
      </c>
      <c r="H188" s="304"/>
      <c r="I188" s="292"/>
      <c r="J188" s="292"/>
      <c r="K188" s="292"/>
      <c r="L188" s="292"/>
      <c r="M188" s="292"/>
      <c r="N188" s="292"/>
      <c r="O188" s="292"/>
      <c r="P188" s="292"/>
      <c r="Q188" s="292"/>
      <c r="R188" s="292"/>
      <c r="S188" s="292"/>
      <c r="T188" s="292"/>
    </row>
    <row r="189" spans="1:20" ht="21.9" customHeight="1">
      <c r="A189" s="302"/>
      <c r="B189" s="294"/>
      <c r="C189" s="398"/>
      <c r="D189" s="314"/>
      <c r="E189" s="297"/>
      <c r="F189" s="304"/>
      <c r="G189" s="42">
        <f t="shared" si="6"/>
        <v>0</v>
      </c>
      <c r="H189" s="304"/>
      <c r="I189" s="292"/>
      <c r="J189" s="292"/>
      <c r="K189" s="292"/>
      <c r="L189" s="292"/>
      <c r="M189" s="292"/>
      <c r="N189" s="292"/>
      <c r="O189" s="292"/>
      <c r="P189" s="292"/>
      <c r="Q189" s="292"/>
      <c r="R189" s="292"/>
      <c r="S189" s="292"/>
      <c r="T189" s="292"/>
    </row>
    <row r="190" spans="1:20" ht="21.9" customHeight="1">
      <c r="A190" s="302"/>
      <c r="B190" s="294"/>
      <c r="C190" s="398"/>
      <c r="D190" s="314"/>
      <c r="E190" s="297"/>
      <c r="F190" s="304"/>
      <c r="G190" s="42">
        <f t="shared" si="6"/>
        <v>0</v>
      </c>
      <c r="H190" s="304"/>
      <c r="I190" s="292"/>
      <c r="J190" s="292"/>
      <c r="K190" s="292"/>
      <c r="L190" s="292"/>
      <c r="M190" s="292"/>
      <c r="N190" s="292"/>
      <c r="O190" s="292"/>
      <c r="P190" s="292"/>
      <c r="Q190" s="292"/>
      <c r="R190" s="292"/>
      <c r="S190" s="292"/>
      <c r="T190" s="292"/>
    </row>
    <row r="191" spans="1:20" ht="21.9" customHeight="1">
      <c r="A191" s="302"/>
      <c r="B191" s="294"/>
      <c r="C191" s="398"/>
      <c r="D191" s="314"/>
      <c r="E191" s="297"/>
      <c r="F191" s="304"/>
      <c r="G191" s="42">
        <f t="shared" si="6"/>
        <v>0</v>
      </c>
      <c r="H191" s="304"/>
      <c r="I191" s="292"/>
      <c r="J191" s="292"/>
      <c r="K191" s="292"/>
      <c r="L191" s="292"/>
      <c r="M191" s="292"/>
      <c r="N191" s="292"/>
      <c r="O191" s="292"/>
      <c r="P191" s="292"/>
      <c r="Q191" s="292"/>
      <c r="R191" s="292"/>
      <c r="S191" s="292"/>
      <c r="T191" s="292"/>
    </row>
    <row r="192" spans="1:20" ht="21.9" customHeight="1">
      <c r="A192" s="302"/>
      <c r="B192" s="294"/>
      <c r="C192" s="398"/>
      <c r="D192" s="314"/>
      <c r="E192" s="297"/>
      <c r="F192" s="304"/>
      <c r="G192" s="42">
        <f t="shared" si="6"/>
        <v>0</v>
      </c>
      <c r="H192" s="304"/>
      <c r="I192" s="292"/>
      <c r="J192" s="292"/>
      <c r="K192" s="292"/>
      <c r="L192" s="292"/>
      <c r="M192" s="292"/>
      <c r="N192" s="292"/>
      <c r="O192" s="292"/>
      <c r="P192" s="292"/>
      <c r="Q192" s="292"/>
      <c r="R192" s="292"/>
      <c r="S192" s="292"/>
      <c r="T192" s="292"/>
    </row>
    <row r="193" spans="1:20" ht="21.9" customHeight="1">
      <c r="A193" s="302"/>
      <c r="B193" s="294"/>
      <c r="C193" s="398"/>
      <c r="D193" s="314"/>
      <c r="E193" s="297"/>
      <c r="F193" s="304"/>
      <c r="G193" s="42"/>
      <c r="H193" s="304"/>
      <c r="I193" s="292"/>
      <c r="J193" s="292"/>
      <c r="K193" s="292"/>
      <c r="L193" s="292"/>
      <c r="M193" s="292"/>
      <c r="N193" s="292"/>
      <c r="O193" s="292"/>
      <c r="P193" s="292"/>
      <c r="Q193" s="292"/>
      <c r="R193" s="292"/>
      <c r="S193" s="292"/>
      <c r="T193" s="292"/>
    </row>
    <row r="194" spans="1:20" ht="21.9" customHeight="1">
      <c r="A194" s="302"/>
      <c r="B194" s="297" t="s">
        <v>419</v>
      </c>
      <c r="C194" s="43"/>
      <c r="D194" s="314"/>
      <c r="E194" s="297"/>
      <c r="F194" s="304"/>
      <c r="G194" s="42">
        <f>SUM(G176:G192)</f>
        <v>533485</v>
      </c>
      <c r="H194" s="304"/>
      <c r="I194" s="292"/>
      <c r="J194" s="292"/>
      <c r="K194" s="292"/>
      <c r="L194" s="292"/>
      <c r="M194" s="292"/>
      <c r="N194" s="292"/>
      <c r="O194" s="292"/>
      <c r="P194" s="292"/>
      <c r="Q194" s="292"/>
      <c r="R194" s="292"/>
      <c r="S194" s="292"/>
      <c r="T194" s="292"/>
    </row>
    <row r="195" spans="1:20" ht="21.9" customHeight="1">
      <c r="A195" s="302"/>
      <c r="B195" s="315"/>
      <c r="C195" s="316"/>
      <c r="D195" s="314"/>
      <c r="E195" s="297"/>
      <c r="F195" s="304"/>
      <c r="G195" s="255"/>
      <c r="H195" s="304"/>
      <c r="I195" s="292"/>
      <c r="J195" s="292"/>
      <c r="K195" s="292"/>
      <c r="L195" s="292"/>
      <c r="M195" s="292"/>
      <c r="N195" s="292"/>
      <c r="O195" s="292"/>
      <c r="P195" s="292"/>
      <c r="Q195" s="292"/>
      <c r="R195" s="292"/>
      <c r="S195" s="292"/>
      <c r="T195" s="292"/>
    </row>
    <row r="196" spans="1:20" ht="21.9" customHeight="1">
      <c r="A196" s="13"/>
      <c r="B196" s="309"/>
      <c r="C196" s="309"/>
      <c r="D196" s="14" t="s">
        <v>23</v>
      </c>
      <c r="E196" s="309"/>
      <c r="F196" s="309"/>
      <c r="G196" s="309"/>
      <c r="H196" s="310">
        <f>+H172+1</f>
        <v>26</v>
      </c>
      <c r="I196" s="292"/>
      <c r="J196" s="292"/>
      <c r="K196" s="292"/>
      <c r="L196" s="292"/>
      <c r="M196" s="292"/>
      <c r="N196" s="292"/>
      <c r="O196" s="292"/>
      <c r="P196" s="292"/>
      <c r="Q196" s="292"/>
      <c r="R196" s="292"/>
      <c r="S196" s="292"/>
      <c r="T196" s="292"/>
    </row>
    <row r="197" spans="1:20" ht="21.9" customHeight="1">
      <c r="A197" s="287"/>
      <c r="B197" s="288"/>
      <c r="C197" s="12"/>
      <c r="D197" s="289"/>
      <c r="E197" s="287"/>
      <c r="F197" s="290"/>
      <c r="G197" s="52"/>
      <c r="H197" s="290"/>
      <c r="I197" s="292"/>
      <c r="J197" s="292"/>
      <c r="K197" s="292"/>
      <c r="L197" s="292"/>
      <c r="M197" s="292"/>
      <c r="N197" s="292"/>
      <c r="O197" s="292"/>
      <c r="P197" s="292"/>
      <c r="Q197" s="292"/>
      <c r="R197" s="292"/>
      <c r="S197" s="292"/>
      <c r="T197" s="292"/>
    </row>
    <row r="198" spans="1:20" ht="21.9" customHeight="1">
      <c r="A198" s="293"/>
      <c r="B198" s="294" t="s">
        <v>0</v>
      </c>
      <c r="C198" s="53" t="s">
        <v>1</v>
      </c>
      <c r="D198" s="296" t="s">
        <v>5</v>
      </c>
      <c r="E198" s="297" t="s">
        <v>6</v>
      </c>
      <c r="F198" s="298" t="s">
        <v>20</v>
      </c>
      <c r="G198" s="54" t="s">
        <v>21</v>
      </c>
      <c r="H198" s="298" t="s">
        <v>3</v>
      </c>
      <c r="I198" s="292"/>
      <c r="J198" s="292"/>
      <c r="K198" s="292"/>
      <c r="L198" s="292"/>
      <c r="M198" s="292"/>
      <c r="N198" s="292"/>
      <c r="O198" s="292"/>
      <c r="P198" s="292"/>
      <c r="Q198" s="292"/>
      <c r="R198" s="292"/>
      <c r="S198" s="292"/>
      <c r="T198" s="292"/>
    </row>
    <row r="199" spans="1:20" ht="21.9" customHeight="1">
      <c r="A199" s="302" t="s">
        <v>598</v>
      </c>
      <c r="B199" s="294" t="s">
        <v>639</v>
      </c>
      <c r="C199" s="398"/>
      <c r="D199" s="314"/>
      <c r="E199" s="297"/>
      <c r="F199" s="304"/>
      <c r="G199" s="42"/>
      <c r="H199" s="304"/>
      <c r="I199" s="292"/>
      <c r="J199" s="292"/>
      <c r="K199" s="292"/>
      <c r="L199" s="292"/>
      <c r="M199" s="292"/>
      <c r="N199" s="292"/>
      <c r="O199" s="292"/>
      <c r="P199" s="292"/>
      <c r="Q199" s="292"/>
      <c r="R199" s="292"/>
      <c r="S199" s="292"/>
      <c r="T199" s="308"/>
    </row>
    <row r="200" spans="1:20" ht="21.9" customHeight="1">
      <c r="A200" s="302"/>
      <c r="B200" s="294" t="s">
        <v>675</v>
      </c>
      <c r="C200" s="398"/>
      <c r="D200" s="314">
        <v>32.4</v>
      </c>
      <c r="E200" s="297" t="s">
        <v>628</v>
      </c>
      <c r="F200" s="304">
        <v>770</v>
      </c>
      <c r="G200" s="42">
        <f t="shared" ref="G200:G216" si="7">D200*F200</f>
        <v>24948</v>
      </c>
      <c r="H200" s="304"/>
      <c r="I200" s="292"/>
      <c r="J200" s="292"/>
      <c r="K200" s="292"/>
      <c r="L200" s="292"/>
      <c r="M200" s="292"/>
      <c r="N200" s="292"/>
      <c r="O200" s="292"/>
      <c r="P200" s="292"/>
      <c r="Q200" s="292"/>
      <c r="R200" s="292"/>
      <c r="S200" s="292"/>
      <c r="T200" s="292"/>
    </row>
    <row r="201" spans="1:20" ht="21.9" customHeight="1">
      <c r="A201" s="302"/>
      <c r="B201" s="18" t="s">
        <v>676</v>
      </c>
      <c r="C201" s="18" t="s">
        <v>677</v>
      </c>
      <c r="D201" s="395">
        <v>4.2</v>
      </c>
      <c r="E201" s="396" t="s">
        <v>628</v>
      </c>
      <c r="F201" s="304">
        <v>410</v>
      </c>
      <c r="G201" s="42">
        <f t="shared" si="7"/>
        <v>1722</v>
      </c>
      <c r="H201" s="399"/>
      <c r="I201" s="292"/>
      <c r="J201" s="292"/>
      <c r="K201" s="292"/>
      <c r="L201" s="292"/>
      <c r="M201" s="292"/>
      <c r="N201" s="292"/>
      <c r="O201" s="292"/>
      <c r="P201" s="292"/>
      <c r="Q201" s="292"/>
      <c r="R201" s="292"/>
      <c r="S201" s="292"/>
      <c r="T201" s="292"/>
    </row>
    <row r="202" spans="1:20" ht="21.9" customHeight="1">
      <c r="A202" s="302"/>
      <c r="B202" s="18"/>
      <c r="C202" s="18"/>
      <c r="D202" s="395"/>
      <c r="E202" s="396"/>
      <c r="F202" s="304"/>
      <c r="G202" s="42">
        <f t="shared" si="7"/>
        <v>0</v>
      </c>
      <c r="H202" s="304"/>
      <c r="I202" s="292"/>
      <c r="J202" s="292"/>
      <c r="K202" s="292"/>
      <c r="L202" s="292"/>
      <c r="M202" s="292"/>
      <c r="N202" s="292"/>
      <c r="O202" s="292"/>
      <c r="P202" s="292"/>
      <c r="Q202" s="292"/>
      <c r="R202" s="292"/>
      <c r="S202" s="292"/>
      <c r="T202" s="292"/>
    </row>
    <row r="203" spans="1:20" ht="21.9" customHeight="1">
      <c r="A203" s="302"/>
      <c r="B203" s="18"/>
      <c r="C203" s="18"/>
      <c r="D203" s="395"/>
      <c r="E203" s="396"/>
      <c r="F203" s="304"/>
      <c r="G203" s="42">
        <f t="shared" si="7"/>
        <v>0</v>
      </c>
      <c r="H203" s="399"/>
      <c r="I203" s="292"/>
      <c r="J203" s="292"/>
      <c r="K203" s="292"/>
      <c r="L203" s="292"/>
      <c r="M203" s="292"/>
      <c r="N203" s="292"/>
      <c r="O203" s="292"/>
      <c r="P203" s="292"/>
      <c r="Q203" s="292"/>
      <c r="R203" s="292"/>
      <c r="S203" s="292"/>
      <c r="T203" s="292"/>
    </row>
    <row r="204" spans="1:20" ht="21.9" customHeight="1">
      <c r="A204" s="302"/>
      <c r="B204" s="18"/>
      <c r="C204" s="18"/>
      <c r="D204" s="395"/>
      <c r="E204" s="396"/>
      <c r="F204" s="304"/>
      <c r="G204" s="42">
        <f t="shared" si="7"/>
        <v>0</v>
      </c>
      <c r="H204" s="304"/>
      <c r="I204" s="292"/>
      <c r="J204" s="292"/>
      <c r="K204" s="292"/>
      <c r="L204" s="292"/>
      <c r="M204" s="292"/>
      <c r="N204" s="292"/>
      <c r="O204" s="292"/>
      <c r="P204" s="292"/>
      <c r="Q204" s="292"/>
      <c r="R204" s="292"/>
      <c r="S204" s="292"/>
      <c r="T204" s="292"/>
    </row>
    <row r="205" spans="1:20" ht="21.9" customHeight="1">
      <c r="A205" s="302"/>
      <c r="B205" s="18"/>
      <c r="C205" s="18"/>
      <c r="D205" s="395"/>
      <c r="E205" s="396"/>
      <c r="F205" s="304"/>
      <c r="G205" s="42">
        <f t="shared" si="7"/>
        <v>0</v>
      </c>
      <c r="H205" s="399"/>
      <c r="I205" s="292"/>
      <c r="J205" s="292"/>
      <c r="K205" s="292"/>
      <c r="L205" s="292"/>
      <c r="M205" s="292"/>
      <c r="N205" s="292"/>
      <c r="O205" s="292"/>
      <c r="P205" s="292"/>
      <c r="Q205" s="292"/>
      <c r="R205" s="292"/>
      <c r="S205" s="292"/>
      <c r="T205" s="292"/>
    </row>
    <row r="206" spans="1:20" ht="21.9" customHeight="1">
      <c r="A206" s="302"/>
      <c r="B206" s="18"/>
      <c r="C206" s="18"/>
      <c r="D206" s="395"/>
      <c r="E206" s="396"/>
      <c r="F206" s="304"/>
      <c r="G206" s="42">
        <f t="shared" si="7"/>
        <v>0</v>
      </c>
      <c r="H206" s="304"/>
      <c r="I206" s="292"/>
      <c r="J206" s="292"/>
      <c r="K206" s="292"/>
      <c r="L206" s="292"/>
      <c r="M206" s="292"/>
      <c r="N206" s="292"/>
      <c r="O206" s="292"/>
      <c r="P206" s="292"/>
      <c r="Q206" s="292"/>
      <c r="R206" s="292"/>
      <c r="S206" s="292"/>
      <c r="T206" s="292"/>
    </row>
    <row r="207" spans="1:20" ht="21.9" customHeight="1">
      <c r="A207" s="302"/>
      <c r="B207" s="18"/>
      <c r="C207" s="18"/>
      <c r="D207" s="395"/>
      <c r="E207" s="396"/>
      <c r="F207" s="304"/>
      <c r="G207" s="42">
        <f t="shared" si="7"/>
        <v>0</v>
      </c>
      <c r="H207" s="304"/>
      <c r="I207" s="292"/>
      <c r="J207" s="292"/>
      <c r="K207" s="292"/>
      <c r="L207" s="292"/>
      <c r="M207" s="292"/>
      <c r="N207" s="292"/>
      <c r="O207" s="292"/>
      <c r="P207" s="292"/>
      <c r="Q207" s="292"/>
      <c r="R207" s="292"/>
      <c r="S207" s="292"/>
      <c r="T207" s="292"/>
    </row>
    <row r="208" spans="1:20" ht="21.9" customHeight="1">
      <c r="A208" s="302"/>
      <c r="B208" s="18"/>
      <c r="C208" s="398"/>
      <c r="D208" s="395"/>
      <c r="E208" s="396"/>
      <c r="F208" s="304"/>
      <c r="G208" s="42">
        <f t="shared" si="7"/>
        <v>0</v>
      </c>
      <c r="H208" s="18"/>
      <c r="I208" s="292"/>
      <c r="J208" s="292"/>
      <c r="K208" s="292"/>
      <c r="L208" s="292"/>
      <c r="M208" s="292"/>
      <c r="N208" s="292"/>
      <c r="O208" s="292"/>
      <c r="P208" s="292"/>
      <c r="Q208" s="292"/>
      <c r="R208" s="292"/>
      <c r="S208" s="292"/>
      <c r="T208" s="292"/>
    </row>
    <row r="209" spans="1:20" ht="21.9" customHeight="1">
      <c r="A209" s="302"/>
      <c r="B209" s="18"/>
      <c r="C209" s="398"/>
      <c r="D209" s="395"/>
      <c r="E209" s="396"/>
      <c r="F209" s="304"/>
      <c r="G209" s="42">
        <f t="shared" si="7"/>
        <v>0</v>
      </c>
      <c r="H209" s="304"/>
      <c r="I209" s="292"/>
      <c r="J209" s="292"/>
      <c r="K209" s="292"/>
      <c r="L209" s="292"/>
      <c r="M209" s="292"/>
      <c r="N209" s="292"/>
      <c r="O209" s="292"/>
      <c r="P209" s="292"/>
      <c r="Q209" s="292"/>
      <c r="R209" s="292"/>
      <c r="S209" s="292"/>
      <c r="T209" s="292"/>
    </row>
    <row r="210" spans="1:20" ht="21.9" customHeight="1">
      <c r="A210" s="302"/>
      <c r="B210" s="18"/>
      <c r="C210" s="398"/>
      <c r="D210" s="395"/>
      <c r="E210" s="396"/>
      <c r="F210" s="304"/>
      <c r="G210" s="42">
        <f t="shared" si="7"/>
        <v>0</v>
      </c>
      <c r="H210" s="18"/>
      <c r="I210" s="292"/>
      <c r="J210" s="292"/>
      <c r="K210" s="292"/>
      <c r="L210" s="292"/>
      <c r="M210" s="292"/>
      <c r="N210" s="292"/>
      <c r="O210" s="292"/>
      <c r="P210" s="292"/>
      <c r="Q210" s="292"/>
      <c r="R210" s="292"/>
      <c r="S210" s="292"/>
      <c r="T210" s="292"/>
    </row>
    <row r="211" spans="1:20" ht="21.9" customHeight="1">
      <c r="A211" s="302"/>
      <c r="B211" s="18"/>
      <c r="C211" s="398"/>
      <c r="D211" s="395"/>
      <c r="E211" s="396"/>
      <c r="F211" s="304"/>
      <c r="G211" s="42">
        <f t="shared" si="7"/>
        <v>0</v>
      </c>
      <c r="H211" s="18"/>
      <c r="I211" s="292"/>
      <c r="J211" s="292"/>
      <c r="K211" s="292"/>
      <c r="L211" s="292"/>
      <c r="M211" s="292"/>
      <c r="N211" s="292"/>
      <c r="O211" s="292"/>
      <c r="P211" s="292"/>
      <c r="Q211" s="292"/>
      <c r="R211" s="292"/>
      <c r="S211" s="292"/>
      <c r="T211" s="292"/>
    </row>
    <row r="212" spans="1:20" ht="21.9" customHeight="1">
      <c r="A212" s="302"/>
      <c r="B212" s="294"/>
      <c r="C212" s="398"/>
      <c r="D212" s="314"/>
      <c r="E212" s="297"/>
      <c r="F212" s="304"/>
      <c r="G212" s="42">
        <f t="shared" si="7"/>
        <v>0</v>
      </c>
      <c r="H212" s="304"/>
      <c r="I212" s="292"/>
      <c r="J212" s="292"/>
      <c r="K212" s="292"/>
      <c r="L212" s="292"/>
      <c r="M212" s="292"/>
      <c r="N212" s="292"/>
      <c r="O212" s="292"/>
      <c r="P212" s="292"/>
      <c r="Q212" s="292"/>
      <c r="R212" s="292"/>
      <c r="S212" s="292"/>
      <c r="T212" s="292"/>
    </row>
    <row r="213" spans="1:20" ht="21.9" customHeight="1">
      <c r="A213" s="302"/>
      <c r="B213" s="294"/>
      <c r="C213" s="398"/>
      <c r="D213" s="314"/>
      <c r="E213" s="297"/>
      <c r="F213" s="304"/>
      <c r="G213" s="42">
        <f t="shared" si="7"/>
        <v>0</v>
      </c>
      <c r="H213" s="304"/>
      <c r="I213" s="292"/>
      <c r="J213" s="292"/>
      <c r="K213" s="292"/>
      <c r="L213" s="292"/>
      <c r="M213" s="292"/>
      <c r="N213" s="292"/>
      <c r="O213" s="292"/>
      <c r="P213" s="292"/>
      <c r="Q213" s="292"/>
      <c r="R213" s="292"/>
      <c r="S213" s="292"/>
      <c r="T213" s="292"/>
    </row>
    <row r="214" spans="1:20" ht="21.9" customHeight="1">
      <c r="A214" s="302"/>
      <c r="B214" s="294"/>
      <c r="C214" s="398"/>
      <c r="D214" s="314"/>
      <c r="E214" s="297"/>
      <c r="F214" s="304"/>
      <c r="G214" s="42">
        <f t="shared" si="7"/>
        <v>0</v>
      </c>
      <c r="H214" s="304"/>
      <c r="I214" s="292"/>
      <c r="J214" s="292"/>
      <c r="K214" s="292"/>
      <c r="L214" s="292"/>
      <c r="M214" s="292"/>
      <c r="N214" s="292"/>
      <c r="O214" s="292"/>
      <c r="P214" s="292"/>
      <c r="Q214" s="292"/>
      <c r="R214" s="292"/>
      <c r="S214" s="292"/>
      <c r="T214" s="292"/>
    </row>
    <row r="215" spans="1:20" ht="21.9" customHeight="1">
      <c r="A215" s="302"/>
      <c r="B215" s="294"/>
      <c r="C215" s="398"/>
      <c r="D215" s="314"/>
      <c r="E215" s="297"/>
      <c r="F215" s="304"/>
      <c r="G215" s="42">
        <f t="shared" si="7"/>
        <v>0</v>
      </c>
      <c r="H215" s="304"/>
      <c r="I215" s="292"/>
      <c r="J215" s="292"/>
      <c r="K215" s="292"/>
      <c r="L215" s="292"/>
      <c r="M215" s="292"/>
      <c r="N215" s="292"/>
      <c r="O215" s="292"/>
      <c r="P215" s="292"/>
      <c r="Q215" s="292"/>
      <c r="R215" s="292"/>
      <c r="S215" s="292"/>
      <c r="T215" s="292"/>
    </row>
    <row r="216" spans="1:20" ht="21.9" customHeight="1">
      <c r="A216" s="302"/>
      <c r="B216" s="294"/>
      <c r="C216" s="398"/>
      <c r="D216" s="314"/>
      <c r="E216" s="297"/>
      <c r="F216" s="304"/>
      <c r="G216" s="42">
        <f t="shared" si="7"/>
        <v>0</v>
      </c>
      <c r="H216" s="304"/>
      <c r="I216" s="292"/>
      <c r="J216" s="292"/>
      <c r="K216" s="292"/>
      <c r="L216" s="292"/>
      <c r="M216" s="292"/>
      <c r="N216" s="292"/>
      <c r="O216" s="292"/>
      <c r="P216" s="292"/>
      <c r="Q216" s="292"/>
      <c r="R216" s="292"/>
      <c r="S216" s="292"/>
      <c r="T216" s="292"/>
    </row>
    <row r="217" spans="1:20" ht="21.9" customHeight="1">
      <c r="A217" s="302"/>
      <c r="B217" s="294"/>
      <c r="C217" s="398"/>
      <c r="D217" s="314"/>
      <c r="E217" s="297"/>
      <c r="F217" s="304"/>
      <c r="G217" s="42"/>
      <c r="H217" s="304"/>
      <c r="I217" s="292"/>
      <c r="J217" s="292"/>
      <c r="K217" s="292"/>
      <c r="L217" s="292"/>
      <c r="M217" s="292"/>
      <c r="N217" s="292"/>
      <c r="O217" s="292"/>
      <c r="P217" s="292"/>
      <c r="Q217" s="292"/>
      <c r="R217" s="292"/>
      <c r="S217" s="292"/>
      <c r="T217" s="292"/>
    </row>
    <row r="218" spans="1:20" ht="21.9" customHeight="1">
      <c r="A218" s="302"/>
      <c r="B218" s="297" t="s">
        <v>419</v>
      </c>
      <c r="C218" s="43"/>
      <c r="D218" s="314"/>
      <c r="E218" s="297"/>
      <c r="F218" s="304"/>
      <c r="G218" s="42">
        <f>SUM(G200:G216)</f>
        <v>26670</v>
      </c>
      <c r="H218" s="304"/>
      <c r="I218" s="292"/>
      <c r="J218" s="292"/>
      <c r="K218" s="292"/>
      <c r="L218" s="292"/>
      <c r="M218" s="292"/>
      <c r="N218" s="292"/>
      <c r="O218" s="292"/>
      <c r="P218" s="292"/>
      <c r="Q218" s="292"/>
      <c r="R218" s="292"/>
      <c r="S218" s="292"/>
      <c r="T218" s="292"/>
    </row>
    <row r="219" spans="1:20" ht="21.9" customHeight="1">
      <c r="A219" s="302"/>
      <c r="B219" s="315"/>
      <c r="C219" s="316"/>
      <c r="D219" s="314"/>
      <c r="E219" s="297"/>
      <c r="F219" s="304"/>
      <c r="G219" s="255"/>
      <c r="H219" s="304"/>
      <c r="I219" s="292"/>
      <c r="J219" s="292"/>
      <c r="K219" s="292"/>
      <c r="L219" s="292"/>
      <c r="M219" s="292"/>
      <c r="N219" s="292"/>
      <c r="O219" s="292"/>
      <c r="P219" s="292"/>
      <c r="Q219" s="292"/>
      <c r="R219" s="292"/>
      <c r="S219" s="292"/>
      <c r="T219" s="292"/>
    </row>
    <row r="220" spans="1:20" ht="21.9" customHeight="1">
      <c r="A220" s="13"/>
      <c r="B220" s="309"/>
      <c r="C220" s="309"/>
      <c r="D220" s="14" t="s">
        <v>23</v>
      </c>
      <c r="E220" s="309"/>
      <c r="F220" s="309"/>
      <c r="G220" s="309"/>
      <c r="H220" s="310">
        <f>+H196+1</f>
        <v>27</v>
      </c>
      <c r="I220" s="292"/>
      <c r="J220" s="292"/>
      <c r="K220" s="292"/>
      <c r="L220" s="292"/>
      <c r="M220" s="292"/>
      <c r="N220" s="292"/>
      <c r="O220" s="292"/>
      <c r="P220" s="292"/>
      <c r="Q220" s="292"/>
      <c r="R220" s="292"/>
      <c r="S220" s="292"/>
      <c r="T220" s="292"/>
    </row>
    <row r="221" spans="1:20" ht="21.9" customHeight="1">
      <c r="A221" s="287"/>
      <c r="B221" s="288"/>
      <c r="C221" s="12"/>
      <c r="D221" s="289"/>
      <c r="E221" s="287"/>
      <c r="F221" s="290"/>
      <c r="G221" s="52"/>
      <c r="H221" s="290"/>
      <c r="I221" s="292"/>
      <c r="J221" s="292"/>
      <c r="K221" s="292"/>
      <c r="L221" s="292"/>
      <c r="M221" s="292"/>
      <c r="N221" s="292"/>
      <c r="O221" s="292"/>
      <c r="P221" s="292"/>
      <c r="Q221" s="292"/>
      <c r="R221" s="292"/>
      <c r="S221" s="292"/>
      <c r="T221" s="292"/>
    </row>
    <row r="222" spans="1:20" ht="21.9" customHeight="1">
      <c r="A222" s="293"/>
      <c r="B222" s="294" t="s">
        <v>0</v>
      </c>
      <c r="C222" s="53" t="s">
        <v>1</v>
      </c>
      <c r="D222" s="314" t="s">
        <v>5</v>
      </c>
      <c r="E222" s="297" t="s">
        <v>6</v>
      </c>
      <c r="F222" s="298" t="s">
        <v>20</v>
      </c>
      <c r="G222" s="54" t="s">
        <v>21</v>
      </c>
      <c r="H222" s="298" t="s">
        <v>3</v>
      </c>
      <c r="I222" s="292"/>
      <c r="J222" s="292"/>
      <c r="K222" s="292"/>
      <c r="L222" s="292"/>
      <c r="M222" s="292"/>
      <c r="N222" s="292"/>
      <c r="O222" s="292"/>
      <c r="P222" s="292"/>
      <c r="Q222" s="292"/>
      <c r="R222" s="292"/>
      <c r="S222" s="292"/>
      <c r="T222" s="292"/>
    </row>
    <row r="223" spans="1:20" ht="21.9" customHeight="1">
      <c r="A223" s="302" t="s">
        <v>598</v>
      </c>
      <c r="B223" s="294" t="s">
        <v>640</v>
      </c>
      <c r="C223" s="398"/>
      <c r="D223" s="314"/>
      <c r="E223" s="297"/>
      <c r="F223" s="304"/>
      <c r="G223" s="42"/>
      <c r="H223" s="304"/>
      <c r="I223" s="292"/>
      <c r="J223" s="292"/>
      <c r="K223" s="292"/>
      <c r="L223" s="292"/>
      <c r="M223" s="292"/>
      <c r="N223" s="292"/>
      <c r="O223" s="292"/>
      <c r="P223" s="292"/>
      <c r="Q223" s="292"/>
      <c r="R223" s="292"/>
      <c r="S223" s="292"/>
      <c r="T223" s="308"/>
    </row>
    <row r="224" spans="1:20" ht="21.9" customHeight="1">
      <c r="A224" s="302"/>
      <c r="B224" s="294" t="s">
        <v>678</v>
      </c>
      <c r="C224" s="398" t="s">
        <v>679</v>
      </c>
      <c r="D224" s="314">
        <v>16.399999999999999</v>
      </c>
      <c r="E224" s="297" t="s">
        <v>680</v>
      </c>
      <c r="F224" s="304">
        <v>12600</v>
      </c>
      <c r="G224" s="42">
        <f t="shared" ref="G224:G241" si="8">D224*F224</f>
        <v>206639.99999999997</v>
      </c>
      <c r="H224" s="304"/>
      <c r="I224" s="292"/>
      <c r="J224" s="292"/>
      <c r="K224" s="292"/>
      <c r="L224" s="292"/>
      <c r="M224" s="292"/>
      <c r="N224" s="292"/>
      <c r="O224" s="292"/>
      <c r="P224" s="292"/>
      <c r="Q224" s="292"/>
      <c r="R224" s="292"/>
      <c r="S224" s="292"/>
      <c r="T224" s="292"/>
    </row>
    <row r="225" spans="1:20" ht="21.9" customHeight="1">
      <c r="A225" s="302"/>
      <c r="B225" s="18" t="s">
        <v>681</v>
      </c>
      <c r="C225" s="18"/>
      <c r="D225" s="395">
        <v>11.4</v>
      </c>
      <c r="E225" s="396" t="s">
        <v>680</v>
      </c>
      <c r="F225" s="304">
        <v>6000</v>
      </c>
      <c r="G225" s="42">
        <f t="shared" si="8"/>
        <v>68400</v>
      </c>
      <c r="H225" s="399" t="s">
        <v>682</v>
      </c>
      <c r="I225" s="292"/>
      <c r="J225" s="292"/>
      <c r="K225" s="292"/>
      <c r="L225" s="292"/>
      <c r="M225" s="292"/>
      <c r="N225" s="292"/>
      <c r="O225" s="292"/>
      <c r="P225" s="292"/>
      <c r="Q225" s="292"/>
      <c r="R225" s="292"/>
      <c r="S225" s="292"/>
      <c r="T225" s="292"/>
    </row>
    <row r="226" spans="1:20" ht="21.9" customHeight="1">
      <c r="A226" s="302"/>
      <c r="B226" s="18" t="s">
        <v>683</v>
      </c>
      <c r="C226" s="18" t="s">
        <v>684</v>
      </c>
      <c r="D226" s="395">
        <v>5</v>
      </c>
      <c r="E226" s="396" t="s">
        <v>680</v>
      </c>
      <c r="F226" s="304">
        <v>18100</v>
      </c>
      <c r="G226" s="42">
        <f t="shared" si="8"/>
        <v>90500</v>
      </c>
      <c r="H226" s="399" t="s">
        <v>685</v>
      </c>
      <c r="I226" s="292"/>
      <c r="J226" s="292"/>
      <c r="K226" s="292"/>
      <c r="L226" s="292"/>
      <c r="M226" s="292"/>
      <c r="N226" s="292"/>
      <c r="O226" s="292"/>
      <c r="P226" s="292"/>
      <c r="Q226" s="292"/>
      <c r="R226" s="292"/>
      <c r="S226" s="292"/>
      <c r="T226" s="292"/>
    </row>
    <row r="227" spans="1:20" ht="21.9" customHeight="1">
      <c r="A227" s="302"/>
      <c r="B227" s="18" t="s">
        <v>686</v>
      </c>
      <c r="C227" s="18" t="s">
        <v>687</v>
      </c>
      <c r="D227" s="395">
        <v>33.5</v>
      </c>
      <c r="E227" s="396" t="s">
        <v>680</v>
      </c>
      <c r="F227" s="304">
        <v>26310</v>
      </c>
      <c r="G227" s="42">
        <f t="shared" si="8"/>
        <v>881385</v>
      </c>
      <c r="H227" s="304"/>
      <c r="I227" s="292"/>
      <c r="J227" s="292"/>
      <c r="K227" s="292"/>
      <c r="L227" s="292"/>
      <c r="M227" s="292"/>
      <c r="N227" s="292"/>
      <c r="O227" s="292"/>
      <c r="P227" s="292"/>
      <c r="Q227" s="292"/>
      <c r="R227" s="292"/>
      <c r="S227" s="292"/>
      <c r="T227" s="292"/>
    </row>
    <row r="228" spans="1:20" ht="21.9" customHeight="1">
      <c r="A228" s="302"/>
      <c r="B228" s="18" t="s">
        <v>688</v>
      </c>
      <c r="C228" s="18" t="s">
        <v>689</v>
      </c>
      <c r="D228" s="395">
        <v>1</v>
      </c>
      <c r="E228" s="396" t="s">
        <v>690</v>
      </c>
      <c r="F228" s="304">
        <v>132200</v>
      </c>
      <c r="G228" s="42">
        <f t="shared" si="8"/>
        <v>132200</v>
      </c>
      <c r="H228" s="18" t="s">
        <v>691</v>
      </c>
      <c r="I228" s="292"/>
      <c r="J228" s="292"/>
      <c r="K228" s="292"/>
      <c r="L228" s="292"/>
      <c r="M228" s="292"/>
      <c r="N228" s="292"/>
      <c r="O228" s="292"/>
      <c r="P228" s="292"/>
      <c r="Q228" s="292"/>
      <c r="R228" s="292"/>
      <c r="S228" s="292"/>
      <c r="T228" s="292"/>
    </row>
    <row r="229" spans="1:20" ht="21.9" customHeight="1">
      <c r="A229" s="302"/>
      <c r="B229" s="18" t="s">
        <v>692</v>
      </c>
      <c r="C229" s="18" t="s">
        <v>693</v>
      </c>
      <c r="D229" s="395">
        <v>5.4</v>
      </c>
      <c r="E229" s="396" t="s">
        <v>680</v>
      </c>
      <c r="F229" s="304">
        <v>2400</v>
      </c>
      <c r="G229" s="42">
        <f t="shared" si="8"/>
        <v>12960</v>
      </c>
      <c r="H229" s="304"/>
      <c r="I229" s="292"/>
      <c r="J229" s="292"/>
      <c r="K229" s="292"/>
      <c r="L229" s="292"/>
      <c r="M229" s="292"/>
      <c r="N229" s="292"/>
      <c r="O229" s="292"/>
      <c r="P229" s="292"/>
      <c r="Q229" s="292"/>
      <c r="R229" s="292"/>
      <c r="S229" s="292"/>
      <c r="T229" s="292"/>
    </row>
    <row r="230" spans="1:20" ht="21.9" customHeight="1">
      <c r="A230" s="302"/>
      <c r="B230" s="18" t="s">
        <v>694</v>
      </c>
      <c r="C230" s="404"/>
      <c r="D230" s="395">
        <v>1</v>
      </c>
      <c r="E230" s="396" t="s">
        <v>690</v>
      </c>
      <c r="F230" s="304">
        <v>1300</v>
      </c>
      <c r="G230" s="42">
        <f t="shared" si="8"/>
        <v>1300</v>
      </c>
      <c r="H230" s="18"/>
      <c r="I230" s="292"/>
      <c r="J230" s="292"/>
      <c r="K230" s="292"/>
      <c r="L230" s="292"/>
      <c r="M230" s="292"/>
      <c r="N230" s="292"/>
      <c r="O230" s="292"/>
      <c r="P230" s="292"/>
      <c r="Q230" s="292"/>
      <c r="R230" s="292"/>
      <c r="S230" s="292"/>
      <c r="T230" s="292"/>
    </row>
    <row r="231" spans="1:20" ht="21.9" customHeight="1">
      <c r="A231" s="302"/>
      <c r="B231" s="294" t="s">
        <v>695</v>
      </c>
      <c r="C231" s="398"/>
      <c r="D231" s="314">
        <v>1</v>
      </c>
      <c r="E231" s="297" t="s">
        <v>690</v>
      </c>
      <c r="F231" s="304">
        <v>800</v>
      </c>
      <c r="G231" s="42">
        <f t="shared" si="8"/>
        <v>800</v>
      </c>
      <c r="H231" s="304"/>
      <c r="I231" s="292"/>
      <c r="J231" s="292"/>
      <c r="K231" s="292"/>
      <c r="L231" s="292"/>
      <c r="M231" s="292"/>
      <c r="N231" s="292"/>
      <c r="O231" s="292"/>
      <c r="P231" s="292"/>
      <c r="Q231" s="292"/>
      <c r="R231" s="292"/>
      <c r="S231" s="292"/>
      <c r="T231" s="292"/>
    </row>
    <row r="232" spans="1:20" ht="21.9" customHeight="1">
      <c r="A232" s="302"/>
      <c r="B232" s="294" t="s">
        <v>696</v>
      </c>
      <c r="C232" s="398" t="s">
        <v>697</v>
      </c>
      <c r="D232" s="314">
        <v>3.4</v>
      </c>
      <c r="E232" s="297" t="s">
        <v>680</v>
      </c>
      <c r="F232" s="304">
        <v>70000</v>
      </c>
      <c r="G232" s="42">
        <f t="shared" si="8"/>
        <v>238000</v>
      </c>
      <c r="H232" s="304" t="s">
        <v>698</v>
      </c>
      <c r="I232" s="292"/>
      <c r="J232" s="292"/>
      <c r="K232" s="292"/>
      <c r="L232" s="292"/>
      <c r="M232" s="292"/>
      <c r="N232" s="292"/>
      <c r="O232" s="292"/>
      <c r="P232" s="292"/>
      <c r="Q232" s="292"/>
      <c r="R232" s="292"/>
      <c r="S232" s="292"/>
      <c r="T232" s="292"/>
    </row>
    <row r="233" spans="1:20" ht="21.9" customHeight="1">
      <c r="A233" s="302"/>
      <c r="B233" s="294" t="s">
        <v>699</v>
      </c>
      <c r="C233" s="398" t="s">
        <v>700</v>
      </c>
      <c r="D233" s="314">
        <v>106</v>
      </c>
      <c r="E233" s="297" t="s">
        <v>628</v>
      </c>
      <c r="F233" s="304">
        <v>3520</v>
      </c>
      <c r="G233" s="42">
        <f t="shared" si="8"/>
        <v>373120</v>
      </c>
      <c r="H233" s="304"/>
      <c r="I233" s="292"/>
      <c r="J233" s="292"/>
      <c r="K233" s="292"/>
      <c r="L233" s="292"/>
      <c r="M233" s="292"/>
      <c r="N233" s="292"/>
      <c r="O233" s="292"/>
      <c r="P233" s="292"/>
      <c r="Q233" s="292"/>
      <c r="R233" s="292"/>
      <c r="S233" s="292"/>
      <c r="T233" s="292"/>
    </row>
    <row r="234" spans="1:20" ht="21.9" customHeight="1">
      <c r="A234" s="302"/>
      <c r="B234" s="294" t="s">
        <v>701</v>
      </c>
      <c r="C234" s="398" t="s">
        <v>702</v>
      </c>
      <c r="D234" s="314">
        <v>106</v>
      </c>
      <c r="E234" s="297" t="s">
        <v>628</v>
      </c>
      <c r="F234" s="304">
        <v>1790</v>
      </c>
      <c r="G234" s="42">
        <f t="shared" si="8"/>
        <v>189740</v>
      </c>
      <c r="H234" s="304"/>
      <c r="I234" s="292"/>
      <c r="J234" s="292"/>
      <c r="K234" s="292"/>
      <c r="L234" s="292"/>
      <c r="M234" s="292"/>
      <c r="N234" s="292"/>
      <c r="O234" s="292"/>
      <c r="P234" s="292"/>
      <c r="Q234" s="292"/>
      <c r="R234" s="292"/>
      <c r="S234" s="292"/>
      <c r="T234" s="292"/>
    </row>
    <row r="235" spans="1:20" ht="21.9" customHeight="1">
      <c r="A235" s="302"/>
      <c r="B235" s="294" t="s">
        <v>703</v>
      </c>
      <c r="C235" s="398" t="s">
        <v>704</v>
      </c>
      <c r="D235" s="314">
        <v>4</v>
      </c>
      <c r="E235" s="297" t="s">
        <v>606</v>
      </c>
      <c r="F235" s="304">
        <v>12340</v>
      </c>
      <c r="G235" s="42">
        <f t="shared" si="8"/>
        <v>49360</v>
      </c>
      <c r="H235" s="304"/>
      <c r="I235" s="292"/>
      <c r="J235" s="292"/>
      <c r="K235" s="292"/>
      <c r="L235" s="292"/>
      <c r="M235" s="292"/>
      <c r="N235" s="292"/>
      <c r="O235" s="292"/>
      <c r="P235" s="292"/>
      <c r="Q235" s="292"/>
      <c r="R235" s="292"/>
      <c r="S235" s="292"/>
      <c r="T235" s="292"/>
    </row>
    <row r="236" spans="1:20" ht="21.9" customHeight="1">
      <c r="A236" s="302"/>
      <c r="B236" s="294" t="s">
        <v>705</v>
      </c>
      <c r="C236" s="398" t="s">
        <v>706</v>
      </c>
      <c r="D236" s="314">
        <v>8</v>
      </c>
      <c r="E236" s="297" t="s">
        <v>690</v>
      </c>
      <c r="F236" s="304">
        <v>2220</v>
      </c>
      <c r="G236" s="42">
        <f t="shared" si="8"/>
        <v>17760</v>
      </c>
      <c r="H236" s="304"/>
      <c r="I236" s="292"/>
      <c r="J236" s="292"/>
      <c r="K236" s="292"/>
      <c r="L236" s="292"/>
      <c r="M236" s="292"/>
      <c r="N236" s="292"/>
      <c r="O236" s="292"/>
      <c r="P236" s="292"/>
      <c r="Q236" s="292"/>
      <c r="R236" s="292"/>
      <c r="S236" s="292"/>
      <c r="T236" s="292"/>
    </row>
    <row r="237" spans="1:20" ht="21.9" customHeight="1">
      <c r="A237" s="302"/>
      <c r="B237" s="294" t="s">
        <v>707</v>
      </c>
      <c r="C237" s="398"/>
      <c r="D237" s="314">
        <v>155</v>
      </c>
      <c r="E237" s="297" t="s">
        <v>606</v>
      </c>
      <c r="F237" s="304">
        <v>500</v>
      </c>
      <c r="G237" s="42">
        <f t="shared" si="8"/>
        <v>77500</v>
      </c>
      <c r="H237" s="304"/>
      <c r="I237" s="292"/>
      <c r="J237" s="292"/>
      <c r="K237" s="292"/>
      <c r="L237" s="292"/>
      <c r="M237" s="292"/>
      <c r="N237" s="292"/>
      <c r="O237" s="292"/>
      <c r="P237" s="292"/>
      <c r="Q237" s="292"/>
      <c r="R237" s="292"/>
      <c r="S237" s="292"/>
      <c r="T237" s="292"/>
    </row>
    <row r="238" spans="1:20" ht="21.9" customHeight="1">
      <c r="A238" s="302"/>
      <c r="B238" s="294" t="s">
        <v>708</v>
      </c>
      <c r="C238" s="398"/>
      <c r="D238" s="314">
        <v>3.3</v>
      </c>
      <c r="E238" s="297" t="s">
        <v>606</v>
      </c>
      <c r="F238" s="304">
        <v>900</v>
      </c>
      <c r="G238" s="42">
        <f t="shared" si="8"/>
        <v>2970</v>
      </c>
      <c r="H238" s="304"/>
      <c r="I238" s="292"/>
      <c r="J238" s="292"/>
      <c r="K238" s="292"/>
      <c r="L238" s="292"/>
      <c r="M238" s="292"/>
      <c r="N238" s="292"/>
      <c r="O238" s="292"/>
      <c r="P238" s="292"/>
      <c r="Q238" s="292"/>
      <c r="R238" s="292"/>
      <c r="S238" s="292"/>
      <c r="T238" s="292"/>
    </row>
    <row r="239" spans="1:20" ht="21.9" customHeight="1">
      <c r="A239" s="302"/>
      <c r="B239" s="294" t="s">
        <v>709</v>
      </c>
      <c r="C239" s="398"/>
      <c r="D239" s="314">
        <v>8</v>
      </c>
      <c r="E239" s="297" t="s">
        <v>690</v>
      </c>
      <c r="F239" s="304">
        <v>7830</v>
      </c>
      <c r="G239" s="42">
        <f t="shared" si="8"/>
        <v>62640</v>
      </c>
      <c r="H239" s="304"/>
      <c r="I239" s="292"/>
      <c r="J239" s="292"/>
      <c r="K239" s="292"/>
      <c r="L239" s="292"/>
      <c r="M239" s="292"/>
      <c r="N239" s="292"/>
      <c r="O239" s="292"/>
      <c r="P239" s="292"/>
      <c r="Q239" s="292"/>
      <c r="R239" s="292"/>
      <c r="S239" s="292"/>
      <c r="T239" s="292"/>
    </row>
    <row r="240" spans="1:20" ht="21.9" customHeight="1">
      <c r="A240" s="302"/>
      <c r="B240" s="294" t="s">
        <v>710</v>
      </c>
      <c r="C240" s="398" t="s">
        <v>711</v>
      </c>
      <c r="D240" s="314">
        <v>106</v>
      </c>
      <c r="E240" s="297" t="s">
        <v>628</v>
      </c>
      <c r="F240" s="304">
        <v>1610</v>
      </c>
      <c r="G240" s="42">
        <f t="shared" si="8"/>
        <v>170660</v>
      </c>
      <c r="H240" s="304"/>
      <c r="I240" s="292"/>
      <c r="J240" s="292"/>
      <c r="K240" s="292"/>
      <c r="L240" s="292"/>
      <c r="M240" s="292"/>
      <c r="N240" s="292"/>
      <c r="O240" s="292"/>
      <c r="P240" s="292"/>
      <c r="Q240" s="292"/>
      <c r="R240" s="292"/>
      <c r="S240" s="292"/>
      <c r="T240" s="292"/>
    </row>
    <row r="241" spans="1:20" ht="21.9" customHeight="1">
      <c r="A241" s="302"/>
      <c r="B241" s="294" t="s">
        <v>712</v>
      </c>
      <c r="C241" s="398" t="s">
        <v>713</v>
      </c>
      <c r="D241" s="314">
        <v>210</v>
      </c>
      <c r="E241" s="297" t="s">
        <v>628</v>
      </c>
      <c r="F241" s="304">
        <v>1880</v>
      </c>
      <c r="G241" s="42">
        <f t="shared" si="8"/>
        <v>394800</v>
      </c>
      <c r="H241" s="304"/>
      <c r="I241" s="292"/>
      <c r="J241" s="292"/>
      <c r="K241" s="292"/>
      <c r="L241" s="292"/>
      <c r="M241" s="292"/>
      <c r="N241" s="292"/>
      <c r="O241" s="292"/>
      <c r="P241" s="292"/>
      <c r="Q241" s="292"/>
      <c r="R241" s="292"/>
      <c r="S241" s="292"/>
      <c r="T241" s="292"/>
    </row>
    <row r="242" spans="1:20" ht="21.9" customHeight="1">
      <c r="A242" s="302"/>
      <c r="B242" s="297" t="s">
        <v>419</v>
      </c>
      <c r="C242" s="43"/>
      <c r="D242" s="314"/>
      <c r="E242" s="297"/>
      <c r="F242" s="304"/>
      <c r="G242" s="42">
        <f>SUM(G224:G241)</f>
        <v>2970735</v>
      </c>
      <c r="H242" s="304"/>
      <c r="I242" s="292"/>
      <c r="J242" s="292"/>
      <c r="K242" s="292"/>
      <c r="L242" s="292"/>
      <c r="M242" s="292"/>
      <c r="N242" s="292"/>
      <c r="O242" s="292"/>
      <c r="P242" s="292"/>
      <c r="Q242" s="292"/>
      <c r="R242" s="292"/>
      <c r="S242" s="292"/>
      <c r="T242" s="292"/>
    </row>
    <row r="243" spans="1:20" ht="21.9" customHeight="1">
      <c r="A243" s="302"/>
      <c r="B243" s="315"/>
      <c r="C243" s="316"/>
      <c r="D243" s="314"/>
      <c r="E243" s="297"/>
      <c r="F243" s="304"/>
      <c r="G243" s="255"/>
      <c r="H243" s="304"/>
      <c r="I243" s="292"/>
      <c r="J243" s="292"/>
      <c r="K243" s="292"/>
      <c r="L243" s="292"/>
      <c r="M243" s="292"/>
      <c r="N243" s="292"/>
      <c r="O243" s="292"/>
      <c r="P243" s="292"/>
      <c r="Q243" s="292"/>
      <c r="R243" s="292"/>
      <c r="S243" s="292"/>
      <c r="T243" s="292"/>
    </row>
    <row r="244" spans="1:20" ht="21.9" customHeight="1">
      <c r="A244" s="13"/>
      <c r="B244" s="309"/>
      <c r="C244" s="309"/>
      <c r="D244" s="14" t="s">
        <v>23</v>
      </c>
      <c r="E244" s="309"/>
      <c r="F244" s="309"/>
      <c r="G244" s="309"/>
      <c r="H244" s="310">
        <f>+H220+1</f>
        <v>28</v>
      </c>
      <c r="I244" s="292"/>
      <c r="J244" s="292"/>
      <c r="K244" s="292"/>
      <c r="L244" s="292"/>
      <c r="M244" s="292"/>
      <c r="N244" s="292"/>
      <c r="O244" s="292"/>
      <c r="P244" s="292"/>
      <c r="Q244" s="292"/>
      <c r="R244" s="292"/>
      <c r="S244" s="292"/>
      <c r="T244" s="292"/>
    </row>
    <row r="245" spans="1:20" ht="21.9" customHeight="1">
      <c r="A245" s="405"/>
      <c r="B245" s="406"/>
      <c r="C245" s="406"/>
      <c r="D245" s="407"/>
      <c r="E245" s="406"/>
      <c r="F245" s="406"/>
      <c r="G245" s="406"/>
      <c r="H245" s="408"/>
    </row>
    <row r="246" spans="1:20" ht="21.9" customHeight="1">
      <c r="A246" s="409"/>
      <c r="B246" s="410" t="s">
        <v>0</v>
      </c>
      <c r="C246" s="53" t="s">
        <v>1</v>
      </c>
      <c r="D246" s="411" t="s">
        <v>5</v>
      </c>
      <c r="E246" s="412" t="s">
        <v>6</v>
      </c>
      <c r="F246" s="413" t="s">
        <v>20</v>
      </c>
      <c r="G246" s="54" t="s">
        <v>21</v>
      </c>
      <c r="H246" s="413" t="s">
        <v>3</v>
      </c>
    </row>
    <row r="247" spans="1:20" ht="21.9" customHeight="1">
      <c r="A247" s="306" t="s">
        <v>714</v>
      </c>
      <c r="B247" s="301" t="s">
        <v>715</v>
      </c>
      <c r="C247" s="398"/>
      <c r="D247" s="314"/>
      <c r="E247" s="297"/>
      <c r="F247" s="304"/>
      <c r="G247" s="42"/>
      <c r="H247" s="304"/>
    </row>
    <row r="248" spans="1:20" ht="21.9" customHeight="1">
      <c r="A248" s="302"/>
      <c r="B248" s="294"/>
      <c r="C248" s="398"/>
      <c r="D248" s="314"/>
      <c r="E248" s="297"/>
      <c r="F248" s="304"/>
      <c r="G248" s="42"/>
      <c r="H248" s="304"/>
    </row>
    <row r="249" spans="1:20" ht="21.9" customHeight="1">
      <c r="A249" s="302"/>
      <c r="B249" s="18" t="s">
        <v>716</v>
      </c>
      <c r="C249" s="18" t="s">
        <v>717</v>
      </c>
      <c r="D249" s="395">
        <v>38</v>
      </c>
      <c r="E249" s="396" t="s">
        <v>606</v>
      </c>
      <c r="F249" s="304">
        <v>8000</v>
      </c>
      <c r="G249" s="42">
        <f t="shared" ref="G249:G250" si="9">D249*F249</f>
        <v>304000</v>
      </c>
      <c r="H249" s="399"/>
    </row>
    <row r="250" spans="1:20" ht="21.9" customHeight="1">
      <c r="A250" s="302"/>
      <c r="B250" s="18" t="s">
        <v>718</v>
      </c>
      <c r="C250" s="18"/>
      <c r="D250" s="395">
        <v>1</v>
      </c>
      <c r="E250" s="396" t="s">
        <v>690</v>
      </c>
      <c r="F250" s="304">
        <v>53100</v>
      </c>
      <c r="G250" s="42">
        <f t="shared" si="9"/>
        <v>53100</v>
      </c>
      <c r="H250" s="399"/>
    </row>
    <row r="251" spans="1:20" ht="21.9" customHeight="1">
      <c r="A251" s="302"/>
      <c r="B251" s="18"/>
      <c r="C251" s="18"/>
      <c r="D251" s="395"/>
      <c r="E251" s="396"/>
      <c r="F251" s="304"/>
      <c r="G251" s="42"/>
      <c r="H251" s="399"/>
    </row>
    <row r="252" spans="1:20" ht="21.9" customHeight="1">
      <c r="A252" s="302"/>
      <c r="B252" s="18"/>
      <c r="C252" s="18"/>
      <c r="D252" s="395"/>
      <c r="E252" s="396"/>
      <c r="F252" s="304"/>
      <c r="G252" s="42"/>
      <c r="H252" s="18"/>
    </row>
    <row r="253" spans="1:20" ht="21.9" customHeight="1">
      <c r="A253" s="302"/>
      <c r="B253" s="18"/>
      <c r="C253" s="18"/>
      <c r="D253" s="395"/>
      <c r="E253" s="396"/>
      <c r="F253" s="304"/>
      <c r="G253" s="42"/>
      <c r="H253" s="18"/>
    </row>
    <row r="254" spans="1:20" ht="21.9" customHeight="1">
      <c r="A254" s="302"/>
      <c r="B254" s="18"/>
      <c r="C254" s="398"/>
      <c r="D254" s="395"/>
      <c r="E254" s="396"/>
      <c r="F254" s="304"/>
      <c r="G254" s="42"/>
      <c r="H254" s="18"/>
    </row>
    <row r="255" spans="1:20" ht="21.9" customHeight="1">
      <c r="A255" s="302"/>
      <c r="B255" s="294"/>
      <c r="C255" s="398"/>
      <c r="D255" s="314"/>
      <c r="E255" s="297"/>
      <c r="F255" s="304"/>
      <c r="G255" s="42"/>
      <c r="H255" s="304"/>
    </row>
    <row r="256" spans="1:20" ht="21.9" customHeight="1">
      <c r="A256" s="302"/>
      <c r="B256" s="294"/>
      <c r="C256" s="398"/>
      <c r="D256" s="314"/>
      <c r="E256" s="297"/>
      <c r="F256" s="304"/>
      <c r="G256" s="42"/>
      <c r="H256" s="304"/>
    </row>
    <row r="257" spans="1:8" ht="21.9" customHeight="1">
      <c r="A257" s="302"/>
      <c r="B257" s="294"/>
      <c r="C257" s="398"/>
      <c r="D257" s="314"/>
      <c r="E257" s="297"/>
      <c r="F257" s="304"/>
      <c r="G257" s="42"/>
      <c r="H257" s="304"/>
    </row>
    <row r="258" spans="1:8" ht="21.9" customHeight="1">
      <c r="A258" s="302"/>
      <c r="B258" s="294"/>
      <c r="C258" s="398"/>
      <c r="D258" s="314"/>
      <c r="E258" s="297"/>
      <c r="F258" s="304"/>
      <c r="G258" s="42"/>
      <c r="H258" s="304"/>
    </row>
    <row r="259" spans="1:8" ht="21.9" customHeight="1">
      <c r="A259" s="302"/>
      <c r="B259" s="294"/>
      <c r="C259" s="398"/>
      <c r="D259" s="314"/>
      <c r="E259" s="297"/>
      <c r="F259" s="304"/>
      <c r="G259" s="42"/>
      <c r="H259" s="304"/>
    </row>
    <row r="260" spans="1:8" ht="21.9" customHeight="1">
      <c r="A260" s="302"/>
      <c r="B260" s="294"/>
      <c r="C260" s="398"/>
      <c r="D260" s="314"/>
      <c r="E260" s="297"/>
      <c r="F260" s="304"/>
      <c r="G260" s="42"/>
      <c r="H260" s="304"/>
    </row>
    <row r="261" spans="1:8" ht="21.9" customHeight="1">
      <c r="A261" s="302"/>
      <c r="B261" s="294"/>
      <c r="C261" s="398"/>
      <c r="D261" s="314"/>
      <c r="E261" s="297"/>
      <c r="F261" s="304"/>
      <c r="G261" s="42"/>
      <c r="H261" s="304"/>
    </row>
    <row r="262" spans="1:8" ht="21.9" customHeight="1">
      <c r="A262" s="302"/>
      <c r="B262" s="294"/>
      <c r="C262" s="398"/>
      <c r="D262" s="314"/>
      <c r="E262" s="297"/>
      <c r="F262" s="304"/>
      <c r="G262" s="42"/>
      <c r="H262" s="304"/>
    </row>
    <row r="263" spans="1:8" ht="21.9" customHeight="1">
      <c r="A263" s="302"/>
      <c r="B263" s="294"/>
      <c r="C263" s="398"/>
      <c r="D263" s="314"/>
      <c r="E263" s="297"/>
      <c r="F263" s="304"/>
      <c r="G263" s="42"/>
      <c r="H263" s="304"/>
    </row>
    <row r="264" spans="1:8" ht="21.9" customHeight="1">
      <c r="A264" s="302"/>
      <c r="B264" s="294"/>
      <c r="C264" s="398"/>
      <c r="D264" s="314"/>
      <c r="E264" s="297"/>
      <c r="F264" s="304"/>
      <c r="G264" s="42"/>
      <c r="H264" s="304"/>
    </row>
    <row r="265" spans="1:8" ht="21.9" customHeight="1">
      <c r="A265" s="302"/>
      <c r="B265" s="294"/>
      <c r="C265" s="398"/>
      <c r="D265" s="314"/>
      <c r="E265" s="297"/>
      <c r="F265" s="304"/>
      <c r="G265" s="42"/>
      <c r="H265" s="304"/>
    </row>
    <row r="266" spans="1:8" ht="21.9" customHeight="1">
      <c r="A266" s="302"/>
      <c r="B266" s="297" t="s">
        <v>641</v>
      </c>
      <c r="C266" s="43"/>
      <c r="D266" s="314"/>
      <c r="E266" s="297"/>
      <c r="F266" s="304"/>
      <c r="G266" s="42">
        <f>SUM(G249:G264)</f>
        <v>357100</v>
      </c>
      <c r="H266" s="304"/>
    </row>
    <row r="267" spans="1:8" ht="21.9" customHeight="1">
      <c r="A267" s="302"/>
      <c r="B267" s="315"/>
      <c r="C267" s="316"/>
      <c r="D267" s="314"/>
      <c r="E267" s="297"/>
      <c r="F267" s="304"/>
      <c r="G267" s="255"/>
      <c r="H267" s="304"/>
    </row>
    <row r="268" spans="1:8" ht="21.9" customHeight="1">
      <c r="A268" s="13"/>
      <c r="B268" s="309"/>
      <c r="C268" s="309"/>
      <c r="D268" s="14" t="s">
        <v>23</v>
      </c>
      <c r="E268" s="309"/>
      <c r="F268" s="309"/>
      <c r="G268" s="309"/>
      <c r="H268" s="310">
        <f>+H244+1</f>
        <v>29</v>
      </c>
    </row>
    <row r="269" spans="1:8" ht="21.9" customHeight="1">
      <c r="A269" s="405"/>
      <c r="B269" s="406"/>
      <c r="C269" s="406"/>
      <c r="D269" s="407"/>
      <c r="E269" s="406"/>
      <c r="F269" s="406"/>
      <c r="G269" s="406"/>
      <c r="H269" s="408"/>
    </row>
    <row r="270" spans="1:8" ht="21.9" customHeight="1">
      <c r="A270" s="409"/>
      <c r="B270" s="410" t="s">
        <v>0</v>
      </c>
      <c r="C270" s="53" t="s">
        <v>1</v>
      </c>
      <c r="D270" s="411" t="s">
        <v>5</v>
      </c>
      <c r="E270" s="412" t="s">
        <v>6</v>
      </c>
      <c r="F270" s="413" t="s">
        <v>20</v>
      </c>
      <c r="G270" s="54" t="s">
        <v>21</v>
      </c>
      <c r="H270" s="413" t="s">
        <v>3</v>
      </c>
    </row>
    <row r="271" spans="1:8" ht="21.9" customHeight="1">
      <c r="A271" s="302"/>
      <c r="B271" s="294"/>
      <c r="C271" s="398"/>
      <c r="D271" s="314"/>
      <c r="E271" s="297"/>
      <c r="F271" s="304"/>
      <c r="G271" s="42"/>
      <c r="H271" s="304"/>
    </row>
    <row r="272" spans="1:8" ht="21.9" customHeight="1">
      <c r="A272" s="302"/>
      <c r="B272" s="294"/>
      <c r="C272" s="398"/>
      <c r="D272" s="314"/>
      <c r="E272" s="297"/>
      <c r="F272" s="304"/>
      <c r="G272" s="42"/>
      <c r="H272" s="304"/>
    </row>
    <row r="273" spans="1:8" ht="21.9" customHeight="1">
      <c r="A273" s="302"/>
      <c r="B273" s="18"/>
      <c r="C273" s="18"/>
      <c r="D273" s="395"/>
      <c r="E273" s="396"/>
      <c r="F273" s="304"/>
      <c r="G273" s="42"/>
      <c r="H273" s="399"/>
    </row>
    <row r="274" spans="1:8" ht="21.9" customHeight="1">
      <c r="A274" s="302"/>
      <c r="B274" s="18"/>
      <c r="C274" s="18"/>
      <c r="D274" s="395"/>
      <c r="E274" s="396"/>
      <c r="F274" s="304"/>
      <c r="G274" s="42"/>
      <c r="H274" s="399"/>
    </row>
    <row r="275" spans="1:8" ht="21.9" customHeight="1">
      <c r="A275" s="302"/>
      <c r="B275" s="18"/>
      <c r="C275" s="18"/>
      <c r="D275" s="395"/>
      <c r="E275" s="396"/>
      <c r="F275" s="304"/>
      <c r="G275" s="42"/>
      <c r="H275" s="399"/>
    </row>
    <row r="276" spans="1:8" ht="21.9" customHeight="1">
      <c r="A276" s="302"/>
      <c r="B276" s="18"/>
      <c r="C276" s="18"/>
      <c r="D276" s="395"/>
      <c r="E276" s="396"/>
      <c r="F276" s="304"/>
      <c r="G276" s="42"/>
      <c r="H276" s="399"/>
    </row>
    <row r="277" spans="1:8" ht="21.9" customHeight="1">
      <c r="A277" s="302"/>
      <c r="B277" s="18"/>
      <c r="C277" s="18"/>
      <c r="D277" s="395"/>
      <c r="E277" s="396"/>
      <c r="F277" s="304"/>
      <c r="G277" s="42"/>
      <c r="H277" s="399"/>
    </row>
    <row r="278" spans="1:8" ht="21.9" customHeight="1">
      <c r="A278" s="302"/>
      <c r="B278" s="18"/>
      <c r="C278" s="18"/>
      <c r="D278" s="395"/>
      <c r="E278" s="396"/>
      <c r="F278" s="304"/>
      <c r="G278" s="42"/>
      <c r="H278" s="399"/>
    </row>
    <row r="279" spans="1:8" ht="21.9" customHeight="1">
      <c r="A279" s="302"/>
      <c r="B279" s="18"/>
      <c r="C279" s="18"/>
      <c r="D279" s="395"/>
      <c r="E279" s="396"/>
      <c r="F279" s="304"/>
      <c r="G279" s="42"/>
      <c r="H279" s="399"/>
    </row>
    <row r="280" spans="1:8" ht="21.9" customHeight="1">
      <c r="A280" s="302"/>
      <c r="B280" s="18"/>
      <c r="C280" s="18"/>
      <c r="D280" s="395"/>
      <c r="E280" s="396"/>
      <c r="F280" s="304"/>
      <c r="G280" s="42"/>
      <c r="H280" s="399"/>
    </row>
    <row r="281" spans="1:8" ht="21.9" customHeight="1">
      <c r="A281" s="302"/>
      <c r="B281" s="18"/>
      <c r="C281" s="18"/>
      <c r="D281" s="395"/>
      <c r="E281" s="396"/>
      <c r="F281" s="304"/>
      <c r="G281" s="42"/>
      <c r="H281" s="399"/>
    </row>
    <row r="282" spans="1:8" ht="21.9" customHeight="1">
      <c r="A282" s="302"/>
      <c r="B282" s="18"/>
      <c r="C282" s="18"/>
      <c r="D282" s="395"/>
      <c r="E282" s="396"/>
      <c r="F282" s="304"/>
      <c r="G282" s="42"/>
      <c r="H282" s="399"/>
    </row>
    <row r="283" spans="1:8" ht="21.9" customHeight="1">
      <c r="A283" s="302"/>
      <c r="B283" s="18"/>
      <c r="C283" s="18"/>
      <c r="D283" s="395"/>
      <c r="E283" s="396"/>
      <c r="F283" s="304"/>
      <c r="G283" s="42"/>
      <c r="H283" s="399"/>
    </row>
    <row r="284" spans="1:8" ht="21.9" customHeight="1">
      <c r="A284" s="302"/>
      <c r="B284" s="18"/>
      <c r="C284" s="18"/>
      <c r="D284" s="395"/>
      <c r="E284" s="396"/>
      <c r="F284" s="304"/>
      <c r="G284" s="42"/>
      <c r="H284" s="399"/>
    </row>
    <row r="285" spans="1:8" ht="21.9" customHeight="1">
      <c r="A285" s="302"/>
      <c r="B285" s="18"/>
      <c r="C285" s="18"/>
      <c r="D285" s="395"/>
      <c r="E285" s="396"/>
      <c r="F285" s="304"/>
      <c r="G285" s="42"/>
      <c r="H285" s="399"/>
    </row>
    <row r="286" spans="1:8" ht="21.9" customHeight="1">
      <c r="A286" s="302"/>
      <c r="B286" s="18"/>
      <c r="C286" s="18"/>
      <c r="D286" s="395"/>
      <c r="E286" s="396"/>
      <c r="F286" s="304"/>
      <c r="G286" s="42"/>
      <c r="H286" s="399"/>
    </row>
    <row r="287" spans="1:8" ht="21.9" customHeight="1">
      <c r="A287" s="302"/>
      <c r="B287" s="18"/>
      <c r="C287" s="18"/>
      <c r="D287" s="395"/>
      <c r="E287" s="396"/>
      <c r="F287" s="304"/>
      <c r="G287" s="42"/>
      <c r="H287" s="399"/>
    </row>
    <row r="288" spans="1:8" ht="21.9" customHeight="1">
      <c r="A288" s="302"/>
      <c r="B288" s="18"/>
      <c r="C288" s="18"/>
      <c r="D288" s="395"/>
      <c r="E288" s="396"/>
      <c r="F288" s="304"/>
      <c r="G288" s="42"/>
      <c r="H288" s="399"/>
    </row>
    <row r="289" spans="1:8" ht="21.9" customHeight="1">
      <c r="A289" s="302"/>
      <c r="B289" s="294"/>
      <c r="C289" s="398"/>
      <c r="D289" s="314"/>
      <c r="E289" s="297"/>
      <c r="F289" s="304"/>
      <c r="G289" s="42"/>
      <c r="H289" s="304"/>
    </row>
    <row r="290" spans="1:8" ht="21.9" customHeight="1">
      <c r="A290" s="302"/>
      <c r="B290" s="294"/>
      <c r="C290" s="398"/>
      <c r="D290" s="314"/>
      <c r="E290" s="297"/>
      <c r="F290" s="304"/>
      <c r="G290" s="42"/>
      <c r="H290" s="304"/>
    </row>
    <row r="291" spans="1:8" ht="21.9" customHeight="1">
      <c r="A291" s="302"/>
      <c r="B291" s="294"/>
      <c r="C291" s="398"/>
      <c r="D291" s="314"/>
      <c r="E291" s="297"/>
      <c r="F291" s="304"/>
      <c r="G291" s="42"/>
      <c r="H291" s="304"/>
    </row>
    <row r="292" spans="1:8" ht="21.9" customHeight="1">
      <c r="A292" s="13"/>
      <c r="B292" s="309"/>
      <c r="C292" s="309"/>
      <c r="D292" s="14" t="s">
        <v>23</v>
      </c>
      <c r="E292" s="309"/>
      <c r="F292" s="309"/>
      <c r="G292" s="309"/>
      <c r="H292" s="310">
        <f>+H268+1</f>
        <v>30</v>
      </c>
    </row>
    <row r="293" spans="1:8" ht="21.9" customHeight="1">
      <c r="A293" s="405"/>
      <c r="B293" s="406"/>
      <c r="C293" s="406"/>
      <c r="D293" s="407"/>
      <c r="E293" s="406"/>
      <c r="F293" s="406"/>
      <c r="G293" s="406"/>
      <c r="H293" s="408"/>
    </row>
    <row r="294" spans="1:8" ht="21.9" customHeight="1">
      <c r="A294" s="409"/>
      <c r="B294" s="410" t="s">
        <v>0</v>
      </c>
      <c r="C294" s="53" t="s">
        <v>1</v>
      </c>
      <c r="D294" s="411" t="s">
        <v>5</v>
      </c>
      <c r="E294" s="412" t="s">
        <v>6</v>
      </c>
      <c r="F294" s="413" t="s">
        <v>20</v>
      </c>
      <c r="G294" s="54" t="s">
        <v>21</v>
      </c>
      <c r="H294" s="413" t="s">
        <v>3</v>
      </c>
    </row>
    <row r="295" spans="1:8" ht="21.9" customHeight="1">
      <c r="A295" s="306"/>
      <c r="B295" s="18"/>
      <c r="C295" s="398"/>
      <c r="D295" s="395"/>
      <c r="E295" s="396"/>
      <c r="F295" s="304"/>
      <c r="G295" s="42"/>
      <c r="H295" s="399"/>
    </row>
    <row r="296" spans="1:8" ht="21.9" customHeight="1">
      <c r="A296" s="302"/>
      <c r="B296" s="18"/>
      <c r="C296" s="18"/>
      <c r="D296" s="395"/>
      <c r="E296" s="396"/>
      <c r="F296" s="304"/>
      <c r="G296" s="42"/>
      <c r="H296" s="399"/>
    </row>
    <row r="297" spans="1:8" ht="21.9" customHeight="1">
      <c r="A297" s="302"/>
      <c r="B297" s="18"/>
      <c r="C297" s="18"/>
      <c r="D297" s="395"/>
      <c r="E297" s="396"/>
      <c r="F297" s="304"/>
      <c r="G297" s="42"/>
      <c r="H297" s="399"/>
    </row>
    <row r="298" spans="1:8" ht="21.9" customHeight="1">
      <c r="A298" s="302"/>
      <c r="B298" s="18"/>
      <c r="C298" s="18"/>
      <c r="D298" s="395"/>
      <c r="E298" s="396"/>
      <c r="F298" s="304"/>
      <c r="G298" s="42"/>
      <c r="H298" s="304"/>
    </row>
    <row r="299" spans="1:8" ht="21.9" customHeight="1">
      <c r="A299" s="302"/>
      <c r="B299" s="18"/>
      <c r="C299" s="18"/>
      <c r="D299" s="395"/>
      <c r="E299" s="396"/>
      <c r="F299" s="304"/>
      <c r="G299" s="42"/>
      <c r="H299" s="304"/>
    </row>
    <row r="300" spans="1:8" ht="21.9" customHeight="1">
      <c r="A300" s="302"/>
      <c r="B300" s="18"/>
      <c r="C300" s="18"/>
      <c r="D300" s="395"/>
      <c r="E300" s="396"/>
      <c r="F300" s="304"/>
      <c r="G300" s="42"/>
      <c r="H300" s="304"/>
    </row>
    <row r="301" spans="1:8" ht="21.9" customHeight="1">
      <c r="A301" s="302"/>
      <c r="B301" s="18"/>
      <c r="C301" s="18"/>
      <c r="D301" s="395"/>
      <c r="E301" s="396"/>
      <c r="F301" s="304"/>
      <c r="G301" s="42"/>
      <c r="H301" s="304"/>
    </row>
    <row r="302" spans="1:8" ht="21.9" customHeight="1">
      <c r="A302" s="302"/>
      <c r="B302" s="18"/>
      <c r="C302" s="18"/>
      <c r="D302" s="395"/>
      <c r="E302" s="396"/>
      <c r="F302" s="304"/>
      <c r="G302" s="42"/>
      <c r="H302" s="304"/>
    </row>
    <row r="303" spans="1:8" ht="21.9" customHeight="1">
      <c r="A303" s="302"/>
      <c r="B303" s="18"/>
      <c r="C303" s="18"/>
      <c r="D303" s="395"/>
      <c r="E303" s="396"/>
      <c r="F303" s="304"/>
      <c r="G303" s="42"/>
      <c r="H303" s="304"/>
    </row>
    <row r="304" spans="1:8" ht="21.9" customHeight="1">
      <c r="A304" s="302"/>
      <c r="B304" s="18"/>
      <c r="C304" s="18"/>
      <c r="D304" s="395"/>
      <c r="E304" s="396"/>
      <c r="F304" s="304"/>
      <c r="G304" s="42"/>
      <c r="H304" s="304"/>
    </row>
    <row r="305" spans="1:8" ht="21.9" customHeight="1">
      <c r="A305" s="302"/>
      <c r="B305" s="18"/>
      <c r="C305" s="18"/>
      <c r="D305" s="395"/>
      <c r="E305" s="396"/>
      <c r="F305" s="304"/>
      <c r="G305" s="42"/>
      <c r="H305" s="304"/>
    </row>
    <row r="306" spans="1:8" ht="21.9" customHeight="1">
      <c r="A306" s="302"/>
      <c r="B306" s="18"/>
      <c r="C306" s="18"/>
      <c r="D306" s="395"/>
      <c r="E306" s="396"/>
      <c r="F306" s="304"/>
      <c r="G306" s="42"/>
      <c r="H306" s="304"/>
    </row>
    <row r="307" spans="1:8" ht="21.9" customHeight="1">
      <c r="A307" s="302"/>
      <c r="B307" s="18"/>
      <c r="C307" s="18"/>
      <c r="D307" s="395"/>
      <c r="E307" s="396"/>
      <c r="F307" s="304"/>
      <c r="G307" s="42"/>
      <c r="H307" s="18"/>
    </row>
    <row r="308" spans="1:8" ht="21.9" customHeight="1">
      <c r="A308" s="302"/>
      <c r="B308" s="18"/>
      <c r="C308" s="18"/>
      <c r="D308" s="395"/>
      <c r="E308" s="396"/>
      <c r="F308" s="304"/>
      <c r="G308" s="42"/>
      <c r="H308" s="18"/>
    </row>
    <row r="309" spans="1:8" ht="21.9" customHeight="1">
      <c r="A309" s="302"/>
      <c r="B309" s="18"/>
      <c r="C309" s="18"/>
      <c r="D309" s="395"/>
      <c r="E309" s="396"/>
      <c r="F309" s="304"/>
      <c r="G309" s="42"/>
      <c r="H309" s="18"/>
    </row>
    <row r="310" spans="1:8" ht="21.9" customHeight="1">
      <c r="A310" s="302"/>
      <c r="B310" s="18"/>
      <c r="C310" s="18"/>
      <c r="D310" s="395"/>
      <c r="E310" s="396"/>
      <c r="F310" s="304"/>
      <c r="G310" s="42"/>
      <c r="H310" s="18"/>
    </row>
    <row r="311" spans="1:8" ht="21.9" customHeight="1">
      <c r="A311" s="302"/>
      <c r="B311" s="18"/>
      <c r="C311" s="18"/>
      <c r="D311" s="395"/>
      <c r="E311" s="396"/>
      <c r="F311" s="304"/>
      <c r="G311" s="42"/>
      <c r="H311" s="18"/>
    </row>
    <row r="312" spans="1:8" ht="21.9" customHeight="1">
      <c r="A312" s="302"/>
      <c r="B312" s="18"/>
      <c r="C312" s="398"/>
      <c r="D312" s="395"/>
      <c r="E312" s="396"/>
      <c r="F312" s="304"/>
      <c r="G312" s="42"/>
      <c r="H312" s="18"/>
    </row>
    <row r="313" spans="1:8" ht="21.9" customHeight="1">
      <c r="A313" s="302"/>
      <c r="B313" s="18"/>
      <c r="C313" s="398"/>
      <c r="D313" s="395"/>
      <c r="E313" s="396"/>
      <c r="F313" s="304"/>
      <c r="G313" s="42"/>
      <c r="H313" s="18"/>
    </row>
    <row r="314" spans="1:8" ht="21.9" customHeight="1">
      <c r="A314" s="302"/>
      <c r="B314" s="297"/>
      <c r="C314" s="43"/>
      <c r="D314" s="314"/>
      <c r="E314" s="297"/>
      <c r="F314" s="304"/>
      <c r="G314" s="42"/>
      <c r="H314" s="304"/>
    </row>
    <row r="315" spans="1:8" ht="21.9" customHeight="1">
      <c r="A315" s="302"/>
      <c r="B315" s="315"/>
      <c r="C315" s="316"/>
      <c r="D315" s="314"/>
      <c r="E315" s="297"/>
      <c r="F315" s="304"/>
      <c r="G315" s="255"/>
      <c r="H315" s="304"/>
    </row>
    <row r="316" spans="1:8" ht="21.9" customHeight="1">
      <c r="A316" s="13"/>
      <c r="B316" s="309"/>
      <c r="C316" s="309"/>
      <c r="D316" s="14" t="s">
        <v>23</v>
      </c>
      <c r="E316" s="309"/>
      <c r="F316" s="309"/>
      <c r="G316" s="309"/>
      <c r="H316" s="310">
        <f>+H292+1</f>
        <v>31</v>
      </c>
    </row>
    <row r="317" spans="1:8" ht="21.9" customHeight="1">
      <c r="A317" s="405"/>
      <c r="B317" s="406"/>
      <c r="C317" s="406"/>
      <c r="D317" s="407"/>
      <c r="E317" s="406"/>
      <c r="F317" s="406"/>
      <c r="G317" s="406"/>
      <c r="H317" s="408"/>
    </row>
    <row r="318" spans="1:8" ht="21.9" customHeight="1">
      <c r="A318" s="409"/>
      <c r="B318" s="410" t="s">
        <v>0</v>
      </c>
      <c r="C318" s="53" t="s">
        <v>1</v>
      </c>
      <c r="D318" s="411" t="s">
        <v>5</v>
      </c>
      <c r="E318" s="412" t="s">
        <v>6</v>
      </c>
      <c r="F318" s="413" t="s">
        <v>20</v>
      </c>
      <c r="G318" s="54" t="s">
        <v>21</v>
      </c>
      <c r="H318" s="413" t="s">
        <v>3</v>
      </c>
    </row>
    <row r="319" spans="1:8" ht="21.9" customHeight="1">
      <c r="A319" s="306"/>
      <c r="B319" s="318"/>
      <c r="C319" s="398"/>
      <c r="D319" s="314"/>
      <c r="E319" s="297"/>
      <c r="F319" s="304"/>
      <c r="G319" s="42"/>
      <c r="H319" s="304"/>
    </row>
    <row r="320" spans="1:8" ht="21.9" customHeight="1">
      <c r="A320" s="302"/>
      <c r="B320" s="294"/>
      <c r="C320" s="398"/>
      <c r="D320" s="314"/>
      <c r="E320" s="297"/>
      <c r="F320" s="304"/>
      <c r="G320" s="42"/>
      <c r="H320" s="304"/>
    </row>
    <row r="321" spans="1:8" ht="21.9" customHeight="1">
      <c r="A321" s="302"/>
      <c r="B321" s="18"/>
      <c r="C321" s="18"/>
      <c r="D321" s="395"/>
      <c r="E321" s="396"/>
      <c r="F321" s="304"/>
      <c r="G321" s="42"/>
      <c r="H321" s="399"/>
    </row>
    <row r="322" spans="1:8" ht="21.9" customHeight="1">
      <c r="A322" s="302"/>
      <c r="B322" s="18"/>
      <c r="C322" s="18"/>
      <c r="D322" s="395"/>
      <c r="E322" s="396"/>
      <c r="F322" s="304"/>
      <c r="G322" s="42"/>
      <c r="H322" s="399"/>
    </row>
    <row r="323" spans="1:8" ht="21.9" customHeight="1">
      <c r="A323" s="302"/>
      <c r="B323" s="18"/>
      <c r="C323" s="18"/>
      <c r="D323" s="395"/>
      <c r="E323" s="396"/>
      <c r="F323" s="304"/>
      <c r="G323" s="42"/>
      <c r="H323" s="399"/>
    </row>
    <row r="324" spans="1:8" ht="21.9" customHeight="1">
      <c r="A324" s="302"/>
      <c r="B324" s="18"/>
      <c r="C324" s="18"/>
      <c r="D324" s="395"/>
      <c r="E324" s="396"/>
      <c r="F324" s="304"/>
      <c r="G324" s="42"/>
      <c r="H324" s="399"/>
    </row>
    <row r="325" spans="1:8" ht="21.9" customHeight="1">
      <c r="A325" s="302"/>
      <c r="B325" s="18"/>
      <c r="C325" s="18"/>
      <c r="D325" s="395"/>
      <c r="E325" s="396"/>
      <c r="F325" s="304"/>
      <c r="G325" s="42"/>
      <c r="H325" s="399"/>
    </row>
    <row r="326" spans="1:8" ht="21.9" customHeight="1">
      <c r="A326" s="302"/>
      <c r="B326" s="18"/>
      <c r="C326" s="18"/>
      <c r="D326" s="395"/>
      <c r="E326" s="396"/>
      <c r="F326" s="304"/>
      <c r="G326" s="42"/>
      <c r="H326" s="399"/>
    </row>
    <row r="327" spans="1:8" ht="21.9" customHeight="1">
      <c r="A327" s="302"/>
      <c r="B327" s="18"/>
      <c r="C327" s="18"/>
      <c r="D327" s="395"/>
      <c r="E327" s="396"/>
      <c r="F327" s="304"/>
      <c r="G327" s="42"/>
      <c r="H327" s="399"/>
    </row>
    <row r="328" spans="1:8" ht="21.9" customHeight="1">
      <c r="A328" s="302"/>
      <c r="B328" s="18"/>
      <c r="C328" s="18"/>
      <c r="D328" s="395"/>
      <c r="E328" s="396"/>
      <c r="F328" s="304"/>
      <c r="G328" s="42"/>
      <c r="H328" s="399"/>
    </row>
    <row r="329" spans="1:8" ht="21.9" customHeight="1">
      <c r="A329" s="302"/>
      <c r="B329" s="18"/>
      <c r="C329" s="18"/>
      <c r="D329" s="395"/>
      <c r="E329" s="396"/>
      <c r="F329" s="304"/>
      <c r="G329" s="42"/>
      <c r="H329" s="399"/>
    </row>
    <row r="330" spans="1:8" ht="21.9" customHeight="1">
      <c r="A330" s="302"/>
      <c r="B330" s="18"/>
      <c r="C330" s="18"/>
      <c r="D330" s="395"/>
      <c r="E330" s="396"/>
      <c r="F330" s="304"/>
      <c r="G330" s="42"/>
      <c r="H330" s="399"/>
    </row>
    <row r="331" spans="1:8" ht="21.9" customHeight="1">
      <c r="A331" s="302"/>
      <c r="B331" s="18"/>
      <c r="C331" s="18"/>
      <c r="D331" s="395"/>
      <c r="E331" s="396"/>
      <c r="F331" s="304"/>
      <c r="G331" s="42"/>
      <c r="H331" s="399"/>
    </row>
    <row r="332" spans="1:8" ht="21.9" customHeight="1">
      <c r="A332" s="302"/>
      <c r="B332" s="18"/>
      <c r="C332" s="18"/>
      <c r="D332" s="395"/>
      <c r="E332" s="396"/>
      <c r="F332" s="304"/>
      <c r="G332" s="42"/>
      <c r="H332" s="399"/>
    </row>
    <row r="333" spans="1:8" ht="21.9" customHeight="1">
      <c r="A333" s="302"/>
      <c r="B333" s="18"/>
      <c r="C333" s="18"/>
      <c r="D333" s="395"/>
      <c r="E333" s="396"/>
      <c r="F333" s="304"/>
      <c r="G333" s="42"/>
      <c r="H333" s="18"/>
    </row>
    <row r="334" spans="1:8" ht="21.9" customHeight="1">
      <c r="A334" s="302"/>
      <c r="B334" s="18"/>
      <c r="C334" s="18"/>
      <c r="D334" s="395"/>
      <c r="E334" s="396"/>
      <c r="F334" s="304"/>
      <c r="G334" s="42"/>
      <c r="H334" s="18"/>
    </row>
    <row r="335" spans="1:8" ht="21.9" customHeight="1">
      <c r="A335" s="302"/>
      <c r="B335" s="18"/>
      <c r="C335" s="18"/>
      <c r="D335" s="395"/>
      <c r="E335" s="396"/>
      <c r="F335" s="304"/>
      <c r="G335" s="42"/>
      <c r="H335" s="304"/>
    </row>
    <row r="336" spans="1:8" ht="21.9" customHeight="1">
      <c r="A336" s="302"/>
      <c r="B336" s="18"/>
      <c r="C336" s="18"/>
      <c r="D336" s="395"/>
      <c r="E336" s="396"/>
      <c r="F336" s="304"/>
      <c r="G336" s="42"/>
      <c r="H336" s="304"/>
    </row>
    <row r="337" spans="1:8" ht="21.9" customHeight="1">
      <c r="A337" s="302"/>
      <c r="B337" s="18"/>
      <c r="C337" s="18"/>
      <c r="D337" s="395"/>
      <c r="E337" s="396"/>
      <c r="F337" s="304"/>
      <c r="G337" s="42"/>
      <c r="H337" s="304"/>
    </row>
    <row r="338" spans="1:8" ht="21.9" customHeight="1">
      <c r="A338" s="302"/>
      <c r="B338" s="18"/>
      <c r="C338" s="18"/>
      <c r="D338" s="395"/>
      <c r="E338" s="396"/>
      <c r="F338" s="304"/>
      <c r="G338" s="42"/>
      <c r="H338" s="399"/>
    </row>
    <row r="339" spans="1:8" ht="21.9" customHeight="1">
      <c r="A339" s="302"/>
      <c r="B339" s="18"/>
      <c r="C339" s="398"/>
      <c r="D339" s="395"/>
      <c r="E339" s="396"/>
      <c r="F339" s="304"/>
      <c r="G339" s="42"/>
      <c r="H339" s="304"/>
    </row>
    <row r="340" spans="1:8" ht="21.9" customHeight="1">
      <c r="A340" s="13"/>
      <c r="B340" s="309"/>
      <c r="C340" s="309"/>
      <c r="D340" s="14" t="s">
        <v>23</v>
      </c>
      <c r="E340" s="309"/>
      <c r="F340" s="309"/>
      <c r="G340" s="309"/>
      <c r="H340" s="310">
        <f>+H316+1</f>
        <v>32</v>
      </c>
    </row>
    <row r="341" spans="1:8" ht="21.9" customHeight="1">
      <c r="A341" s="405"/>
      <c r="B341" s="406"/>
      <c r="C341" s="406"/>
      <c r="D341" s="407"/>
      <c r="E341" s="406"/>
      <c r="F341" s="406"/>
      <c r="G341" s="406"/>
      <c r="H341" s="408"/>
    </row>
    <row r="342" spans="1:8" ht="21.9" customHeight="1">
      <c r="A342" s="409"/>
      <c r="B342" s="410" t="s">
        <v>0</v>
      </c>
      <c r="C342" s="53" t="s">
        <v>1</v>
      </c>
      <c r="D342" s="411" t="s">
        <v>5</v>
      </c>
      <c r="E342" s="412" t="s">
        <v>6</v>
      </c>
      <c r="F342" s="413" t="s">
        <v>20</v>
      </c>
      <c r="G342" s="54" t="s">
        <v>21</v>
      </c>
      <c r="H342" s="413" t="s">
        <v>3</v>
      </c>
    </row>
    <row r="343" spans="1:8" ht="21.9" customHeight="1">
      <c r="A343" s="306"/>
      <c r="B343" s="18"/>
      <c r="C343" s="18"/>
      <c r="D343" s="395"/>
      <c r="E343" s="396"/>
      <c r="F343" s="304"/>
      <c r="G343" s="42"/>
      <c r="H343" s="399"/>
    </row>
    <row r="344" spans="1:8" ht="21.9" customHeight="1">
      <c r="A344" s="302"/>
      <c r="B344" s="18"/>
      <c r="C344" s="18"/>
      <c r="D344" s="395"/>
      <c r="E344" s="396"/>
      <c r="F344" s="304"/>
      <c r="G344" s="42"/>
      <c r="H344" s="304"/>
    </row>
    <row r="345" spans="1:8" ht="21.9" customHeight="1">
      <c r="A345" s="302"/>
      <c r="B345" s="18"/>
      <c r="C345" s="18"/>
      <c r="D345" s="395"/>
      <c r="E345" s="396"/>
      <c r="F345" s="304"/>
      <c r="G345" s="42"/>
      <c r="H345" s="399"/>
    </row>
    <row r="346" spans="1:8" ht="21.9" customHeight="1">
      <c r="A346" s="302"/>
      <c r="B346" s="18"/>
      <c r="C346" s="18"/>
      <c r="D346" s="395"/>
      <c r="E346" s="396"/>
      <c r="F346" s="304"/>
      <c r="G346" s="42"/>
      <c r="H346" s="399"/>
    </row>
    <row r="347" spans="1:8" ht="21.9" customHeight="1">
      <c r="A347" s="302"/>
      <c r="B347" s="18"/>
      <c r="C347" s="404"/>
      <c r="D347" s="395"/>
      <c r="E347" s="396"/>
      <c r="F347" s="304"/>
      <c r="G347" s="42"/>
      <c r="H347" s="304"/>
    </row>
    <row r="348" spans="1:8" ht="21.9" customHeight="1">
      <c r="A348" s="302"/>
      <c r="B348" s="294"/>
      <c r="C348" s="398"/>
      <c r="D348" s="414"/>
      <c r="E348" s="297"/>
      <c r="F348" s="304"/>
      <c r="G348" s="42"/>
      <c r="H348" s="304"/>
    </row>
    <row r="349" spans="1:8" ht="21.9" customHeight="1">
      <c r="A349" s="302"/>
      <c r="B349" s="404"/>
      <c r="C349" s="404"/>
      <c r="D349" s="303"/>
      <c r="E349" s="297"/>
      <c r="F349" s="304"/>
      <c r="G349" s="42"/>
      <c r="H349" s="18"/>
    </row>
    <row r="350" spans="1:8" ht="21.9" customHeight="1">
      <c r="A350" s="302"/>
      <c r="B350" s="294"/>
      <c r="C350" s="398"/>
      <c r="D350" s="314"/>
      <c r="E350" s="297"/>
      <c r="F350" s="304"/>
      <c r="G350" s="42"/>
      <c r="H350" s="18"/>
    </row>
    <row r="351" spans="1:8" ht="21.9" customHeight="1">
      <c r="A351" s="302"/>
      <c r="B351" s="294"/>
      <c r="C351" s="398"/>
      <c r="D351" s="314"/>
      <c r="E351" s="297"/>
      <c r="F351" s="304"/>
      <c r="G351" s="42"/>
      <c r="H351" s="18"/>
    </row>
    <row r="352" spans="1:8" ht="21.9" customHeight="1">
      <c r="A352" s="302"/>
      <c r="B352" s="294"/>
      <c r="C352" s="398"/>
      <c r="D352" s="314"/>
      <c r="E352" s="297"/>
      <c r="F352" s="304"/>
      <c r="G352" s="42"/>
      <c r="H352" s="304"/>
    </row>
    <row r="353" spans="1:8" ht="21.9" customHeight="1">
      <c r="A353" s="302"/>
      <c r="B353" s="341"/>
      <c r="C353" s="43"/>
      <c r="D353" s="314"/>
      <c r="E353" s="297"/>
      <c r="F353" s="304"/>
      <c r="G353" s="42"/>
      <c r="H353" s="304"/>
    </row>
    <row r="354" spans="1:8" ht="21.9" customHeight="1">
      <c r="A354" s="302"/>
      <c r="B354" s="294"/>
      <c r="C354" s="398"/>
      <c r="D354" s="314"/>
      <c r="E354" s="297"/>
      <c r="F354" s="304"/>
      <c r="G354" s="42"/>
      <c r="H354" s="304"/>
    </row>
    <row r="355" spans="1:8" ht="21.9" customHeight="1">
      <c r="A355" s="302"/>
      <c r="B355" s="294"/>
      <c r="C355" s="398"/>
      <c r="D355" s="314"/>
      <c r="E355" s="297"/>
      <c r="F355" s="304"/>
      <c r="G355" s="42"/>
      <c r="H355" s="304"/>
    </row>
    <row r="356" spans="1:8" ht="21.9" customHeight="1">
      <c r="A356" s="302"/>
      <c r="B356" s="294"/>
      <c r="C356" s="398"/>
      <c r="D356" s="314"/>
      <c r="E356" s="297"/>
      <c r="F356" s="304"/>
      <c r="G356" s="42"/>
      <c r="H356" s="304"/>
    </row>
    <row r="357" spans="1:8" ht="21.9" customHeight="1">
      <c r="A357" s="302"/>
      <c r="B357" s="294"/>
      <c r="C357" s="398"/>
      <c r="D357" s="314"/>
      <c r="E357" s="297"/>
      <c r="F357" s="304"/>
      <c r="G357" s="42"/>
      <c r="H357" s="304"/>
    </row>
    <row r="358" spans="1:8" ht="21.9" customHeight="1">
      <c r="A358" s="302"/>
      <c r="B358" s="294"/>
      <c r="C358" s="398"/>
      <c r="D358" s="314"/>
      <c r="E358" s="297"/>
      <c r="F358" s="304"/>
      <c r="G358" s="42"/>
      <c r="H358" s="304"/>
    </row>
    <row r="359" spans="1:8" ht="21.9" customHeight="1">
      <c r="A359" s="302"/>
      <c r="B359" s="294"/>
      <c r="C359" s="398"/>
      <c r="D359" s="314"/>
      <c r="E359" s="297"/>
      <c r="F359" s="304"/>
      <c r="G359" s="42"/>
      <c r="H359" s="304"/>
    </row>
    <row r="360" spans="1:8" ht="21.9" customHeight="1">
      <c r="A360" s="302"/>
      <c r="B360" s="294"/>
      <c r="C360" s="398"/>
      <c r="D360" s="314"/>
      <c r="E360" s="297"/>
      <c r="F360" s="304"/>
      <c r="G360" s="42"/>
      <c r="H360" s="304"/>
    </row>
    <row r="361" spans="1:8" ht="21.9" customHeight="1">
      <c r="A361" s="302"/>
      <c r="B361" s="294"/>
      <c r="C361" s="398"/>
      <c r="D361" s="314"/>
      <c r="E361" s="297"/>
      <c r="F361" s="304"/>
      <c r="G361" s="42"/>
      <c r="H361" s="304"/>
    </row>
    <row r="362" spans="1:8" ht="21.9" customHeight="1">
      <c r="A362" s="302"/>
      <c r="B362" s="297"/>
      <c r="C362" s="43"/>
      <c r="D362" s="314"/>
      <c r="E362" s="297"/>
      <c r="F362" s="304"/>
      <c r="G362" s="42"/>
      <c r="H362" s="304"/>
    </row>
    <row r="363" spans="1:8" ht="21.9" customHeight="1">
      <c r="A363" s="302"/>
      <c r="B363" s="315"/>
      <c r="C363" s="316"/>
      <c r="D363" s="314"/>
      <c r="E363" s="297"/>
      <c r="F363" s="304"/>
      <c r="G363" s="255"/>
      <c r="H363" s="304"/>
    </row>
    <row r="364" spans="1:8" ht="21.9" customHeight="1">
      <c r="A364" s="13"/>
      <c r="B364" s="309"/>
      <c r="C364" s="309"/>
      <c r="D364" s="14" t="s">
        <v>23</v>
      </c>
      <c r="E364" s="309"/>
      <c r="F364" s="309"/>
      <c r="G364" s="309"/>
      <c r="H364" s="310">
        <f>+H340+1</f>
        <v>33</v>
      </c>
    </row>
    <row r="365" spans="1:8" ht="21.9" customHeight="1">
      <c r="A365" s="405"/>
      <c r="B365" s="406"/>
      <c r="C365" s="406"/>
      <c r="D365" s="407"/>
      <c r="E365" s="406"/>
      <c r="F365" s="406"/>
      <c r="G365" s="406"/>
      <c r="H365" s="408"/>
    </row>
    <row r="366" spans="1:8" ht="21.9" customHeight="1">
      <c r="A366" s="409"/>
      <c r="B366" s="410" t="s">
        <v>0</v>
      </c>
      <c r="C366" s="53" t="s">
        <v>1</v>
      </c>
      <c r="D366" s="411" t="s">
        <v>5</v>
      </c>
      <c r="E366" s="412" t="s">
        <v>6</v>
      </c>
      <c r="F366" s="413" t="s">
        <v>20</v>
      </c>
      <c r="G366" s="54" t="s">
        <v>21</v>
      </c>
      <c r="H366" s="413" t="s">
        <v>3</v>
      </c>
    </row>
    <row r="367" spans="1:8" ht="21.9" customHeight="1">
      <c r="A367" s="302"/>
      <c r="B367" s="294"/>
      <c r="C367" s="398"/>
      <c r="D367" s="314"/>
      <c r="E367" s="297"/>
      <c r="F367" s="304"/>
      <c r="G367" s="42"/>
      <c r="H367" s="304"/>
    </row>
    <row r="368" spans="1:8" ht="21.9" customHeight="1">
      <c r="A368" s="302"/>
      <c r="B368" s="294"/>
      <c r="C368" s="398"/>
      <c r="D368" s="314"/>
      <c r="E368" s="297"/>
      <c r="F368" s="304"/>
      <c r="G368" s="42"/>
      <c r="H368" s="304"/>
    </row>
    <row r="369" spans="1:8" ht="21.9" customHeight="1">
      <c r="A369" s="302"/>
      <c r="B369" s="18"/>
      <c r="C369" s="18"/>
      <c r="D369" s="395"/>
      <c r="E369" s="396"/>
      <c r="F369" s="304"/>
      <c r="G369" s="42"/>
      <c r="H369" s="399"/>
    </row>
    <row r="370" spans="1:8" ht="21.9" customHeight="1">
      <c r="A370" s="302"/>
      <c r="B370" s="18"/>
      <c r="C370" s="18"/>
      <c r="D370" s="395"/>
      <c r="E370" s="396"/>
      <c r="F370" s="304"/>
      <c r="G370" s="42"/>
      <c r="H370" s="399"/>
    </row>
    <row r="371" spans="1:8" ht="21.9" customHeight="1">
      <c r="A371" s="302"/>
      <c r="B371" s="18"/>
      <c r="C371" s="18"/>
      <c r="D371" s="395"/>
      <c r="E371" s="396"/>
      <c r="F371" s="304"/>
      <c r="G371" s="42"/>
      <c r="H371" s="304"/>
    </row>
    <row r="372" spans="1:8" ht="21.9" customHeight="1">
      <c r="A372" s="302"/>
      <c r="B372" s="18"/>
      <c r="C372" s="18"/>
      <c r="D372" s="395"/>
      <c r="E372" s="396"/>
      <c r="F372" s="304"/>
      <c r="G372" s="42"/>
      <c r="H372" s="304"/>
    </row>
    <row r="373" spans="1:8" ht="21.9" customHeight="1">
      <c r="A373" s="302"/>
      <c r="B373" s="18"/>
      <c r="C373" s="18"/>
      <c r="D373" s="395"/>
      <c r="E373" s="396"/>
      <c r="F373" s="304"/>
      <c r="G373" s="42"/>
      <c r="H373" s="304"/>
    </row>
    <row r="374" spans="1:8" ht="21.9" customHeight="1">
      <c r="A374" s="302"/>
      <c r="B374" s="18"/>
      <c r="C374" s="18"/>
      <c r="D374" s="395"/>
      <c r="E374" s="396"/>
      <c r="F374" s="304"/>
      <c r="G374" s="42"/>
      <c r="H374" s="399"/>
    </row>
    <row r="375" spans="1:8" ht="21.9" customHeight="1">
      <c r="A375" s="302"/>
      <c r="B375" s="18"/>
      <c r="C375" s="18"/>
      <c r="D375" s="395"/>
      <c r="E375" s="396"/>
      <c r="F375" s="304"/>
      <c r="G375" s="42"/>
      <c r="H375" s="304"/>
    </row>
    <row r="376" spans="1:8" ht="21.9" customHeight="1">
      <c r="A376" s="302"/>
      <c r="B376" s="18"/>
      <c r="C376" s="18"/>
      <c r="D376" s="395"/>
      <c r="E376" s="396"/>
      <c r="F376" s="304"/>
      <c r="G376" s="42"/>
      <c r="H376" s="399"/>
    </row>
    <row r="377" spans="1:8" ht="21.9" customHeight="1">
      <c r="A377" s="302"/>
      <c r="B377" s="18"/>
      <c r="C377" s="18"/>
      <c r="D377" s="395"/>
      <c r="E377" s="396"/>
      <c r="F377" s="304"/>
      <c r="G377" s="42"/>
      <c r="H377" s="399"/>
    </row>
    <row r="378" spans="1:8" ht="21.9" customHeight="1">
      <c r="A378" s="302"/>
      <c r="B378" s="18"/>
      <c r="C378" s="18"/>
      <c r="D378" s="395"/>
      <c r="E378" s="396"/>
      <c r="F378" s="304"/>
      <c r="G378" s="42"/>
      <c r="H378" s="399"/>
    </row>
    <row r="379" spans="1:8" ht="21.9" customHeight="1">
      <c r="A379" s="302"/>
      <c r="B379" s="18"/>
      <c r="C379" s="18"/>
      <c r="D379" s="395"/>
      <c r="E379" s="396"/>
      <c r="F379" s="304"/>
      <c r="G379" s="42"/>
      <c r="H379" s="399"/>
    </row>
    <row r="380" spans="1:8" ht="21.9" customHeight="1">
      <c r="A380" s="302"/>
      <c r="B380" s="18"/>
      <c r="C380" s="18"/>
      <c r="D380" s="395"/>
      <c r="E380" s="396"/>
      <c r="F380" s="304"/>
      <c r="G380" s="42"/>
      <c r="H380" s="399"/>
    </row>
    <row r="381" spans="1:8" ht="21.9" customHeight="1">
      <c r="A381" s="302"/>
      <c r="B381" s="18"/>
      <c r="C381" s="398"/>
      <c r="D381" s="395"/>
      <c r="E381" s="396"/>
      <c r="F381" s="304"/>
      <c r="G381" s="42"/>
      <c r="H381" s="18"/>
    </row>
    <row r="382" spans="1:8" ht="21.9" customHeight="1">
      <c r="A382" s="302"/>
      <c r="B382" s="18"/>
      <c r="C382" s="398"/>
      <c r="D382" s="395"/>
      <c r="E382" s="396"/>
      <c r="F382" s="304"/>
      <c r="G382" s="42"/>
      <c r="H382" s="304"/>
    </row>
    <row r="383" spans="1:8" ht="21.9" customHeight="1">
      <c r="A383" s="302"/>
      <c r="B383" s="18"/>
      <c r="C383" s="398"/>
      <c r="D383" s="395"/>
      <c r="E383" s="396"/>
      <c r="F383" s="304"/>
      <c r="G383" s="42"/>
      <c r="H383" s="304"/>
    </row>
    <row r="384" spans="1:8" ht="21.9" customHeight="1">
      <c r="A384" s="302"/>
      <c r="B384" s="18"/>
      <c r="C384" s="398"/>
      <c r="D384" s="395"/>
      <c r="E384" s="396"/>
      <c r="F384" s="304"/>
      <c r="G384" s="42"/>
      <c r="H384" s="304"/>
    </row>
    <row r="385" spans="1:8" ht="21.9" customHeight="1">
      <c r="A385" s="302"/>
      <c r="B385" s="18"/>
      <c r="C385" s="398"/>
      <c r="D385" s="395"/>
      <c r="E385" s="396"/>
      <c r="F385" s="304"/>
      <c r="G385" s="42"/>
      <c r="H385" s="18"/>
    </row>
    <row r="386" spans="1:8" ht="21.9" customHeight="1">
      <c r="A386" s="302"/>
      <c r="B386" s="18"/>
      <c r="C386" s="398"/>
      <c r="D386" s="395"/>
      <c r="E386" s="396"/>
      <c r="F386" s="304"/>
      <c r="G386" s="42"/>
      <c r="H386" s="304"/>
    </row>
    <row r="387" spans="1:8" ht="21.9" customHeight="1">
      <c r="A387" s="302"/>
      <c r="B387" s="18"/>
      <c r="C387" s="398"/>
      <c r="D387" s="395"/>
      <c r="E387" s="396"/>
      <c r="F387" s="304"/>
      <c r="G387" s="42"/>
      <c r="H387" s="18"/>
    </row>
    <row r="388" spans="1:8" ht="21.9" customHeight="1">
      <c r="A388" s="13"/>
      <c r="B388" s="309"/>
      <c r="C388" s="309"/>
      <c r="D388" s="14" t="s">
        <v>23</v>
      </c>
      <c r="E388" s="309"/>
      <c r="F388" s="309"/>
      <c r="G388" s="309"/>
      <c r="H388" s="310">
        <f>+H364+1</f>
        <v>34</v>
      </c>
    </row>
    <row r="389" spans="1:8" ht="21.9" customHeight="1">
      <c r="A389" s="405"/>
      <c r="B389" s="406"/>
      <c r="C389" s="406"/>
      <c r="D389" s="407"/>
      <c r="E389" s="406"/>
      <c r="F389" s="406"/>
      <c r="G389" s="406"/>
      <c r="H389" s="408"/>
    </row>
    <row r="390" spans="1:8" ht="21.9" customHeight="1">
      <c r="A390" s="409"/>
      <c r="B390" s="410" t="s">
        <v>0</v>
      </c>
      <c r="C390" s="53" t="s">
        <v>1</v>
      </c>
      <c r="D390" s="411" t="s">
        <v>5</v>
      </c>
      <c r="E390" s="412" t="s">
        <v>6</v>
      </c>
      <c r="F390" s="413" t="s">
        <v>20</v>
      </c>
      <c r="G390" s="54" t="s">
        <v>21</v>
      </c>
      <c r="H390" s="413" t="s">
        <v>3</v>
      </c>
    </row>
    <row r="391" spans="1:8" ht="21.9" customHeight="1">
      <c r="A391" s="306"/>
      <c r="B391" s="18"/>
      <c r="C391" s="18"/>
      <c r="D391" s="395"/>
      <c r="E391" s="396"/>
      <c r="F391" s="304"/>
      <c r="G391" s="42"/>
      <c r="H391" s="18"/>
    </row>
    <row r="392" spans="1:8" ht="21.9" customHeight="1">
      <c r="A392" s="302"/>
      <c r="B392" s="18"/>
      <c r="C392" s="18"/>
      <c r="D392" s="395"/>
      <c r="E392" s="396"/>
      <c r="F392" s="304"/>
      <c r="G392" s="42"/>
      <c r="H392" s="304"/>
    </row>
    <row r="393" spans="1:8" ht="21.9" customHeight="1">
      <c r="A393" s="302"/>
      <c r="B393" s="18"/>
      <c r="C393" s="18"/>
      <c r="D393" s="395"/>
      <c r="E393" s="396"/>
      <c r="F393" s="304"/>
      <c r="G393" s="42"/>
      <c r="H393" s="304"/>
    </row>
    <row r="394" spans="1:8" ht="21.9" customHeight="1">
      <c r="A394" s="302"/>
      <c r="B394" s="18"/>
      <c r="C394" s="415"/>
      <c r="D394" s="395"/>
      <c r="E394" s="396"/>
      <c r="F394" s="304"/>
      <c r="G394" s="42"/>
      <c r="H394" s="304"/>
    </row>
    <row r="395" spans="1:8" ht="21.9" customHeight="1">
      <c r="A395" s="302"/>
      <c r="B395" s="18"/>
      <c r="C395" s="18"/>
      <c r="D395" s="395"/>
      <c r="E395" s="396"/>
      <c r="F395" s="304"/>
      <c r="G395" s="42"/>
      <c r="H395" s="304"/>
    </row>
    <row r="396" spans="1:8" ht="21.9" customHeight="1">
      <c r="A396" s="302"/>
      <c r="B396" s="18"/>
      <c r="C396" s="398"/>
      <c r="D396" s="395"/>
      <c r="E396" s="396"/>
      <c r="F396" s="304"/>
      <c r="G396" s="42"/>
      <c r="H396" s="304"/>
    </row>
    <row r="397" spans="1:8" ht="21.9" customHeight="1">
      <c r="A397" s="302"/>
      <c r="B397" s="18"/>
      <c r="C397" s="398"/>
      <c r="D397" s="395"/>
      <c r="E397" s="396"/>
      <c r="F397" s="304"/>
      <c r="G397" s="42"/>
      <c r="H397" s="304"/>
    </row>
    <row r="398" spans="1:8" ht="21.9" customHeight="1">
      <c r="A398" s="302"/>
      <c r="B398" s="18"/>
      <c r="C398" s="398"/>
      <c r="D398" s="395"/>
      <c r="E398" s="396"/>
      <c r="F398" s="304"/>
      <c r="G398" s="42"/>
      <c r="H398" s="304"/>
    </row>
    <row r="399" spans="1:8" ht="21.9" customHeight="1">
      <c r="A399" s="302"/>
      <c r="B399" s="18"/>
      <c r="C399" s="398"/>
      <c r="D399" s="395"/>
      <c r="E399" s="396"/>
      <c r="F399" s="304"/>
      <c r="G399" s="42"/>
      <c r="H399" s="18"/>
    </row>
    <row r="400" spans="1:8" ht="21.9" customHeight="1">
      <c r="A400" s="302"/>
      <c r="B400" s="18"/>
      <c r="C400" s="398"/>
      <c r="D400" s="395"/>
      <c r="E400" s="396"/>
      <c r="F400" s="304"/>
      <c r="G400" s="42"/>
      <c r="H400" s="18"/>
    </row>
    <row r="401" spans="1:8" ht="21.9" customHeight="1">
      <c r="A401" s="302"/>
      <c r="B401" s="294"/>
      <c r="C401" s="398"/>
      <c r="D401" s="314"/>
      <c r="E401" s="297"/>
      <c r="F401" s="304"/>
      <c r="G401" s="42"/>
      <c r="H401" s="304"/>
    </row>
    <row r="402" spans="1:8" ht="21.9" customHeight="1">
      <c r="A402" s="302"/>
      <c r="B402" s="294"/>
      <c r="C402" s="398"/>
      <c r="D402" s="314"/>
      <c r="E402" s="297"/>
      <c r="F402" s="304"/>
      <c r="G402" s="42"/>
      <c r="H402" s="304"/>
    </row>
    <row r="403" spans="1:8" ht="21.9" customHeight="1">
      <c r="A403" s="302"/>
      <c r="B403" s="294"/>
      <c r="C403" s="398"/>
      <c r="D403" s="314"/>
      <c r="E403" s="297"/>
      <c r="F403" s="304"/>
      <c r="G403" s="42"/>
      <c r="H403" s="304"/>
    </row>
    <row r="404" spans="1:8" ht="21.9" customHeight="1">
      <c r="A404" s="302"/>
      <c r="B404" s="294"/>
      <c r="C404" s="398"/>
      <c r="D404" s="314"/>
      <c r="E404" s="297"/>
      <c r="F404" s="304"/>
      <c r="G404" s="42"/>
      <c r="H404" s="304"/>
    </row>
    <row r="405" spans="1:8" ht="21.9" customHeight="1">
      <c r="A405" s="302"/>
      <c r="B405" s="294"/>
      <c r="C405" s="398"/>
      <c r="D405" s="314"/>
      <c r="E405" s="297"/>
      <c r="F405" s="304"/>
      <c r="G405" s="42"/>
      <c r="H405" s="304"/>
    </row>
    <row r="406" spans="1:8" ht="21.9" customHeight="1">
      <c r="A406" s="302"/>
      <c r="B406" s="294"/>
      <c r="C406" s="398"/>
      <c r="D406" s="314"/>
      <c r="E406" s="297"/>
      <c r="F406" s="304"/>
      <c r="G406" s="42"/>
      <c r="H406" s="304"/>
    </row>
    <row r="407" spans="1:8" ht="21.9" customHeight="1">
      <c r="A407" s="302"/>
      <c r="B407" s="294"/>
      <c r="C407" s="398"/>
      <c r="D407" s="314"/>
      <c r="E407" s="297"/>
      <c r="F407" s="304"/>
      <c r="G407" s="42"/>
      <c r="H407" s="304"/>
    </row>
    <row r="408" spans="1:8" ht="21.9" customHeight="1">
      <c r="A408" s="302"/>
      <c r="B408" s="294"/>
      <c r="C408" s="398"/>
      <c r="D408" s="314"/>
      <c r="E408" s="297"/>
      <c r="F408" s="304"/>
      <c r="G408" s="42"/>
      <c r="H408" s="304"/>
    </row>
    <row r="409" spans="1:8" ht="21.9" customHeight="1">
      <c r="A409" s="302"/>
      <c r="B409" s="294"/>
      <c r="C409" s="398"/>
      <c r="D409" s="314"/>
      <c r="E409" s="297"/>
      <c r="F409" s="304"/>
      <c r="G409" s="42"/>
      <c r="H409" s="304"/>
    </row>
    <row r="410" spans="1:8" ht="21.9" customHeight="1">
      <c r="A410" s="302"/>
      <c r="B410" s="297"/>
      <c r="C410" s="43"/>
      <c r="D410" s="314"/>
      <c r="E410" s="297"/>
      <c r="F410" s="304"/>
      <c r="G410" s="42"/>
      <c r="H410" s="304"/>
    </row>
    <row r="411" spans="1:8" ht="21.9" customHeight="1">
      <c r="A411" s="302"/>
      <c r="B411" s="315"/>
      <c r="C411" s="316"/>
      <c r="D411" s="314"/>
      <c r="E411" s="297"/>
      <c r="F411" s="304"/>
      <c r="G411" s="255"/>
      <c r="H411" s="304"/>
    </row>
    <row r="412" spans="1:8" ht="21.9" customHeight="1">
      <c r="A412" s="13"/>
      <c r="B412" s="309"/>
      <c r="C412" s="309"/>
      <c r="D412" s="14" t="s">
        <v>23</v>
      </c>
      <c r="E412" s="309"/>
      <c r="F412" s="309"/>
      <c r="G412" s="309"/>
      <c r="H412" s="310">
        <f>+H388+1</f>
        <v>35</v>
      </c>
    </row>
    <row r="413" spans="1:8" ht="21.9" customHeight="1">
      <c r="A413" s="405"/>
      <c r="B413" s="406"/>
      <c r="C413" s="406"/>
      <c r="D413" s="407"/>
      <c r="E413" s="406"/>
      <c r="F413" s="406"/>
      <c r="G413" s="406"/>
      <c r="H413" s="408"/>
    </row>
    <row r="414" spans="1:8" ht="21.9" customHeight="1">
      <c r="A414" s="409"/>
      <c r="B414" s="410" t="s">
        <v>0</v>
      </c>
      <c r="C414" s="53" t="s">
        <v>1</v>
      </c>
      <c r="D414" s="411" t="s">
        <v>5</v>
      </c>
      <c r="E414" s="412" t="s">
        <v>6</v>
      </c>
      <c r="F414" s="413" t="s">
        <v>20</v>
      </c>
      <c r="G414" s="54" t="s">
        <v>21</v>
      </c>
      <c r="H414" s="413" t="s">
        <v>3</v>
      </c>
    </row>
    <row r="415" spans="1:8" ht="21.9" customHeight="1">
      <c r="A415" s="302"/>
      <c r="B415" s="294"/>
      <c r="C415" s="398"/>
      <c r="D415" s="314"/>
      <c r="E415" s="297"/>
      <c r="F415" s="304"/>
      <c r="G415" s="42"/>
      <c r="H415" s="304"/>
    </row>
    <row r="416" spans="1:8" ht="21.9" customHeight="1">
      <c r="A416" s="302"/>
      <c r="B416" s="294"/>
      <c r="C416" s="398"/>
      <c r="D416" s="314"/>
      <c r="E416" s="297"/>
      <c r="F416" s="304"/>
      <c r="G416" s="42"/>
      <c r="H416" s="304"/>
    </row>
    <row r="417" spans="1:8" ht="21.9" customHeight="1">
      <c r="A417" s="302"/>
      <c r="B417" s="18"/>
      <c r="C417" s="18"/>
      <c r="D417" s="395"/>
      <c r="E417" s="396"/>
      <c r="F417" s="304"/>
      <c r="G417" s="42"/>
      <c r="H417" s="18"/>
    </row>
    <row r="418" spans="1:8" ht="21.9" customHeight="1">
      <c r="A418" s="302"/>
      <c r="B418" s="18"/>
      <c r="C418" s="18"/>
      <c r="D418" s="395"/>
      <c r="E418" s="396"/>
      <c r="F418" s="304"/>
      <c r="G418" s="42"/>
      <c r="H418" s="399"/>
    </row>
    <row r="419" spans="1:8" ht="21.9" customHeight="1">
      <c r="A419" s="302"/>
      <c r="B419" s="18"/>
      <c r="C419" s="18"/>
      <c r="D419" s="395"/>
      <c r="E419" s="396"/>
      <c r="F419" s="304"/>
      <c r="G419" s="42"/>
      <c r="H419" s="304"/>
    </row>
    <row r="420" spans="1:8" ht="21.9" customHeight="1">
      <c r="A420" s="302"/>
      <c r="B420" s="18"/>
      <c r="C420" s="18"/>
      <c r="D420" s="395"/>
      <c r="E420" s="396"/>
      <c r="F420" s="304"/>
      <c r="G420" s="42"/>
      <c r="H420" s="399"/>
    </row>
    <row r="421" spans="1:8" ht="21.9" customHeight="1">
      <c r="A421" s="302"/>
      <c r="B421" s="18"/>
      <c r="C421" s="18"/>
      <c r="D421" s="395"/>
      <c r="E421" s="396"/>
      <c r="F421" s="304"/>
      <c r="G421" s="42"/>
      <c r="H421" s="399"/>
    </row>
    <row r="422" spans="1:8" ht="21.9" customHeight="1">
      <c r="A422" s="302"/>
      <c r="B422" s="18"/>
      <c r="C422" s="18"/>
      <c r="D422" s="395"/>
      <c r="E422" s="396"/>
      <c r="F422" s="304"/>
      <c r="G422" s="42"/>
      <c r="H422" s="399"/>
    </row>
    <row r="423" spans="1:8" ht="21.9" customHeight="1">
      <c r="A423" s="302"/>
      <c r="B423" s="18"/>
      <c r="C423" s="18"/>
      <c r="D423" s="395"/>
      <c r="E423" s="396"/>
      <c r="F423" s="304"/>
      <c r="G423" s="42"/>
      <c r="H423" s="399"/>
    </row>
    <row r="424" spans="1:8" ht="21.9" customHeight="1">
      <c r="A424" s="302"/>
      <c r="B424" s="18"/>
      <c r="C424" s="18"/>
      <c r="D424" s="395"/>
      <c r="E424" s="396"/>
      <c r="F424" s="304"/>
      <c r="G424" s="42"/>
      <c r="H424" s="304"/>
    </row>
    <row r="425" spans="1:8" ht="21.9" customHeight="1">
      <c r="A425" s="302"/>
      <c r="B425" s="18"/>
      <c r="C425" s="18"/>
      <c r="D425" s="395"/>
      <c r="E425" s="396"/>
      <c r="F425" s="304"/>
      <c r="G425" s="42"/>
      <c r="H425" s="399"/>
    </row>
    <row r="426" spans="1:8" ht="21.9" customHeight="1">
      <c r="A426" s="302"/>
      <c r="B426" s="294"/>
      <c r="C426" s="398"/>
      <c r="D426" s="314"/>
      <c r="E426" s="297"/>
      <c r="F426" s="304"/>
      <c r="G426" s="42"/>
      <c r="H426" s="304"/>
    </row>
    <row r="427" spans="1:8" ht="21.9" customHeight="1">
      <c r="A427" s="302"/>
      <c r="B427" s="294"/>
      <c r="C427" s="398"/>
      <c r="D427" s="314"/>
      <c r="E427" s="297"/>
      <c r="F427" s="304"/>
      <c r="G427" s="42"/>
      <c r="H427" s="304"/>
    </row>
    <row r="428" spans="1:8" ht="21.9" customHeight="1">
      <c r="A428" s="302"/>
      <c r="B428" s="294"/>
      <c r="C428" s="398"/>
      <c r="D428" s="314"/>
      <c r="E428" s="297"/>
      <c r="F428" s="304"/>
      <c r="G428" s="42"/>
      <c r="H428" s="304"/>
    </row>
    <row r="429" spans="1:8" ht="21.9" customHeight="1">
      <c r="A429" s="302"/>
      <c r="B429" s="294"/>
      <c r="C429" s="398"/>
      <c r="D429" s="314"/>
      <c r="E429" s="297"/>
      <c r="F429" s="304"/>
      <c r="G429" s="42"/>
      <c r="H429" s="304"/>
    </row>
    <row r="430" spans="1:8" ht="21.9" customHeight="1">
      <c r="A430" s="302"/>
      <c r="B430" s="294"/>
      <c r="C430" s="398"/>
      <c r="D430" s="314"/>
      <c r="E430" s="297"/>
      <c r="F430" s="304"/>
      <c r="G430" s="42"/>
      <c r="H430" s="304"/>
    </row>
    <row r="431" spans="1:8" ht="21.9" customHeight="1">
      <c r="A431" s="302"/>
      <c r="B431" s="294"/>
      <c r="C431" s="398"/>
      <c r="D431" s="314"/>
      <c r="E431" s="297"/>
      <c r="F431" s="304"/>
      <c r="G431" s="42"/>
      <c r="H431" s="304"/>
    </row>
    <row r="432" spans="1:8" ht="21.9" customHeight="1">
      <c r="A432" s="302"/>
      <c r="B432" s="294"/>
      <c r="C432" s="398"/>
      <c r="D432" s="314"/>
      <c r="E432" s="297"/>
      <c r="F432" s="304"/>
      <c r="G432" s="42"/>
      <c r="H432" s="304"/>
    </row>
    <row r="433" spans="1:8" ht="21.9" customHeight="1">
      <c r="A433" s="302"/>
      <c r="B433" s="294"/>
      <c r="C433" s="398"/>
      <c r="D433" s="314"/>
      <c r="E433" s="297"/>
      <c r="F433" s="304"/>
      <c r="G433" s="42"/>
      <c r="H433" s="304"/>
    </row>
    <row r="434" spans="1:8" ht="21.9" customHeight="1">
      <c r="A434" s="302"/>
      <c r="B434" s="297"/>
      <c r="C434" s="43"/>
      <c r="D434" s="314"/>
      <c r="E434" s="297"/>
      <c r="F434" s="304"/>
      <c r="G434" s="42"/>
      <c r="H434" s="304"/>
    </row>
    <row r="435" spans="1:8" ht="21.9" customHeight="1">
      <c r="A435" s="302"/>
      <c r="B435" s="315"/>
      <c r="C435" s="316"/>
      <c r="D435" s="314"/>
      <c r="E435" s="297"/>
      <c r="F435" s="304"/>
      <c r="G435" s="255"/>
      <c r="H435" s="304"/>
    </row>
    <row r="436" spans="1:8" ht="21.9" customHeight="1">
      <c r="A436" s="13"/>
      <c r="B436" s="309"/>
      <c r="C436" s="309"/>
      <c r="D436" s="14" t="s">
        <v>23</v>
      </c>
      <c r="E436" s="309"/>
      <c r="F436" s="309"/>
      <c r="G436" s="309"/>
      <c r="H436" s="310">
        <f>+H412+1</f>
        <v>36</v>
      </c>
    </row>
    <row r="437" spans="1:8" ht="21.9" customHeight="1">
      <c r="A437" s="405"/>
      <c r="B437" s="406"/>
      <c r="C437" s="406"/>
      <c r="D437" s="407"/>
      <c r="E437" s="406"/>
      <c r="F437" s="406"/>
      <c r="G437" s="406"/>
      <c r="H437" s="408"/>
    </row>
    <row r="438" spans="1:8" ht="21.9" customHeight="1">
      <c r="A438" s="409"/>
      <c r="B438" s="410" t="s">
        <v>0</v>
      </c>
      <c r="C438" s="53" t="s">
        <v>1</v>
      </c>
      <c r="D438" s="411" t="s">
        <v>5</v>
      </c>
      <c r="E438" s="412" t="s">
        <v>6</v>
      </c>
      <c r="F438" s="413" t="s">
        <v>20</v>
      </c>
      <c r="G438" s="54" t="s">
        <v>21</v>
      </c>
      <c r="H438" s="413" t="s">
        <v>3</v>
      </c>
    </row>
    <row r="439" spans="1:8" ht="21.9" customHeight="1">
      <c r="A439" s="306"/>
      <c r="B439" s="301"/>
      <c r="C439" s="398"/>
      <c r="D439" s="314"/>
      <c r="E439" s="297"/>
      <c r="F439" s="304"/>
      <c r="G439" s="42">
        <f t="shared" ref="G439:G459" si="10">+D439*F439</f>
        <v>0</v>
      </c>
      <c r="H439" s="304"/>
    </row>
    <row r="440" spans="1:8" ht="21.9" customHeight="1">
      <c r="A440" s="302"/>
      <c r="B440" s="294"/>
      <c r="C440" s="398"/>
      <c r="D440" s="314"/>
      <c r="E440" s="297"/>
      <c r="F440" s="304"/>
      <c r="G440" s="42">
        <f t="shared" si="10"/>
        <v>0</v>
      </c>
      <c r="H440" s="304"/>
    </row>
    <row r="441" spans="1:8" ht="21.9" customHeight="1">
      <c r="A441" s="302"/>
      <c r="B441" s="294"/>
      <c r="C441" s="398"/>
      <c r="D441" s="314"/>
      <c r="E441" s="297"/>
      <c r="F441" s="304"/>
      <c r="G441" s="42">
        <f t="shared" si="10"/>
        <v>0</v>
      </c>
      <c r="H441" s="304"/>
    </row>
    <row r="442" spans="1:8" ht="21.9" customHeight="1">
      <c r="A442" s="302"/>
      <c r="B442" s="404"/>
      <c r="C442" s="404"/>
      <c r="D442" s="314"/>
      <c r="E442" s="297"/>
      <c r="F442" s="304"/>
      <c r="G442" s="42">
        <f t="shared" si="10"/>
        <v>0</v>
      </c>
      <c r="H442" s="304"/>
    </row>
    <row r="443" spans="1:8" ht="21.9" customHeight="1">
      <c r="A443" s="302"/>
      <c r="B443" s="404"/>
      <c r="C443" s="404"/>
      <c r="D443" s="314"/>
      <c r="E443" s="297"/>
      <c r="F443" s="304"/>
      <c r="G443" s="42">
        <f t="shared" si="10"/>
        <v>0</v>
      </c>
      <c r="H443" s="304"/>
    </row>
    <row r="444" spans="1:8" ht="21.9" customHeight="1">
      <c r="A444" s="302"/>
      <c r="B444" s="404"/>
      <c r="C444" s="404"/>
      <c r="D444" s="303"/>
      <c r="E444" s="297"/>
      <c r="F444" s="304"/>
      <c r="G444" s="42">
        <f t="shared" si="10"/>
        <v>0</v>
      </c>
      <c r="H444" s="304"/>
    </row>
    <row r="445" spans="1:8" ht="21.9" customHeight="1">
      <c r="A445" s="302"/>
      <c r="B445" s="404"/>
      <c r="C445" s="404"/>
      <c r="D445" s="303"/>
      <c r="E445" s="297"/>
      <c r="F445" s="304"/>
      <c r="G445" s="42">
        <f t="shared" si="10"/>
        <v>0</v>
      </c>
      <c r="H445" s="304"/>
    </row>
    <row r="446" spans="1:8" ht="21.9" customHeight="1">
      <c r="A446" s="302"/>
      <c r="B446" s="404"/>
      <c r="C446" s="404"/>
      <c r="D446" s="303"/>
      <c r="E446" s="297"/>
      <c r="F446" s="304"/>
      <c r="G446" s="42">
        <f t="shared" si="10"/>
        <v>0</v>
      </c>
      <c r="H446" s="304"/>
    </row>
    <row r="447" spans="1:8" ht="21.9" customHeight="1">
      <c r="A447" s="302"/>
      <c r="B447" s="294"/>
      <c r="C447" s="398"/>
      <c r="D447" s="314"/>
      <c r="E447" s="297"/>
      <c r="F447" s="304"/>
      <c r="G447" s="42">
        <f t="shared" si="10"/>
        <v>0</v>
      </c>
      <c r="H447" s="304"/>
    </row>
    <row r="448" spans="1:8" ht="21.9" customHeight="1">
      <c r="A448" s="302"/>
      <c r="B448" s="294"/>
      <c r="C448" s="398"/>
      <c r="D448" s="314"/>
      <c r="E448" s="297"/>
      <c r="F448" s="304"/>
      <c r="G448" s="42">
        <f t="shared" si="10"/>
        <v>0</v>
      </c>
      <c r="H448" s="304"/>
    </row>
    <row r="449" spans="1:8" ht="21.9" customHeight="1">
      <c r="A449" s="302"/>
      <c r="B449" s="294"/>
      <c r="C449" s="398"/>
      <c r="D449" s="314"/>
      <c r="E449" s="297"/>
      <c r="F449" s="304"/>
      <c r="G449" s="42">
        <f t="shared" si="10"/>
        <v>0</v>
      </c>
      <c r="H449" s="304"/>
    </row>
    <row r="450" spans="1:8" ht="21.9" customHeight="1">
      <c r="A450" s="302"/>
      <c r="B450" s="294"/>
      <c r="C450" s="398"/>
      <c r="D450" s="314"/>
      <c r="E450" s="297"/>
      <c r="F450" s="304"/>
      <c r="G450" s="42">
        <f t="shared" si="10"/>
        <v>0</v>
      </c>
      <c r="H450" s="304"/>
    </row>
    <row r="451" spans="1:8" ht="21.9" customHeight="1">
      <c r="A451" s="302"/>
      <c r="B451" s="294"/>
      <c r="C451" s="398"/>
      <c r="D451" s="314"/>
      <c r="E451" s="297"/>
      <c r="F451" s="304"/>
      <c r="G451" s="42">
        <f t="shared" si="10"/>
        <v>0</v>
      </c>
      <c r="H451" s="304"/>
    </row>
    <row r="452" spans="1:8" ht="21.9" customHeight="1">
      <c r="A452" s="302"/>
      <c r="B452" s="294"/>
      <c r="C452" s="398"/>
      <c r="D452" s="314"/>
      <c r="E452" s="297"/>
      <c r="F452" s="304"/>
      <c r="G452" s="42">
        <f t="shared" si="10"/>
        <v>0</v>
      </c>
      <c r="H452" s="304"/>
    </row>
    <row r="453" spans="1:8" ht="21.9" customHeight="1">
      <c r="A453" s="302"/>
      <c r="B453" s="294"/>
      <c r="C453" s="398"/>
      <c r="D453" s="314"/>
      <c r="E453" s="297"/>
      <c r="F453" s="304"/>
      <c r="G453" s="42">
        <f t="shared" si="10"/>
        <v>0</v>
      </c>
      <c r="H453" s="304"/>
    </row>
    <row r="454" spans="1:8" ht="21.9" customHeight="1">
      <c r="A454" s="302"/>
      <c r="B454" s="294"/>
      <c r="C454" s="398"/>
      <c r="D454" s="314"/>
      <c r="E454" s="297"/>
      <c r="F454" s="304"/>
      <c r="G454" s="42">
        <f t="shared" si="10"/>
        <v>0</v>
      </c>
      <c r="H454" s="304"/>
    </row>
    <row r="455" spans="1:8" ht="21.9" customHeight="1">
      <c r="A455" s="302"/>
      <c r="B455" s="294"/>
      <c r="C455" s="398"/>
      <c r="D455" s="314"/>
      <c r="E455" s="297"/>
      <c r="F455" s="304"/>
      <c r="G455" s="42">
        <f t="shared" si="10"/>
        <v>0</v>
      </c>
      <c r="H455" s="304"/>
    </row>
    <row r="456" spans="1:8" ht="21.9" customHeight="1">
      <c r="A456" s="302"/>
      <c r="B456" s="294"/>
      <c r="C456" s="398"/>
      <c r="D456" s="314"/>
      <c r="E456" s="297"/>
      <c r="F456" s="304"/>
      <c r="G456" s="42">
        <f t="shared" si="10"/>
        <v>0</v>
      </c>
      <c r="H456" s="304"/>
    </row>
    <row r="457" spans="1:8" ht="21.9" customHeight="1">
      <c r="A457" s="302"/>
      <c r="B457" s="294"/>
      <c r="C457" s="398"/>
      <c r="D457" s="314"/>
      <c r="E457" s="297"/>
      <c r="F457" s="304"/>
      <c r="G457" s="42">
        <f t="shared" si="10"/>
        <v>0</v>
      </c>
      <c r="H457" s="304"/>
    </row>
    <row r="458" spans="1:8" ht="21.9" customHeight="1">
      <c r="A458" s="302"/>
      <c r="B458" s="294"/>
      <c r="C458" s="398"/>
      <c r="D458" s="314"/>
      <c r="E458" s="297"/>
      <c r="F458" s="304"/>
      <c r="G458" s="42">
        <f t="shared" si="10"/>
        <v>0</v>
      </c>
      <c r="H458" s="304"/>
    </row>
    <row r="459" spans="1:8" ht="21.9" customHeight="1">
      <c r="A459" s="302"/>
      <c r="B459" s="294"/>
      <c r="C459" s="398"/>
      <c r="D459" s="314"/>
      <c r="E459" s="297"/>
      <c r="F459" s="304"/>
      <c r="G459" s="42">
        <f t="shared" si="10"/>
        <v>0</v>
      </c>
      <c r="H459" s="304"/>
    </row>
    <row r="460" spans="1:8" ht="21.9" customHeight="1">
      <c r="A460" s="416"/>
      <c r="B460" s="417"/>
      <c r="C460" s="417"/>
      <c r="D460" s="418" t="s">
        <v>23</v>
      </c>
      <c r="E460" s="417"/>
      <c r="F460" s="417"/>
      <c r="G460" s="417"/>
      <c r="H460" s="310">
        <f>+H436+1</f>
        <v>37</v>
      </c>
    </row>
    <row r="461" spans="1:8" ht="21.9" customHeight="1">
      <c r="A461" s="416"/>
      <c r="B461" s="417"/>
      <c r="C461" s="417"/>
      <c r="D461" s="418"/>
      <c r="E461" s="417"/>
      <c r="F461" s="417"/>
      <c r="G461" s="417"/>
      <c r="H461" s="419"/>
    </row>
    <row r="462" spans="1:8" ht="21.9" customHeight="1">
      <c r="A462" s="409"/>
      <c r="B462" s="410" t="s">
        <v>0</v>
      </c>
      <c r="C462" s="53" t="s">
        <v>1</v>
      </c>
      <c r="D462" s="411" t="s">
        <v>5</v>
      </c>
      <c r="E462" s="412" t="s">
        <v>6</v>
      </c>
      <c r="F462" s="413" t="s">
        <v>20</v>
      </c>
      <c r="G462" s="54" t="s">
        <v>21</v>
      </c>
      <c r="H462" s="413" t="s">
        <v>3</v>
      </c>
    </row>
    <row r="463" spans="1:8" ht="21.9" customHeight="1">
      <c r="A463" s="302"/>
      <c r="B463" s="294"/>
      <c r="C463" s="398"/>
      <c r="D463" s="314"/>
      <c r="E463" s="297"/>
      <c r="F463" s="304"/>
      <c r="G463" s="42">
        <f t="shared" ref="G463:G483" si="11">+D463*F463</f>
        <v>0</v>
      </c>
      <c r="H463" s="304"/>
    </row>
    <row r="464" spans="1:8" ht="21.9" customHeight="1">
      <c r="A464" s="302"/>
      <c r="B464" s="294"/>
      <c r="C464" s="398"/>
      <c r="D464" s="314"/>
      <c r="E464" s="297"/>
      <c r="F464" s="304"/>
      <c r="G464" s="42">
        <f t="shared" si="11"/>
        <v>0</v>
      </c>
      <c r="H464" s="304"/>
    </row>
    <row r="465" spans="1:8" ht="21.9" customHeight="1">
      <c r="A465" s="302"/>
      <c r="B465" s="294"/>
      <c r="C465" s="398"/>
      <c r="D465" s="314"/>
      <c r="E465" s="297"/>
      <c r="F465" s="304"/>
      <c r="G465" s="42">
        <f t="shared" si="11"/>
        <v>0</v>
      </c>
      <c r="H465" s="304"/>
    </row>
    <row r="466" spans="1:8" ht="21.9" customHeight="1">
      <c r="A466" s="302"/>
      <c r="B466" s="404"/>
      <c r="C466" s="404"/>
      <c r="D466" s="314"/>
      <c r="E466" s="297"/>
      <c r="F466" s="304"/>
      <c r="G466" s="42">
        <f t="shared" si="11"/>
        <v>0</v>
      </c>
      <c r="H466" s="304"/>
    </row>
    <row r="467" spans="1:8" ht="21.9" customHeight="1">
      <c r="A467" s="302"/>
      <c r="B467" s="404"/>
      <c r="C467" s="404"/>
      <c r="D467" s="314"/>
      <c r="E467" s="297"/>
      <c r="F467" s="304"/>
      <c r="G467" s="42">
        <f t="shared" si="11"/>
        <v>0</v>
      </c>
      <c r="H467" s="304"/>
    </row>
    <row r="468" spans="1:8" ht="21.9" customHeight="1">
      <c r="A468" s="302"/>
      <c r="B468" s="404"/>
      <c r="C468" s="404"/>
      <c r="D468" s="303"/>
      <c r="E468" s="297"/>
      <c r="F468" s="304"/>
      <c r="G468" s="42">
        <f t="shared" si="11"/>
        <v>0</v>
      </c>
      <c r="H468" s="304"/>
    </row>
    <row r="469" spans="1:8" ht="21.9" customHeight="1">
      <c r="A469" s="302"/>
      <c r="B469" s="404"/>
      <c r="C469" s="404"/>
      <c r="D469" s="303"/>
      <c r="E469" s="297"/>
      <c r="F469" s="304"/>
      <c r="G469" s="42">
        <f t="shared" si="11"/>
        <v>0</v>
      </c>
      <c r="H469" s="304"/>
    </row>
    <row r="470" spans="1:8" ht="21.9" customHeight="1">
      <c r="A470" s="302"/>
      <c r="B470" s="404"/>
      <c r="C470" s="404"/>
      <c r="D470" s="303"/>
      <c r="E470" s="297"/>
      <c r="F470" s="304"/>
      <c r="G470" s="42">
        <f t="shared" si="11"/>
        <v>0</v>
      </c>
      <c r="H470" s="304"/>
    </row>
    <row r="471" spans="1:8" ht="21.9" customHeight="1">
      <c r="A471" s="302"/>
      <c r="B471" s="294"/>
      <c r="C471" s="398"/>
      <c r="D471" s="314"/>
      <c r="E471" s="297"/>
      <c r="F471" s="304"/>
      <c r="G471" s="42">
        <f t="shared" si="11"/>
        <v>0</v>
      </c>
      <c r="H471" s="304"/>
    </row>
    <row r="472" spans="1:8" ht="21.9" customHeight="1">
      <c r="A472" s="302"/>
      <c r="B472" s="294"/>
      <c r="C472" s="398"/>
      <c r="D472" s="314"/>
      <c r="E472" s="297"/>
      <c r="F472" s="304"/>
      <c r="G472" s="42">
        <f t="shared" si="11"/>
        <v>0</v>
      </c>
      <c r="H472" s="304"/>
    </row>
    <row r="473" spans="1:8" ht="21.9" customHeight="1">
      <c r="A473" s="302"/>
      <c r="B473" s="294"/>
      <c r="C473" s="398"/>
      <c r="D473" s="314"/>
      <c r="E473" s="297"/>
      <c r="F473" s="304"/>
      <c r="G473" s="42">
        <f t="shared" si="11"/>
        <v>0</v>
      </c>
      <c r="H473" s="304"/>
    </row>
    <row r="474" spans="1:8" ht="21.9" customHeight="1">
      <c r="A474" s="302"/>
      <c r="B474" s="294"/>
      <c r="C474" s="398"/>
      <c r="D474" s="314"/>
      <c r="E474" s="297"/>
      <c r="F474" s="304"/>
      <c r="G474" s="42">
        <f t="shared" si="11"/>
        <v>0</v>
      </c>
      <c r="H474" s="304"/>
    </row>
    <row r="475" spans="1:8" ht="21.9" customHeight="1">
      <c r="A475" s="302"/>
      <c r="B475" s="294"/>
      <c r="C475" s="398"/>
      <c r="D475" s="314"/>
      <c r="E475" s="297"/>
      <c r="F475" s="304"/>
      <c r="G475" s="42">
        <f t="shared" si="11"/>
        <v>0</v>
      </c>
      <c r="H475" s="304"/>
    </row>
    <row r="476" spans="1:8" ht="21.9" customHeight="1">
      <c r="A476" s="302"/>
      <c r="B476" s="294"/>
      <c r="C476" s="398"/>
      <c r="D476" s="314"/>
      <c r="E476" s="297"/>
      <c r="F476" s="304"/>
      <c r="G476" s="42">
        <f t="shared" si="11"/>
        <v>0</v>
      </c>
      <c r="H476" s="304"/>
    </row>
    <row r="477" spans="1:8" ht="21.9" customHeight="1">
      <c r="A477" s="302"/>
      <c r="B477" s="294"/>
      <c r="C477" s="398"/>
      <c r="D477" s="314"/>
      <c r="E477" s="297"/>
      <c r="F477" s="304"/>
      <c r="G477" s="42">
        <f t="shared" si="11"/>
        <v>0</v>
      </c>
      <c r="H477" s="304"/>
    </row>
    <row r="478" spans="1:8" ht="21.9" customHeight="1">
      <c r="A478" s="302"/>
      <c r="B478" s="294"/>
      <c r="C478" s="398"/>
      <c r="D478" s="314"/>
      <c r="E478" s="297"/>
      <c r="F478" s="304"/>
      <c r="G478" s="42">
        <f t="shared" si="11"/>
        <v>0</v>
      </c>
      <c r="H478" s="304"/>
    </row>
    <row r="479" spans="1:8" ht="21.9" customHeight="1">
      <c r="A479" s="302"/>
      <c r="B479" s="294"/>
      <c r="C479" s="398"/>
      <c r="D479" s="314"/>
      <c r="E479" s="297"/>
      <c r="F479" s="304"/>
      <c r="G479" s="42">
        <f t="shared" si="11"/>
        <v>0</v>
      </c>
      <c r="H479" s="304"/>
    </row>
    <row r="480" spans="1:8" ht="21.9" customHeight="1">
      <c r="A480" s="302"/>
      <c r="B480" s="294"/>
      <c r="C480" s="398"/>
      <c r="D480" s="314"/>
      <c r="E480" s="297"/>
      <c r="F480" s="304"/>
      <c r="G480" s="42">
        <f t="shared" si="11"/>
        <v>0</v>
      </c>
      <c r="H480" s="304"/>
    </row>
    <row r="481" spans="1:8" ht="21.9" customHeight="1">
      <c r="A481" s="302"/>
      <c r="B481" s="294"/>
      <c r="C481" s="398"/>
      <c r="D481" s="314"/>
      <c r="E481" s="297"/>
      <c r="F481" s="304"/>
      <c r="G481" s="42">
        <f t="shared" si="11"/>
        <v>0</v>
      </c>
      <c r="H481" s="304"/>
    </row>
    <row r="482" spans="1:8" ht="21.9" customHeight="1">
      <c r="A482" s="302"/>
      <c r="B482" s="294"/>
      <c r="C482" s="398"/>
      <c r="D482" s="314"/>
      <c r="E482" s="297"/>
      <c r="F482" s="304"/>
      <c r="G482" s="42">
        <f t="shared" si="11"/>
        <v>0</v>
      </c>
      <c r="H482" s="304"/>
    </row>
    <row r="483" spans="1:8" ht="21.9" customHeight="1">
      <c r="A483" s="302"/>
      <c r="B483" s="294"/>
      <c r="C483" s="398"/>
      <c r="D483" s="314"/>
      <c r="E483" s="297"/>
      <c r="F483" s="304"/>
      <c r="G483" s="42">
        <f t="shared" si="11"/>
        <v>0</v>
      </c>
      <c r="H483" s="304"/>
    </row>
    <row r="484" spans="1:8" ht="21.9" customHeight="1">
      <c r="A484" s="416"/>
      <c r="B484" s="417"/>
      <c r="C484" s="417"/>
      <c r="D484" s="418" t="s">
        <v>23</v>
      </c>
      <c r="E484" s="417"/>
      <c r="F484" s="417"/>
      <c r="G484" s="417"/>
      <c r="H484" s="310">
        <f>+H460+1</f>
        <v>38</v>
      </c>
    </row>
    <row r="485" spans="1:8" ht="21.9" customHeight="1">
      <c r="A485" s="416"/>
      <c r="B485" s="417"/>
      <c r="C485" s="417"/>
      <c r="D485" s="418"/>
      <c r="E485" s="417"/>
      <c r="F485" s="417"/>
      <c r="G485" s="417"/>
      <c r="H485" s="419"/>
    </row>
    <row r="486" spans="1:8" ht="21.9" customHeight="1">
      <c r="A486" s="409"/>
      <c r="B486" s="410" t="s">
        <v>0</v>
      </c>
      <c r="C486" s="53" t="s">
        <v>1</v>
      </c>
      <c r="D486" s="411" t="s">
        <v>5</v>
      </c>
      <c r="E486" s="412" t="s">
        <v>6</v>
      </c>
      <c r="F486" s="413" t="s">
        <v>20</v>
      </c>
      <c r="G486" s="54" t="s">
        <v>21</v>
      </c>
      <c r="H486" s="413" t="s">
        <v>3</v>
      </c>
    </row>
    <row r="487" spans="1:8" ht="21.9" customHeight="1">
      <c r="A487" s="306" t="s">
        <v>337</v>
      </c>
      <c r="B487" s="301" t="s">
        <v>338</v>
      </c>
      <c r="C487" s="398"/>
      <c r="D487" s="314"/>
      <c r="E487" s="297"/>
      <c r="F487" s="304"/>
      <c r="G487" s="42">
        <f t="shared" ref="G487:G507" si="12">+D487*F487</f>
        <v>0</v>
      </c>
      <c r="H487" s="304"/>
    </row>
    <row r="488" spans="1:8" ht="21.9" customHeight="1">
      <c r="A488" s="302"/>
      <c r="B488" s="294"/>
      <c r="C488" s="398"/>
      <c r="D488" s="314"/>
      <c r="E488" s="297"/>
      <c r="F488" s="304"/>
      <c r="G488" s="42">
        <f t="shared" si="12"/>
        <v>0</v>
      </c>
      <c r="H488" s="304"/>
    </row>
    <row r="489" spans="1:8" ht="21.9" customHeight="1">
      <c r="A489" s="302"/>
      <c r="B489" s="294"/>
      <c r="C489" s="398"/>
      <c r="D489" s="314"/>
      <c r="E489" s="297"/>
      <c r="F489" s="304"/>
      <c r="G489" s="42">
        <f t="shared" si="12"/>
        <v>0</v>
      </c>
      <c r="H489" s="304"/>
    </row>
    <row r="490" spans="1:8" ht="21.9" customHeight="1">
      <c r="A490" s="302"/>
      <c r="B490" s="404"/>
      <c r="C490" s="404"/>
      <c r="D490" s="314"/>
      <c r="E490" s="297"/>
      <c r="F490" s="304"/>
      <c r="G490" s="42">
        <f t="shared" si="12"/>
        <v>0</v>
      </c>
      <c r="H490" s="304"/>
    </row>
    <row r="491" spans="1:8" ht="21.9" customHeight="1">
      <c r="A491" s="302"/>
      <c r="B491" s="404"/>
      <c r="C491" s="404"/>
      <c r="D491" s="314"/>
      <c r="E491" s="297"/>
      <c r="F491" s="304"/>
      <c r="G491" s="42">
        <f t="shared" si="12"/>
        <v>0</v>
      </c>
      <c r="H491" s="304"/>
    </row>
    <row r="492" spans="1:8" ht="21.9" customHeight="1">
      <c r="A492" s="302"/>
      <c r="B492" s="404"/>
      <c r="C492" s="404"/>
      <c r="D492" s="303"/>
      <c r="E492" s="297"/>
      <c r="F492" s="304"/>
      <c r="G492" s="42">
        <f t="shared" si="12"/>
        <v>0</v>
      </c>
      <c r="H492" s="304"/>
    </row>
    <row r="493" spans="1:8" ht="21.9" customHeight="1">
      <c r="A493" s="302"/>
      <c r="B493" s="404"/>
      <c r="C493" s="404"/>
      <c r="D493" s="303"/>
      <c r="E493" s="297"/>
      <c r="F493" s="304"/>
      <c r="G493" s="42">
        <f t="shared" si="12"/>
        <v>0</v>
      </c>
      <c r="H493" s="304"/>
    </row>
    <row r="494" spans="1:8" ht="21.9" customHeight="1">
      <c r="A494" s="302"/>
      <c r="B494" s="404"/>
      <c r="C494" s="404"/>
      <c r="D494" s="303"/>
      <c r="E494" s="297"/>
      <c r="F494" s="304"/>
      <c r="G494" s="42">
        <f t="shared" si="12"/>
        <v>0</v>
      </c>
      <c r="H494" s="304"/>
    </row>
    <row r="495" spans="1:8" ht="21.9" customHeight="1">
      <c r="A495" s="302"/>
      <c r="B495" s="294"/>
      <c r="C495" s="398"/>
      <c r="D495" s="314"/>
      <c r="E495" s="297"/>
      <c r="F495" s="304"/>
      <c r="G495" s="42">
        <f t="shared" si="12"/>
        <v>0</v>
      </c>
      <c r="H495" s="304"/>
    </row>
    <row r="496" spans="1:8" ht="21.9" customHeight="1">
      <c r="A496" s="302"/>
      <c r="B496" s="294"/>
      <c r="C496" s="398"/>
      <c r="D496" s="314"/>
      <c r="E496" s="297"/>
      <c r="F496" s="304"/>
      <c r="G496" s="42">
        <f t="shared" si="12"/>
        <v>0</v>
      </c>
      <c r="H496" s="304"/>
    </row>
    <row r="497" spans="1:8" ht="21.9" customHeight="1">
      <c r="A497" s="302"/>
      <c r="B497" s="294"/>
      <c r="C497" s="398"/>
      <c r="D497" s="314"/>
      <c r="E497" s="297"/>
      <c r="F497" s="304"/>
      <c r="G497" s="42">
        <f t="shared" si="12"/>
        <v>0</v>
      </c>
      <c r="H497" s="304"/>
    </row>
    <row r="498" spans="1:8" ht="21.9" customHeight="1">
      <c r="A498" s="302"/>
      <c r="B498" s="294"/>
      <c r="C498" s="398"/>
      <c r="D498" s="314"/>
      <c r="E498" s="297"/>
      <c r="F498" s="304"/>
      <c r="G498" s="42">
        <f t="shared" si="12"/>
        <v>0</v>
      </c>
      <c r="H498" s="304"/>
    </row>
    <row r="499" spans="1:8" ht="21.9" customHeight="1">
      <c r="A499" s="302"/>
      <c r="B499" s="294"/>
      <c r="C499" s="398"/>
      <c r="D499" s="314"/>
      <c r="E499" s="297"/>
      <c r="F499" s="304"/>
      <c r="G499" s="42">
        <f t="shared" si="12"/>
        <v>0</v>
      </c>
      <c r="H499" s="304"/>
    </row>
    <row r="500" spans="1:8" ht="21.9" customHeight="1">
      <c r="A500" s="302"/>
      <c r="B500" s="294"/>
      <c r="C500" s="398"/>
      <c r="D500" s="314"/>
      <c r="E500" s="297"/>
      <c r="F500" s="304"/>
      <c r="G500" s="42">
        <f t="shared" si="12"/>
        <v>0</v>
      </c>
      <c r="H500" s="304"/>
    </row>
    <row r="501" spans="1:8" ht="21.9" customHeight="1">
      <c r="A501" s="302"/>
      <c r="B501" s="294"/>
      <c r="C501" s="398"/>
      <c r="D501" s="314"/>
      <c r="E501" s="297"/>
      <c r="F501" s="304"/>
      <c r="G501" s="42">
        <f t="shared" si="12"/>
        <v>0</v>
      </c>
      <c r="H501" s="304"/>
    </row>
    <row r="502" spans="1:8" ht="21.9" customHeight="1">
      <c r="A502" s="302"/>
      <c r="B502" s="294"/>
      <c r="C502" s="398"/>
      <c r="D502" s="314"/>
      <c r="E502" s="297"/>
      <c r="F502" s="304"/>
      <c r="G502" s="42">
        <f t="shared" si="12"/>
        <v>0</v>
      </c>
      <c r="H502" s="304"/>
    </row>
    <row r="503" spans="1:8" ht="21.9" customHeight="1">
      <c r="A503" s="302"/>
      <c r="B503" s="294"/>
      <c r="C503" s="398"/>
      <c r="D503" s="314"/>
      <c r="E503" s="297"/>
      <c r="F503" s="304"/>
      <c r="G503" s="42">
        <f t="shared" si="12"/>
        <v>0</v>
      </c>
      <c r="H503" s="304"/>
    </row>
    <row r="504" spans="1:8" ht="21.9" customHeight="1">
      <c r="A504" s="302"/>
      <c r="B504" s="294"/>
      <c r="C504" s="398"/>
      <c r="D504" s="314"/>
      <c r="E504" s="297"/>
      <c r="F504" s="304"/>
      <c r="G504" s="42">
        <f t="shared" si="12"/>
        <v>0</v>
      </c>
      <c r="H504" s="304"/>
    </row>
    <row r="505" spans="1:8" ht="21.9" customHeight="1">
      <c r="A505" s="302"/>
      <c r="B505" s="294"/>
      <c r="C505" s="398"/>
      <c r="D505" s="314"/>
      <c r="E505" s="297"/>
      <c r="F505" s="304"/>
      <c r="G505" s="42">
        <f t="shared" si="12"/>
        <v>0</v>
      </c>
      <c r="H505" s="304"/>
    </row>
    <row r="506" spans="1:8" ht="21.9" customHeight="1">
      <c r="A506" s="302"/>
      <c r="B506" s="294"/>
      <c r="C506" s="398"/>
      <c r="D506" s="314"/>
      <c r="E506" s="297"/>
      <c r="F506" s="304"/>
      <c r="G506" s="42">
        <f t="shared" si="12"/>
        <v>0</v>
      </c>
      <c r="H506" s="304"/>
    </row>
    <row r="507" spans="1:8" ht="21.9" customHeight="1">
      <c r="A507" s="302"/>
      <c r="B507" s="294"/>
      <c r="C507" s="398"/>
      <c r="D507" s="314"/>
      <c r="E507" s="297"/>
      <c r="F507" s="304"/>
      <c r="G507" s="42">
        <f t="shared" si="12"/>
        <v>0</v>
      </c>
      <c r="H507" s="304"/>
    </row>
    <row r="508" spans="1:8" ht="21.9" customHeight="1">
      <c r="A508" s="416"/>
      <c r="B508" s="417"/>
      <c r="C508" s="417"/>
      <c r="D508" s="418" t="s">
        <v>23</v>
      </c>
      <c r="E508" s="417"/>
      <c r="F508" s="417"/>
      <c r="G508" s="417"/>
      <c r="H508" s="310">
        <f>+H484+1</f>
        <v>39</v>
      </c>
    </row>
    <row r="509" spans="1:8" ht="21.9" customHeight="1">
      <c r="A509" s="416"/>
      <c r="B509" s="417"/>
      <c r="C509" s="417"/>
      <c r="D509" s="418"/>
      <c r="E509" s="417"/>
      <c r="F509" s="417"/>
      <c r="G509" s="417"/>
      <c r="H509" s="419"/>
    </row>
    <row r="510" spans="1:8" ht="21.9" customHeight="1">
      <c r="A510" s="409"/>
      <c r="B510" s="410" t="s">
        <v>0</v>
      </c>
      <c r="C510" s="53" t="s">
        <v>1</v>
      </c>
      <c r="D510" s="411" t="s">
        <v>5</v>
      </c>
      <c r="E510" s="412" t="s">
        <v>6</v>
      </c>
      <c r="F510" s="413" t="s">
        <v>20</v>
      </c>
      <c r="G510" s="54" t="s">
        <v>21</v>
      </c>
      <c r="H510" s="413" t="s">
        <v>3</v>
      </c>
    </row>
    <row r="511" spans="1:8" ht="21.9" customHeight="1">
      <c r="A511" s="302"/>
      <c r="B511" s="294"/>
      <c r="C511" s="398"/>
      <c r="D511" s="314"/>
      <c r="E511" s="297"/>
      <c r="F511" s="304"/>
      <c r="G511" s="42">
        <f t="shared" ref="G511:G531" si="13">+D511*F511</f>
        <v>0</v>
      </c>
      <c r="H511" s="304"/>
    </row>
    <row r="512" spans="1:8" ht="21.9" customHeight="1">
      <c r="A512" s="302"/>
      <c r="B512" s="294"/>
      <c r="C512" s="398"/>
      <c r="D512" s="314"/>
      <c r="E512" s="297"/>
      <c r="F512" s="304"/>
      <c r="G512" s="42">
        <f t="shared" si="13"/>
        <v>0</v>
      </c>
      <c r="H512" s="304"/>
    </row>
    <row r="513" spans="1:8" ht="21.9" customHeight="1">
      <c r="A513" s="302"/>
      <c r="B513" s="294"/>
      <c r="C513" s="398"/>
      <c r="D513" s="314"/>
      <c r="E513" s="297"/>
      <c r="F513" s="304"/>
      <c r="G513" s="42">
        <f t="shared" si="13"/>
        <v>0</v>
      </c>
      <c r="H513" s="304"/>
    </row>
    <row r="514" spans="1:8" ht="21.9" customHeight="1">
      <c r="A514" s="302"/>
      <c r="B514" s="404"/>
      <c r="C514" s="404"/>
      <c r="D514" s="314"/>
      <c r="E514" s="297"/>
      <c r="F514" s="304"/>
      <c r="G514" s="42">
        <f t="shared" si="13"/>
        <v>0</v>
      </c>
      <c r="H514" s="304"/>
    </row>
    <row r="515" spans="1:8" ht="21.9" customHeight="1">
      <c r="A515" s="302"/>
      <c r="B515" s="404"/>
      <c r="C515" s="404"/>
      <c r="D515" s="314"/>
      <c r="E515" s="297"/>
      <c r="F515" s="304"/>
      <c r="G515" s="42">
        <f t="shared" si="13"/>
        <v>0</v>
      </c>
      <c r="H515" s="304"/>
    </row>
    <row r="516" spans="1:8" ht="21.9" customHeight="1">
      <c r="A516" s="302"/>
      <c r="B516" s="404"/>
      <c r="C516" s="404"/>
      <c r="D516" s="303"/>
      <c r="E516" s="297"/>
      <c r="F516" s="304"/>
      <c r="G516" s="42">
        <f t="shared" si="13"/>
        <v>0</v>
      </c>
      <c r="H516" s="304"/>
    </row>
    <row r="517" spans="1:8" ht="21.9" customHeight="1">
      <c r="A517" s="302"/>
      <c r="B517" s="404"/>
      <c r="C517" s="404"/>
      <c r="D517" s="303"/>
      <c r="E517" s="297"/>
      <c r="F517" s="304"/>
      <c r="G517" s="42">
        <f t="shared" si="13"/>
        <v>0</v>
      </c>
      <c r="H517" s="304"/>
    </row>
    <row r="518" spans="1:8" ht="21.9" customHeight="1">
      <c r="A518" s="302"/>
      <c r="B518" s="404"/>
      <c r="C518" s="404"/>
      <c r="D518" s="303"/>
      <c r="E518" s="297"/>
      <c r="F518" s="304"/>
      <c r="G518" s="42">
        <f t="shared" si="13"/>
        <v>0</v>
      </c>
      <c r="H518" s="304"/>
    </row>
    <row r="519" spans="1:8" ht="21.9" customHeight="1">
      <c r="A519" s="302"/>
      <c r="B519" s="294"/>
      <c r="C519" s="398"/>
      <c r="D519" s="314"/>
      <c r="E519" s="297"/>
      <c r="F519" s="304"/>
      <c r="G519" s="42">
        <f t="shared" si="13"/>
        <v>0</v>
      </c>
      <c r="H519" s="304"/>
    </row>
    <row r="520" spans="1:8" ht="21.9" customHeight="1">
      <c r="A520" s="302"/>
      <c r="B520" s="294"/>
      <c r="C520" s="398"/>
      <c r="D520" s="314"/>
      <c r="E520" s="297"/>
      <c r="F520" s="304"/>
      <c r="G520" s="42">
        <f t="shared" si="13"/>
        <v>0</v>
      </c>
      <c r="H520" s="304"/>
    </row>
    <row r="521" spans="1:8" ht="21.9" customHeight="1">
      <c r="A521" s="302"/>
      <c r="B521" s="294"/>
      <c r="C521" s="398"/>
      <c r="D521" s="314"/>
      <c r="E521" s="297"/>
      <c r="F521" s="304"/>
      <c r="G521" s="42">
        <f t="shared" si="13"/>
        <v>0</v>
      </c>
      <c r="H521" s="304"/>
    </row>
    <row r="522" spans="1:8" ht="21.9" customHeight="1">
      <c r="A522" s="302"/>
      <c r="B522" s="294"/>
      <c r="C522" s="398"/>
      <c r="D522" s="314"/>
      <c r="E522" s="297"/>
      <c r="F522" s="304"/>
      <c r="G522" s="42">
        <f t="shared" si="13"/>
        <v>0</v>
      </c>
      <c r="H522" s="304"/>
    </row>
    <row r="523" spans="1:8" ht="21.9" customHeight="1">
      <c r="A523" s="302"/>
      <c r="B523" s="294"/>
      <c r="C523" s="398"/>
      <c r="D523" s="314"/>
      <c r="E523" s="297"/>
      <c r="F523" s="304"/>
      <c r="G523" s="42">
        <f t="shared" si="13"/>
        <v>0</v>
      </c>
      <c r="H523" s="304"/>
    </row>
    <row r="524" spans="1:8" ht="21.9" customHeight="1">
      <c r="A524" s="302"/>
      <c r="B524" s="294"/>
      <c r="C524" s="398"/>
      <c r="D524" s="314"/>
      <c r="E524" s="297"/>
      <c r="F524" s="304"/>
      <c r="G524" s="42">
        <f t="shared" si="13"/>
        <v>0</v>
      </c>
      <c r="H524" s="304"/>
    </row>
    <row r="525" spans="1:8" ht="21.9" customHeight="1">
      <c r="A525" s="302"/>
      <c r="B525" s="294"/>
      <c r="C525" s="398"/>
      <c r="D525" s="314"/>
      <c r="E525" s="297"/>
      <c r="F525" s="304"/>
      <c r="G525" s="42">
        <f t="shared" si="13"/>
        <v>0</v>
      </c>
      <c r="H525" s="304"/>
    </row>
    <row r="526" spans="1:8" ht="21.9" customHeight="1">
      <c r="A526" s="302"/>
      <c r="B526" s="294"/>
      <c r="C526" s="398"/>
      <c r="D526" s="314"/>
      <c r="E526" s="297"/>
      <c r="F526" s="304"/>
      <c r="G526" s="42">
        <f t="shared" si="13"/>
        <v>0</v>
      </c>
      <c r="H526" s="304"/>
    </row>
    <row r="527" spans="1:8" ht="21.9" customHeight="1">
      <c r="A527" s="302"/>
      <c r="B527" s="294"/>
      <c r="C527" s="398"/>
      <c r="D527" s="314"/>
      <c r="E527" s="297"/>
      <c r="F527" s="304"/>
      <c r="G527" s="42">
        <f t="shared" si="13"/>
        <v>0</v>
      </c>
      <c r="H527" s="304"/>
    </row>
    <row r="528" spans="1:8" ht="21.9" customHeight="1">
      <c r="A528" s="302"/>
      <c r="B528" s="294"/>
      <c r="C528" s="398"/>
      <c r="D528" s="314"/>
      <c r="E528" s="297"/>
      <c r="F528" s="304"/>
      <c r="G528" s="42">
        <f t="shared" si="13"/>
        <v>0</v>
      </c>
      <c r="H528" s="304"/>
    </row>
    <row r="529" spans="1:8" ht="21.9" customHeight="1">
      <c r="A529" s="302"/>
      <c r="B529" s="294"/>
      <c r="C529" s="398"/>
      <c r="D529" s="314"/>
      <c r="E529" s="297"/>
      <c r="F529" s="304"/>
      <c r="G529" s="42">
        <f t="shared" si="13"/>
        <v>0</v>
      </c>
      <c r="H529" s="304"/>
    </row>
    <row r="530" spans="1:8" ht="21.9" customHeight="1">
      <c r="A530" s="302"/>
      <c r="B530" s="294"/>
      <c r="C530" s="398"/>
      <c r="D530" s="314"/>
      <c r="E530" s="297"/>
      <c r="F530" s="304"/>
      <c r="G530" s="42">
        <f t="shared" si="13"/>
        <v>0</v>
      </c>
      <c r="H530" s="304"/>
    </row>
    <row r="531" spans="1:8" ht="21.9" customHeight="1">
      <c r="A531" s="302"/>
      <c r="B531" s="294"/>
      <c r="C531" s="398"/>
      <c r="D531" s="314"/>
      <c r="E531" s="297"/>
      <c r="F531" s="304"/>
      <c r="G531" s="42">
        <f t="shared" si="13"/>
        <v>0</v>
      </c>
      <c r="H531" s="304"/>
    </row>
    <row r="532" spans="1:8" ht="21.9" customHeight="1">
      <c r="A532" s="416"/>
      <c r="B532" s="417"/>
      <c r="C532" s="417"/>
      <c r="D532" s="418" t="s">
        <v>23</v>
      </c>
      <c r="E532" s="417"/>
      <c r="F532" s="417"/>
      <c r="G532" s="417"/>
      <c r="H532" s="310">
        <f>+H508+1</f>
        <v>40</v>
      </c>
    </row>
  </sheetData>
  <phoneticPr fontId="48"/>
  <printOptions horizontalCentered="1" verticalCentered="1"/>
  <pageMargins left="0.31496062992125984" right="0.31496062992125984" top="0.59055118110236227" bottom="0.59055118110236227" header="0.51181102362204722" footer="0.51181102362204722"/>
  <pageSetup paperSize="9" orientation="landscape" r:id="rId1"/>
  <headerFooter alignWithMargins="0"/>
  <rowBreaks count="17" manualBreakCount="17">
    <brk id="25" max="16383" man="1"/>
    <brk id="50" max="7" man="1"/>
    <brk id="74" max="7" man="1"/>
    <brk id="98" max="7" man="1"/>
    <brk id="123" max="7" man="1"/>
    <brk id="148" max="7" man="1"/>
    <brk id="172" max="7" man="1"/>
    <brk id="196" max="7" man="1"/>
    <brk id="220" max="7" man="1"/>
    <brk id="244" max="7" man="1"/>
    <brk id="268" max="7" man="1"/>
    <brk id="292" max="7" man="1"/>
    <brk id="316" max="7" man="1"/>
    <brk id="340" max="7" man="1"/>
    <brk id="364" max="7" man="1"/>
    <brk id="388" max="7" man="1"/>
    <brk id="412" max="7"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7A958-52EE-46C1-88CD-D1088CFAFC7B}">
  <sheetPr>
    <tabColor theme="9"/>
  </sheetPr>
  <dimension ref="A1:V25"/>
  <sheetViews>
    <sheetView showZeros="0" view="pageBreakPreview" zoomScale="120" zoomScaleNormal="100" zoomScaleSheetLayoutView="120" workbookViewId="0">
      <selection activeCell="J4" sqref="J4"/>
    </sheetView>
  </sheetViews>
  <sheetFormatPr defaultColWidth="9" defaultRowHeight="9.6"/>
  <cols>
    <col min="1" max="1" width="4.6640625" style="68" customWidth="1"/>
    <col min="2" max="2" width="10.77734375" style="68" customWidth="1"/>
    <col min="3" max="5" width="2.88671875" style="68" customWidth="1"/>
    <col min="6" max="6" width="6.21875" style="68" customWidth="1"/>
    <col min="7" max="7" width="7.44140625" style="68" customWidth="1"/>
    <col min="8" max="8" width="2.88671875" style="68" customWidth="1"/>
    <col min="9" max="9" width="6.21875" style="68" customWidth="1"/>
    <col min="10" max="10" width="7.44140625" style="68" customWidth="1"/>
    <col min="11" max="11" width="2.88671875" style="68" customWidth="1"/>
    <col min="12" max="12" width="6.21875" style="68" customWidth="1"/>
    <col min="13" max="13" width="7.44140625" style="68" customWidth="1"/>
    <col min="14" max="14" width="6.21875" style="68" customWidth="1"/>
    <col min="15" max="15" width="2.88671875" style="68" customWidth="1"/>
    <col min="16" max="16" width="6.21875" style="68" customWidth="1"/>
    <col min="17" max="17" width="8.6640625" style="68" bestFit="1" customWidth="1"/>
    <col min="18" max="16384" width="9" style="68"/>
  </cols>
  <sheetData>
    <row r="1" spans="1:22" ht="13.5" customHeight="1">
      <c r="A1" s="64"/>
      <c r="B1" s="65"/>
      <c r="C1" s="66"/>
      <c r="D1" s="66"/>
      <c r="E1" s="66"/>
      <c r="F1" s="66"/>
      <c r="G1" s="66"/>
      <c r="H1" s="66"/>
      <c r="I1" s="66"/>
      <c r="J1" s="66"/>
      <c r="K1" s="66"/>
      <c r="L1" s="66"/>
      <c r="M1" s="66"/>
      <c r="N1" s="66"/>
      <c r="O1" s="66"/>
      <c r="P1" s="66"/>
      <c r="Q1" s="66"/>
      <c r="R1" s="66"/>
      <c r="S1" s="66"/>
      <c r="T1" s="66"/>
      <c r="U1" s="66"/>
      <c r="V1" s="67"/>
    </row>
    <row r="2" spans="1:22" ht="13.5" customHeight="1">
      <c r="A2" s="69" t="s">
        <v>57</v>
      </c>
      <c r="B2" s="689" t="str">
        <f>表紙!A12</f>
        <v>大藪小学校屋内運動場空調設備設置工事</v>
      </c>
      <c r="C2" s="690"/>
      <c r="D2" s="690"/>
      <c r="E2" s="690"/>
      <c r="F2" s="690"/>
      <c r="G2" s="691"/>
      <c r="V2" s="70"/>
    </row>
    <row r="3" spans="1:22">
      <c r="A3" s="69" t="s">
        <v>58</v>
      </c>
      <c r="B3" s="71" t="s">
        <v>182</v>
      </c>
      <c r="C3" s="72"/>
      <c r="D3" s="72"/>
      <c r="E3" s="72"/>
      <c r="F3" s="72"/>
      <c r="G3" s="73"/>
      <c r="J3" s="68" t="s">
        <v>592</v>
      </c>
      <c r="V3" s="70"/>
    </row>
    <row r="4" spans="1:22">
      <c r="A4" s="69" t="s">
        <v>59</v>
      </c>
      <c r="D4" s="692">
        <v>80</v>
      </c>
      <c r="E4" s="693"/>
      <c r="F4" s="68" t="s">
        <v>60</v>
      </c>
      <c r="V4" s="70"/>
    </row>
    <row r="5" spans="1:22">
      <c r="A5" s="74"/>
      <c r="B5" s="75" t="s">
        <v>182</v>
      </c>
      <c r="C5" s="75"/>
      <c r="D5" s="75"/>
      <c r="E5" s="75"/>
      <c r="F5" s="75"/>
      <c r="G5" s="75"/>
      <c r="H5" s="75"/>
      <c r="I5" s="75"/>
      <c r="J5" s="75"/>
      <c r="K5" s="75"/>
      <c r="L5" s="75"/>
      <c r="M5" s="75"/>
      <c r="N5" s="694" t="s">
        <v>61</v>
      </c>
      <c r="O5" s="695"/>
      <c r="P5" s="696"/>
      <c r="Q5" s="76"/>
      <c r="R5" s="76"/>
      <c r="S5" s="76"/>
      <c r="T5" s="76"/>
      <c r="U5" s="77" t="s">
        <v>62</v>
      </c>
      <c r="V5" s="78">
        <v>1</v>
      </c>
    </row>
    <row r="6" spans="1:22">
      <c r="A6" s="79"/>
      <c r="B6" s="79"/>
      <c r="C6" s="79"/>
      <c r="D6" s="79"/>
      <c r="E6" s="697" t="s">
        <v>63</v>
      </c>
      <c r="F6" s="698"/>
      <c r="G6" s="698"/>
      <c r="H6" s="698"/>
      <c r="I6" s="698"/>
      <c r="J6" s="698"/>
      <c r="K6" s="698"/>
      <c r="L6" s="698"/>
      <c r="M6" s="699"/>
      <c r="N6" s="700" t="s">
        <v>586</v>
      </c>
      <c r="O6" s="695"/>
      <c r="P6" s="696"/>
      <c r="Q6" s="687" t="s">
        <v>64</v>
      </c>
      <c r="R6" s="688"/>
      <c r="S6" s="80" t="s">
        <v>65</v>
      </c>
      <c r="T6" s="81" t="s">
        <v>66</v>
      </c>
      <c r="U6" s="82" t="s">
        <v>67</v>
      </c>
      <c r="V6" s="82" t="s">
        <v>67</v>
      </c>
    </row>
    <row r="7" spans="1:22" ht="12" customHeight="1">
      <c r="A7" s="83" t="s">
        <v>68</v>
      </c>
      <c r="B7" s="84" t="s">
        <v>69</v>
      </c>
      <c r="C7" s="83" t="s">
        <v>5</v>
      </c>
      <c r="D7" s="83" t="s">
        <v>70</v>
      </c>
      <c r="E7" s="700" t="s">
        <v>586</v>
      </c>
      <c r="F7" s="695"/>
      <c r="G7" s="696"/>
      <c r="H7" s="700" t="s">
        <v>308</v>
      </c>
      <c r="I7" s="695"/>
      <c r="J7" s="696"/>
      <c r="K7" s="700"/>
      <c r="L7" s="695"/>
      <c r="M7" s="696"/>
      <c r="N7" s="85"/>
      <c r="O7" s="701" t="s">
        <v>71</v>
      </c>
      <c r="P7" s="86" t="s">
        <v>72</v>
      </c>
      <c r="Q7" s="87" t="s">
        <v>73</v>
      </c>
      <c r="R7" s="88" t="s">
        <v>74</v>
      </c>
      <c r="S7" s="80" t="s">
        <v>75</v>
      </c>
      <c r="T7" s="81" t="s">
        <v>76</v>
      </c>
      <c r="U7" s="82" t="s">
        <v>77</v>
      </c>
      <c r="V7" s="82" t="s">
        <v>78</v>
      </c>
    </row>
    <row r="8" spans="1:22" ht="12" customHeight="1">
      <c r="A8" s="79"/>
      <c r="B8" s="79"/>
      <c r="C8" s="79"/>
      <c r="D8" s="79"/>
      <c r="E8" s="703" t="s">
        <v>79</v>
      </c>
      <c r="F8" s="703" t="s">
        <v>80</v>
      </c>
      <c r="G8" s="703" t="s">
        <v>81</v>
      </c>
      <c r="H8" s="703" t="s">
        <v>79</v>
      </c>
      <c r="I8" s="703" t="s">
        <v>80</v>
      </c>
      <c r="J8" s="703" t="s">
        <v>81</v>
      </c>
      <c r="K8" s="703" t="s">
        <v>79</v>
      </c>
      <c r="L8" s="703" t="s">
        <v>80</v>
      </c>
      <c r="M8" s="703" t="s">
        <v>81</v>
      </c>
      <c r="N8" s="89" t="s">
        <v>82</v>
      </c>
      <c r="O8" s="702"/>
      <c r="P8" s="83" t="s">
        <v>83</v>
      </c>
      <c r="Q8" s="90" t="s">
        <v>84</v>
      </c>
      <c r="R8" s="91"/>
      <c r="S8" s="80" t="s">
        <v>85</v>
      </c>
      <c r="T8" s="92" t="s">
        <v>86</v>
      </c>
      <c r="U8" s="93"/>
      <c r="V8" s="93"/>
    </row>
    <row r="9" spans="1:22">
      <c r="A9" s="94"/>
      <c r="B9" s="94"/>
      <c r="C9" s="94"/>
      <c r="D9" s="94"/>
      <c r="E9" s="704"/>
      <c r="F9" s="704"/>
      <c r="G9" s="704"/>
      <c r="H9" s="704"/>
      <c r="I9" s="704"/>
      <c r="J9" s="704"/>
      <c r="K9" s="704"/>
      <c r="L9" s="704"/>
      <c r="M9" s="704"/>
      <c r="N9" s="74"/>
      <c r="O9" s="95">
        <f>D4/100</f>
        <v>0.8</v>
      </c>
      <c r="P9" s="94"/>
      <c r="Q9" s="96" t="s">
        <v>87</v>
      </c>
      <c r="R9" s="97">
        <v>29000</v>
      </c>
      <c r="S9" s="98">
        <v>0.19</v>
      </c>
      <c r="T9" s="99"/>
      <c r="U9" s="100"/>
      <c r="V9" s="100"/>
    </row>
    <row r="10" spans="1:22" ht="25.95" customHeight="1">
      <c r="A10" s="355">
        <v>1</v>
      </c>
      <c r="B10" s="102" t="s">
        <v>217</v>
      </c>
      <c r="C10" s="103">
        <v>1</v>
      </c>
      <c r="D10" s="104" t="s">
        <v>88</v>
      </c>
      <c r="E10" s="105"/>
      <c r="F10" s="106">
        <f>8870000+1166000+202000+85000+14700*2+11000+198000+15000</f>
        <v>10576400</v>
      </c>
      <c r="G10" s="106">
        <f>IF(F10=0," ",C10*F10)</f>
        <v>10576400</v>
      </c>
      <c r="H10" s="105"/>
      <c r="I10" s="106">
        <f>9320000+176000+64000+250000+15400*2+11500</f>
        <v>9852300</v>
      </c>
      <c r="J10" s="106">
        <f>IF(I10=0," ",C10*I10)</f>
        <v>9852300</v>
      </c>
      <c r="K10" s="105"/>
      <c r="L10" s="106"/>
      <c r="M10" s="106">
        <f>IF(C10=" "," ",C10*L10)</f>
        <v>0</v>
      </c>
      <c r="N10" s="106">
        <f>IF($N$6=" "," ",IF($N$6=$E$7,F10,IF($N$6=$H$7,I10,IF($N$6=$K$7,L10,0))))</f>
        <v>10576400</v>
      </c>
      <c r="O10" s="107">
        <f>IF(OR(N10=" ",N10=0)," ",$O$9)</f>
        <v>0.8</v>
      </c>
      <c r="P10" s="106">
        <f>IF(OR(N10=" ",N10=0)," ",+ROUNDDOWN(N10*O10,0))</f>
        <v>8461120</v>
      </c>
      <c r="Q10" s="108">
        <v>5.5</v>
      </c>
      <c r="R10" s="109">
        <f>Q10*($R$9)</f>
        <v>159500</v>
      </c>
      <c r="S10" s="109">
        <f>R10*0.19</f>
        <v>30305</v>
      </c>
      <c r="T10" s="110">
        <f>+P10+R10+S10</f>
        <v>8650925</v>
      </c>
      <c r="U10" s="109">
        <f>ROUNDDOWN(T10,-4)</f>
        <v>8650000</v>
      </c>
      <c r="V10" s="109"/>
    </row>
    <row r="11" spans="1:22" ht="25.95" customHeight="1">
      <c r="A11" s="355">
        <v>2</v>
      </c>
      <c r="B11" s="102" t="s">
        <v>175</v>
      </c>
      <c r="C11" s="103">
        <v>4</v>
      </c>
      <c r="D11" s="104" t="s">
        <v>88</v>
      </c>
      <c r="E11" s="105"/>
      <c r="F11" s="106">
        <f>782000</f>
        <v>782000</v>
      </c>
      <c r="G11" s="106">
        <f t="shared" ref="G11:G24" si="0">IF(F11=0," ",C11*F11)</f>
        <v>3128000</v>
      </c>
      <c r="H11" s="105"/>
      <c r="I11" s="106">
        <v>615000</v>
      </c>
      <c r="J11" s="106">
        <f t="shared" ref="J11:J17" si="1">IF(I11=0," ",C11*I11)</f>
        <v>2460000</v>
      </c>
      <c r="K11" s="105"/>
      <c r="L11" s="106"/>
      <c r="M11" s="106">
        <f t="shared" ref="M11:M17" si="2">IF(C11=" "," ",C11*L11)</f>
        <v>0</v>
      </c>
      <c r="N11" s="106">
        <f t="shared" ref="N11:N13" si="3">IF($N$6=" "," ",IF($N$6=$E$7,F11,IF($N$6=$H$7,I11,IF($N$6=$K$7,L11,0))))</f>
        <v>782000</v>
      </c>
      <c r="O11" s="107">
        <f t="shared" ref="O11:O13" si="4">IF(OR(N11=" ",N11=0)," ",$O$9)</f>
        <v>0.8</v>
      </c>
      <c r="P11" s="106">
        <f t="shared" ref="P11:P13" si="5">IF(OR(N11=" ",N11=0)," ",+ROUNDDOWN(N11*O11,0))</f>
        <v>625600</v>
      </c>
      <c r="Q11" s="108">
        <v>0.82</v>
      </c>
      <c r="R11" s="109">
        <f t="shared" ref="R11:R23" si="6">Q11*($R$9)</f>
        <v>23780</v>
      </c>
      <c r="S11" s="109">
        <f t="shared" ref="S11:S23" si="7">R11*0.19</f>
        <v>4518.2</v>
      </c>
      <c r="T11" s="110">
        <f>+P11+R11+S11</f>
        <v>653898.19999999995</v>
      </c>
      <c r="U11" s="109">
        <f>ROUNDDOWN(T11,-3)</f>
        <v>653000</v>
      </c>
      <c r="V11" s="111"/>
    </row>
    <row r="12" spans="1:22" ht="25.95" customHeight="1">
      <c r="A12" s="355">
        <v>3</v>
      </c>
      <c r="B12" s="102" t="s">
        <v>176</v>
      </c>
      <c r="C12" s="103">
        <v>1</v>
      </c>
      <c r="D12" s="104" t="s">
        <v>88</v>
      </c>
      <c r="E12" s="105"/>
      <c r="F12" s="106">
        <f>8870000+85000+14700*2+11000</f>
        <v>8995400</v>
      </c>
      <c r="G12" s="106">
        <f t="shared" si="0"/>
        <v>8995400</v>
      </c>
      <c r="H12" s="105"/>
      <c r="I12" s="106">
        <f>8720000+15400*2+11500</f>
        <v>8762300</v>
      </c>
      <c r="J12" s="106">
        <f t="shared" si="1"/>
        <v>8762300</v>
      </c>
      <c r="K12" s="105"/>
      <c r="L12" s="106"/>
      <c r="M12" s="106">
        <f t="shared" si="2"/>
        <v>0</v>
      </c>
      <c r="N12" s="106">
        <f t="shared" si="3"/>
        <v>8995400</v>
      </c>
      <c r="O12" s="107">
        <f t="shared" si="4"/>
        <v>0.8</v>
      </c>
      <c r="P12" s="106">
        <f t="shared" si="5"/>
        <v>7196320</v>
      </c>
      <c r="Q12" s="108">
        <v>5.5</v>
      </c>
      <c r="R12" s="109">
        <f t="shared" si="6"/>
        <v>159500</v>
      </c>
      <c r="S12" s="109">
        <f t="shared" si="7"/>
        <v>30305</v>
      </c>
      <c r="T12" s="110">
        <f t="shared" ref="T12:T23" si="8">+P12+R12+S12</f>
        <v>7386125</v>
      </c>
      <c r="U12" s="109">
        <f>ROUNDDOWN(T12,-4)</f>
        <v>7380000</v>
      </c>
      <c r="V12" s="109"/>
    </row>
    <row r="13" spans="1:22" ht="25.95" customHeight="1">
      <c r="A13" s="355">
        <v>4</v>
      </c>
      <c r="B13" s="102" t="s">
        <v>177</v>
      </c>
      <c r="C13" s="103">
        <v>4</v>
      </c>
      <c r="D13" s="104" t="s">
        <v>88</v>
      </c>
      <c r="E13" s="105"/>
      <c r="F13" s="106">
        <f>782000</f>
        <v>782000</v>
      </c>
      <c r="G13" s="106">
        <f t="shared" si="0"/>
        <v>3128000</v>
      </c>
      <c r="H13" s="105"/>
      <c r="I13" s="106">
        <v>615000</v>
      </c>
      <c r="J13" s="106">
        <f t="shared" si="1"/>
        <v>2460000</v>
      </c>
      <c r="K13" s="105"/>
      <c r="L13" s="106"/>
      <c r="M13" s="106">
        <f t="shared" si="2"/>
        <v>0</v>
      </c>
      <c r="N13" s="106">
        <f t="shared" si="3"/>
        <v>782000</v>
      </c>
      <c r="O13" s="107">
        <f t="shared" si="4"/>
        <v>0.8</v>
      </c>
      <c r="P13" s="106">
        <f t="shared" si="5"/>
        <v>625600</v>
      </c>
      <c r="Q13" s="108">
        <v>0.82</v>
      </c>
      <c r="R13" s="109">
        <f t="shared" si="6"/>
        <v>23780</v>
      </c>
      <c r="S13" s="109">
        <f t="shared" si="7"/>
        <v>4518.2</v>
      </c>
      <c r="T13" s="110">
        <f t="shared" si="8"/>
        <v>653898.19999999995</v>
      </c>
      <c r="U13" s="109">
        <f>ROUNDDOWN(T13,-3)</f>
        <v>653000</v>
      </c>
      <c r="V13" s="111"/>
    </row>
    <row r="14" spans="1:22" ht="25.95" customHeight="1">
      <c r="A14" s="355">
        <v>5</v>
      </c>
      <c r="B14" s="102" t="s">
        <v>178</v>
      </c>
      <c r="C14" s="103">
        <v>1</v>
      </c>
      <c r="D14" s="104" t="s">
        <v>88</v>
      </c>
      <c r="E14" s="105"/>
      <c r="F14" s="106">
        <f>8870000+85000+14700*2+11000</f>
        <v>8995400</v>
      </c>
      <c r="G14" s="106">
        <f t="shared" si="0"/>
        <v>8995400</v>
      </c>
      <c r="H14" s="105"/>
      <c r="I14" s="106">
        <f>9320000+85000+15400*2+11500</f>
        <v>9447300</v>
      </c>
      <c r="J14" s="106">
        <f t="shared" si="1"/>
        <v>9447300</v>
      </c>
      <c r="K14" s="105"/>
      <c r="L14" s="106"/>
      <c r="M14" s="106">
        <f t="shared" si="2"/>
        <v>0</v>
      </c>
      <c r="N14" s="106">
        <f t="shared" ref="N14:N17" si="9">IF($N$6=" "," ",IF($N$6=$E$7,F14,IF($N$6=$H$7,I14,IF($N$6=$K$7,L14,0))))</f>
        <v>8995400</v>
      </c>
      <c r="O14" s="107">
        <f t="shared" ref="O14:O24" si="10">IF(OR(N14=" ",N14=0)," ",$O$9)</f>
        <v>0.8</v>
      </c>
      <c r="P14" s="106">
        <f t="shared" ref="P14:P23" si="11">IF(OR(N14=" ",N14=0)," ",+ROUNDDOWN(N14*O14,0))</f>
        <v>7196320</v>
      </c>
      <c r="Q14" s="108">
        <v>5.5</v>
      </c>
      <c r="R14" s="109">
        <f t="shared" si="6"/>
        <v>159500</v>
      </c>
      <c r="S14" s="109">
        <f t="shared" si="7"/>
        <v>30305</v>
      </c>
      <c r="T14" s="110">
        <f t="shared" si="8"/>
        <v>7386125</v>
      </c>
      <c r="U14" s="109">
        <f>ROUNDDOWN(T14,-4)</f>
        <v>7380000</v>
      </c>
      <c r="V14" s="109"/>
    </row>
    <row r="15" spans="1:22" ht="25.95" customHeight="1">
      <c r="A15" s="355">
        <v>6</v>
      </c>
      <c r="B15" s="102" t="s">
        <v>179</v>
      </c>
      <c r="C15" s="103">
        <v>4</v>
      </c>
      <c r="D15" s="104" t="s">
        <v>88</v>
      </c>
      <c r="E15" s="105"/>
      <c r="F15" s="106">
        <v>782000</v>
      </c>
      <c r="G15" s="106">
        <f t="shared" si="0"/>
        <v>3128000</v>
      </c>
      <c r="H15" s="105"/>
      <c r="I15" s="106">
        <v>615000</v>
      </c>
      <c r="J15" s="106">
        <f t="shared" si="1"/>
        <v>2460000</v>
      </c>
      <c r="K15" s="105"/>
      <c r="L15" s="106"/>
      <c r="M15" s="106">
        <f t="shared" si="2"/>
        <v>0</v>
      </c>
      <c r="N15" s="106">
        <f t="shared" si="9"/>
        <v>782000</v>
      </c>
      <c r="O15" s="107">
        <f t="shared" si="10"/>
        <v>0.8</v>
      </c>
      <c r="P15" s="106">
        <f t="shared" si="11"/>
        <v>625600</v>
      </c>
      <c r="Q15" s="108">
        <v>0.82</v>
      </c>
      <c r="R15" s="109">
        <f t="shared" si="6"/>
        <v>23780</v>
      </c>
      <c r="S15" s="109">
        <f t="shared" si="7"/>
        <v>4518.2</v>
      </c>
      <c r="T15" s="110">
        <f t="shared" si="8"/>
        <v>653898.19999999995</v>
      </c>
      <c r="U15" s="109">
        <f>ROUNDDOWN(T15,-3)</f>
        <v>653000</v>
      </c>
      <c r="V15" s="111"/>
    </row>
    <row r="16" spans="1:22" ht="25.95" customHeight="1">
      <c r="A16" s="355">
        <v>7</v>
      </c>
      <c r="B16" s="102" t="s">
        <v>150</v>
      </c>
      <c r="C16" s="103">
        <v>1</v>
      </c>
      <c r="D16" s="104" t="s">
        <v>88</v>
      </c>
      <c r="E16" s="105"/>
      <c r="F16" s="106">
        <f>4150000+11000</f>
        <v>4161000</v>
      </c>
      <c r="G16" s="106">
        <f t="shared" si="0"/>
        <v>4161000</v>
      </c>
      <c r="H16" s="105"/>
      <c r="I16" s="106">
        <f>4100000+11500</f>
        <v>4111500</v>
      </c>
      <c r="J16" s="106">
        <f t="shared" si="1"/>
        <v>4111500</v>
      </c>
      <c r="K16" s="105"/>
      <c r="L16" s="106"/>
      <c r="M16" s="106">
        <f t="shared" si="2"/>
        <v>0</v>
      </c>
      <c r="N16" s="106">
        <f t="shared" si="9"/>
        <v>4161000</v>
      </c>
      <c r="O16" s="107">
        <f t="shared" si="10"/>
        <v>0.8</v>
      </c>
      <c r="P16" s="106">
        <f t="shared" si="11"/>
        <v>3328800</v>
      </c>
      <c r="Q16" s="108">
        <v>2.84</v>
      </c>
      <c r="R16" s="109">
        <f t="shared" si="6"/>
        <v>82360</v>
      </c>
      <c r="S16" s="109">
        <f t="shared" si="7"/>
        <v>15648.4</v>
      </c>
      <c r="T16" s="110">
        <f t="shared" si="8"/>
        <v>3426808.4</v>
      </c>
      <c r="U16" s="109">
        <f>ROUNDDOWN(T16,-4)</f>
        <v>3420000</v>
      </c>
      <c r="V16" s="111"/>
    </row>
    <row r="17" spans="1:22" ht="25.95" customHeight="1">
      <c r="A17" s="355">
        <v>8</v>
      </c>
      <c r="B17" s="102" t="s">
        <v>560</v>
      </c>
      <c r="C17" s="103">
        <v>3</v>
      </c>
      <c r="D17" s="104" t="s">
        <v>88</v>
      </c>
      <c r="E17" s="105"/>
      <c r="F17" s="106">
        <v>782000</v>
      </c>
      <c r="G17" s="106">
        <f t="shared" si="0"/>
        <v>2346000</v>
      </c>
      <c r="H17" s="105"/>
      <c r="I17" s="106">
        <v>615000</v>
      </c>
      <c r="J17" s="106">
        <f t="shared" si="1"/>
        <v>1845000</v>
      </c>
      <c r="K17" s="105"/>
      <c r="L17" s="106"/>
      <c r="M17" s="106">
        <f t="shared" si="2"/>
        <v>0</v>
      </c>
      <c r="N17" s="106">
        <f t="shared" si="9"/>
        <v>782000</v>
      </c>
      <c r="O17" s="107">
        <f t="shared" si="10"/>
        <v>0.8</v>
      </c>
      <c r="P17" s="106">
        <f t="shared" si="11"/>
        <v>625600</v>
      </c>
      <c r="Q17" s="108">
        <v>0.82</v>
      </c>
      <c r="R17" s="109">
        <f t="shared" si="6"/>
        <v>23780</v>
      </c>
      <c r="S17" s="109">
        <f t="shared" si="7"/>
        <v>4518.2</v>
      </c>
      <c r="T17" s="110">
        <f t="shared" si="8"/>
        <v>653898.19999999995</v>
      </c>
      <c r="U17" s="109">
        <f t="shared" ref="U17" si="12">ROUNDDOWN(T17,-3)</f>
        <v>653000</v>
      </c>
      <c r="V17" s="111"/>
    </row>
    <row r="18" spans="1:22" ht="25.95" customHeight="1">
      <c r="A18" s="355"/>
      <c r="B18" s="102"/>
      <c r="C18" s="103"/>
      <c r="D18" s="104"/>
      <c r="E18" s="105"/>
      <c r="F18" s="106"/>
      <c r="G18" s="106"/>
      <c r="H18" s="105"/>
      <c r="I18" s="106"/>
      <c r="J18" s="106"/>
      <c r="K18" s="105"/>
      <c r="L18" s="106"/>
      <c r="M18" s="106"/>
      <c r="N18" s="106"/>
      <c r="O18" s="107"/>
      <c r="P18" s="106"/>
      <c r="Q18" s="108"/>
      <c r="R18" s="109"/>
      <c r="S18" s="109"/>
      <c r="T18" s="110"/>
      <c r="U18" s="109"/>
      <c r="V18" s="109"/>
    </row>
    <row r="19" spans="1:22" ht="25.95" customHeight="1">
      <c r="A19" s="355"/>
      <c r="B19" s="102"/>
      <c r="C19" s="103"/>
      <c r="D19" s="104"/>
      <c r="E19" s="105"/>
      <c r="F19" s="106"/>
      <c r="G19" s="106"/>
      <c r="H19" s="105"/>
      <c r="I19" s="106"/>
      <c r="J19" s="106"/>
      <c r="K19" s="105"/>
      <c r="L19" s="106"/>
      <c r="M19" s="106"/>
      <c r="N19" s="106"/>
      <c r="O19" s="107"/>
      <c r="P19" s="106"/>
      <c r="Q19" s="108"/>
      <c r="R19" s="109"/>
      <c r="S19" s="109"/>
      <c r="T19" s="110"/>
      <c r="U19" s="109"/>
      <c r="V19" s="111"/>
    </row>
    <row r="20" spans="1:22" ht="25.95" customHeight="1">
      <c r="A20" s="355"/>
      <c r="B20" s="102"/>
      <c r="C20" s="103"/>
      <c r="D20" s="104"/>
      <c r="E20" s="105"/>
      <c r="F20" s="106"/>
      <c r="G20" s="106"/>
      <c r="H20" s="105"/>
      <c r="I20" s="106"/>
      <c r="J20" s="106"/>
      <c r="K20" s="105"/>
      <c r="L20" s="106"/>
      <c r="M20" s="106"/>
      <c r="N20" s="106"/>
      <c r="O20" s="107"/>
      <c r="P20" s="106"/>
      <c r="Q20" s="108"/>
      <c r="R20" s="109"/>
      <c r="S20" s="109"/>
      <c r="T20" s="110"/>
      <c r="U20" s="109"/>
      <c r="V20" s="109"/>
    </row>
    <row r="21" spans="1:22" ht="25.95" customHeight="1">
      <c r="A21" s="355"/>
      <c r="B21" s="102"/>
      <c r="C21" s="103"/>
      <c r="D21" s="104"/>
      <c r="E21" s="105"/>
      <c r="F21" s="106"/>
      <c r="G21" s="106"/>
      <c r="H21" s="105"/>
      <c r="I21" s="106"/>
      <c r="J21" s="106"/>
      <c r="K21" s="105"/>
      <c r="L21" s="106"/>
      <c r="M21" s="106"/>
      <c r="N21" s="106"/>
      <c r="O21" s="107"/>
      <c r="P21" s="106"/>
      <c r="Q21" s="108"/>
      <c r="R21" s="109"/>
      <c r="S21" s="109"/>
      <c r="T21" s="110"/>
      <c r="U21" s="109"/>
      <c r="V21" s="111"/>
    </row>
    <row r="22" spans="1:22" ht="25.95" customHeight="1">
      <c r="A22" s="355">
        <v>13</v>
      </c>
      <c r="B22" s="102" t="s">
        <v>479</v>
      </c>
      <c r="C22" s="103">
        <v>4</v>
      </c>
      <c r="D22" s="104" t="s">
        <v>480</v>
      </c>
      <c r="E22" s="105"/>
      <c r="F22" s="106">
        <v>42000</v>
      </c>
      <c r="G22" s="106">
        <f t="shared" si="0"/>
        <v>168000</v>
      </c>
      <c r="H22" s="105"/>
      <c r="I22" s="106">
        <v>41000</v>
      </c>
      <c r="J22" s="106">
        <f t="shared" ref="J22" si="13">IF(I22=0," ",C22*I22)</f>
        <v>164000</v>
      </c>
      <c r="K22" s="105"/>
      <c r="L22" s="106"/>
      <c r="M22" s="106">
        <f t="shared" ref="M22" si="14">IF(C22=" "," ",C22*L22)</f>
        <v>0</v>
      </c>
      <c r="N22" s="106">
        <f t="shared" ref="N22:N23" si="15">F22</f>
        <v>42000</v>
      </c>
      <c r="O22" s="107">
        <f t="shared" si="10"/>
        <v>0.8</v>
      </c>
      <c r="P22" s="106">
        <f t="shared" si="11"/>
        <v>33600</v>
      </c>
      <c r="Q22" s="108"/>
      <c r="R22" s="109">
        <f t="shared" si="6"/>
        <v>0</v>
      </c>
      <c r="S22" s="109">
        <f t="shared" si="7"/>
        <v>0</v>
      </c>
      <c r="T22" s="110">
        <f t="shared" si="8"/>
        <v>33600</v>
      </c>
      <c r="U22" s="109">
        <f>ROUNDDOWN(T22,-2)</f>
        <v>33600</v>
      </c>
      <c r="V22" s="111"/>
    </row>
    <row r="23" spans="1:22" ht="25.95" customHeight="1">
      <c r="A23" s="355">
        <v>14</v>
      </c>
      <c r="B23" s="102" t="s">
        <v>498</v>
      </c>
      <c r="C23" s="103">
        <v>1</v>
      </c>
      <c r="D23" s="104" t="s">
        <v>15</v>
      </c>
      <c r="E23" s="105"/>
      <c r="F23" s="106">
        <f>101000+90000</f>
        <v>191000</v>
      </c>
      <c r="G23" s="106">
        <f t="shared" si="0"/>
        <v>191000</v>
      </c>
      <c r="H23" s="105"/>
      <c r="I23" s="106"/>
      <c r="J23" s="106"/>
      <c r="K23" s="105"/>
      <c r="L23" s="106"/>
      <c r="M23" s="106"/>
      <c r="N23" s="106">
        <f t="shared" si="15"/>
        <v>191000</v>
      </c>
      <c r="O23" s="107">
        <f t="shared" si="10"/>
        <v>0.8</v>
      </c>
      <c r="P23" s="106">
        <f t="shared" si="11"/>
        <v>152800</v>
      </c>
      <c r="Q23" s="108"/>
      <c r="R23" s="109">
        <f t="shared" si="6"/>
        <v>0</v>
      </c>
      <c r="S23" s="109">
        <f t="shared" si="7"/>
        <v>0</v>
      </c>
      <c r="T23" s="110">
        <f t="shared" si="8"/>
        <v>152800</v>
      </c>
      <c r="U23" s="109">
        <f>ROUNDDOWN(T23,-3)</f>
        <v>152000</v>
      </c>
      <c r="V23" s="111"/>
    </row>
    <row r="24" spans="1:22" ht="25.95" customHeight="1">
      <c r="A24" s="355">
        <v>15</v>
      </c>
      <c r="B24" s="102" t="s">
        <v>481</v>
      </c>
      <c r="C24" s="103">
        <v>1</v>
      </c>
      <c r="D24" s="104" t="s">
        <v>480</v>
      </c>
      <c r="E24" s="105"/>
      <c r="F24" s="106">
        <v>53000</v>
      </c>
      <c r="G24" s="106">
        <f t="shared" si="0"/>
        <v>53000</v>
      </c>
      <c r="H24" s="105"/>
      <c r="I24" s="106">
        <v>83000</v>
      </c>
      <c r="J24" s="106">
        <f t="shared" ref="J24" si="16">IF(I24=0," ",C24*I24)</f>
        <v>83000</v>
      </c>
      <c r="K24" s="105"/>
      <c r="L24" s="106"/>
      <c r="M24" s="106">
        <f t="shared" ref="M24" si="17">IF(C24=" "," ",C24*L24)</f>
        <v>0</v>
      </c>
      <c r="N24" s="106">
        <f t="shared" ref="N24" si="18">F24</f>
        <v>53000</v>
      </c>
      <c r="O24" s="107">
        <f t="shared" si="10"/>
        <v>0.8</v>
      </c>
      <c r="P24" s="106">
        <f t="shared" ref="P24" si="19">IF(OR(N24=" ",N24=0)," ",+ROUNDDOWN(N24*O24,0))</f>
        <v>42400</v>
      </c>
      <c r="Q24" s="108"/>
      <c r="R24" s="109">
        <f t="shared" ref="R24" si="20">Q24*($R$9)</f>
        <v>0</v>
      </c>
      <c r="S24" s="109">
        <f t="shared" ref="S24" si="21">R24*0.19</f>
        <v>0</v>
      </c>
      <c r="T24" s="110">
        <f t="shared" ref="T24" si="22">+P24+R24+S24</f>
        <v>42400</v>
      </c>
      <c r="U24" s="109">
        <f>ROUNDDOWN(T24,-2)</f>
        <v>42400</v>
      </c>
      <c r="V24" s="111"/>
    </row>
    <row r="25" spans="1:22" ht="25.95" customHeight="1">
      <c r="A25" s="105"/>
      <c r="B25" s="112" t="s">
        <v>89</v>
      </c>
      <c r="C25" s="103"/>
      <c r="D25" s="103"/>
      <c r="E25" s="105"/>
      <c r="F25" s="105"/>
      <c r="G25" s="106">
        <f>SUM(G10:G24)</f>
        <v>44870200</v>
      </c>
      <c r="H25" s="105"/>
      <c r="I25" s="105"/>
      <c r="J25" s="106">
        <f>SUM(J10:J24)</f>
        <v>41645400</v>
      </c>
      <c r="K25" s="105"/>
      <c r="L25" s="105"/>
      <c r="M25" s="106" t="str">
        <f>IF(K7=0," ",SUM(M10:M21))</f>
        <v xml:space="preserve"> </v>
      </c>
      <c r="N25" s="105"/>
      <c r="O25" s="105"/>
      <c r="P25" s="106"/>
      <c r="Q25" s="113"/>
      <c r="R25" s="109">
        <f>Q25*R9</f>
        <v>0</v>
      </c>
      <c r="S25" s="109">
        <f>R25*$M$5</f>
        <v>0</v>
      </c>
      <c r="T25" s="110"/>
      <c r="U25" s="106"/>
      <c r="V25" s="109"/>
    </row>
  </sheetData>
  <mergeCells count="19">
    <mergeCell ref="E7:G7"/>
    <mergeCell ref="H7:J7"/>
    <mergeCell ref="K7:M7"/>
    <mergeCell ref="O7:O8"/>
    <mergeCell ref="E8:E9"/>
    <mergeCell ref="F8:F9"/>
    <mergeCell ref="G8:G9"/>
    <mergeCell ref="H8:H9"/>
    <mergeCell ref="I8:I9"/>
    <mergeCell ref="J8:J9"/>
    <mergeCell ref="K8:K9"/>
    <mergeCell ref="L8:L9"/>
    <mergeCell ref="M8:M9"/>
    <mergeCell ref="Q6:R6"/>
    <mergeCell ref="B2:G2"/>
    <mergeCell ref="D4:E4"/>
    <mergeCell ref="N5:P5"/>
    <mergeCell ref="E6:M6"/>
    <mergeCell ref="N6:P6"/>
  </mergeCells>
  <phoneticPr fontId="48"/>
  <printOptions horizontalCentered="1" verticalCentered="1"/>
  <pageMargins left="0.70866141732283472" right="0.70866141732283472" top="0.74803149606299213" bottom="0.74803149606299213" header="0.31496062992125984" footer="0.31496062992125984"/>
  <pageSetup paperSize="9" scale="95" orientation="landscape"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48A8C-355C-4421-A2E5-7FE90DC70AB6}">
  <sheetPr>
    <tabColor theme="9"/>
  </sheetPr>
  <dimension ref="A1:V24"/>
  <sheetViews>
    <sheetView showZeros="0" view="pageBreakPreview" zoomScale="120" zoomScaleNormal="100" zoomScaleSheetLayoutView="120" workbookViewId="0">
      <selection activeCell="K8" sqref="K8:K9"/>
    </sheetView>
  </sheetViews>
  <sheetFormatPr defaultColWidth="9" defaultRowHeight="9.6"/>
  <cols>
    <col min="1" max="1" width="4.6640625" style="68" customWidth="1"/>
    <col min="2" max="2" width="10.77734375" style="68" customWidth="1"/>
    <col min="3" max="5" width="2.88671875" style="68" customWidth="1"/>
    <col min="6" max="6" width="6.21875" style="68" customWidth="1"/>
    <col min="7" max="7" width="7.44140625" style="68" customWidth="1"/>
    <col min="8" max="8" width="2.88671875" style="68" customWidth="1"/>
    <col min="9" max="9" width="6.21875" style="68" customWidth="1"/>
    <col min="10" max="10" width="7.44140625" style="68" customWidth="1"/>
    <col min="11" max="11" width="2.88671875" style="68" customWidth="1"/>
    <col min="12" max="12" width="6.21875" style="68" customWidth="1"/>
    <col min="13" max="13" width="7.44140625" style="68" customWidth="1"/>
    <col min="14" max="14" width="6.21875" style="68" customWidth="1"/>
    <col min="15" max="15" width="2.88671875" style="68" customWidth="1"/>
    <col min="16" max="16" width="6.21875" style="68" customWidth="1"/>
    <col min="17" max="17" width="8.6640625" style="68" bestFit="1" customWidth="1"/>
    <col min="18" max="16384" width="9" style="68"/>
  </cols>
  <sheetData>
    <row r="1" spans="1:22" ht="13.5" customHeight="1">
      <c r="A1" s="64"/>
      <c r="B1" s="65"/>
      <c r="C1" s="66"/>
      <c r="D1" s="66"/>
      <c r="E1" s="66"/>
      <c r="F1" s="66"/>
      <c r="G1" s="66"/>
      <c r="H1" s="66"/>
      <c r="I1" s="66"/>
      <c r="J1" s="66"/>
      <c r="K1" s="66"/>
      <c r="L1" s="66"/>
      <c r="M1" s="66"/>
      <c r="N1" s="66"/>
      <c r="O1" s="66"/>
      <c r="P1" s="66"/>
      <c r="Q1" s="66"/>
      <c r="R1" s="66"/>
      <c r="S1" s="66"/>
      <c r="T1" s="66"/>
      <c r="U1" s="66"/>
      <c r="V1" s="67"/>
    </row>
    <row r="2" spans="1:22" ht="13.5" customHeight="1">
      <c r="A2" s="69" t="s">
        <v>57</v>
      </c>
      <c r="B2" s="689" t="str">
        <f>表紙!A12</f>
        <v>大藪小学校屋内運動場空調設備設置工事</v>
      </c>
      <c r="C2" s="690"/>
      <c r="D2" s="690"/>
      <c r="E2" s="690"/>
      <c r="F2" s="690"/>
      <c r="G2" s="691"/>
      <c r="V2" s="70"/>
    </row>
    <row r="3" spans="1:22">
      <c r="A3" s="69" t="s">
        <v>58</v>
      </c>
      <c r="B3" s="71" t="s">
        <v>131</v>
      </c>
      <c r="C3" s="72"/>
      <c r="D3" s="72"/>
      <c r="E3" s="72"/>
      <c r="F3" s="72"/>
      <c r="G3" s="73"/>
      <c r="V3" s="70"/>
    </row>
    <row r="4" spans="1:22">
      <c r="A4" s="69" t="s">
        <v>59</v>
      </c>
      <c r="D4" s="692">
        <v>80</v>
      </c>
      <c r="E4" s="693"/>
      <c r="F4" s="68" t="s">
        <v>60</v>
      </c>
      <c r="V4" s="70"/>
    </row>
    <row r="5" spans="1:22">
      <c r="A5" s="74"/>
      <c r="B5" s="75" t="s">
        <v>183</v>
      </c>
      <c r="C5" s="75"/>
      <c r="D5" s="75"/>
      <c r="E5" s="75"/>
      <c r="F5" s="75"/>
      <c r="G5" s="75" t="s">
        <v>497</v>
      </c>
      <c r="H5" s="75"/>
      <c r="I5" s="75"/>
      <c r="J5" s="75"/>
      <c r="K5" s="75"/>
      <c r="L5" s="75"/>
      <c r="M5" s="75"/>
      <c r="N5" s="694" t="s">
        <v>61</v>
      </c>
      <c r="O5" s="695"/>
      <c r="P5" s="696"/>
      <c r="Q5" s="76"/>
      <c r="R5" s="76"/>
      <c r="S5" s="76"/>
      <c r="T5" s="76"/>
      <c r="U5" s="77" t="s">
        <v>62</v>
      </c>
      <c r="V5" s="78">
        <v>1</v>
      </c>
    </row>
    <row r="6" spans="1:22">
      <c r="A6" s="79"/>
      <c r="B6" s="79"/>
      <c r="C6" s="79"/>
      <c r="D6" s="79"/>
      <c r="E6" s="697" t="s">
        <v>63</v>
      </c>
      <c r="F6" s="698"/>
      <c r="G6" s="698"/>
      <c r="H6" s="698"/>
      <c r="I6" s="698"/>
      <c r="J6" s="698"/>
      <c r="K6" s="698"/>
      <c r="L6" s="698"/>
      <c r="M6" s="699"/>
      <c r="N6" s="700" t="s">
        <v>180</v>
      </c>
      <c r="O6" s="695"/>
      <c r="P6" s="696"/>
      <c r="Q6" s="687" t="s">
        <v>64</v>
      </c>
      <c r="R6" s="688"/>
      <c r="S6" s="80" t="s">
        <v>65</v>
      </c>
      <c r="T6" s="81" t="s">
        <v>66</v>
      </c>
      <c r="U6" s="82" t="s">
        <v>67</v>
      </c>
      <c r="V6" s="82" t="s">
        <v>67</v>
      </c>
    </row>
    <row r="7" spans="1:22" ht="12" customHeight="1">
      <c r="A7" s="83" t="s">
        <v>68</v>
      </c>
      <c r="B7" s="84" t="s">
        <v>69</v>
      </c>
      <c r="C7" s="83" t="s">
        <v>5</v>
      </c>
      <c r="D7" s="83" t="s">
        <v>70</v>
      </c>
      <c r="E7" s="700" t="s">
        <v>180</v>
      </c>
      <c r="F7" s="695"/>
      <c r="G7" s="696"/>
      <c r="H7" s="700" t="s">
        <v>494</v>
      </c>
      <c r="I7" s="695"/>
      <c r="J7" s="696"/>
      <c r="K7" s="700" t="s">
        <v>566</v>
      </c>
      <c r="L7" s="695"/>
      <c r="M7" s="696"/>
      <c r="N7" s="85"/>
      <c r="O7" s="701" t="s">
        <v>71</v>
      </c>
      <c r="P7" s="86" t="s">
        <v>72</v>
      </c>
      <c r="Q7" s="87" t="s">
        <v>73</v>
      </c>
      <c r="R7" s="88" t="s">
        <v>74</v>
      </c>
      <c r="S7" s="80" t="s">
        <v>75</v>
      </c>
      <c r="T7" s="81" t="s">
        <v>76</v>
      </c>
      <c r="U7" s="82" t="s">
        <v>77</v>
      </c>
      <c r="V7" s="82" t="s">
        <v>78</v>
      </c>
    </row>
    <row r="8" spans="1:22" ht="12" customHeight="1">
      <c r="A8" s="79"/>
      <c r="B8" s="79"/>
      <c r="C8" s="79"/>
      <c r="D8" s="79"/>
      <c r="E8" s="703" t="s">
        <v>79</v>
      </c>
      <c r="F8" s="703" t="s">
        <v>80</v>
      </c>
      <c r="G8" s="703" t="s">
        <v>81</v>
      </c>
      <c r="H8" s="703" t="s">
        <v>79</v>
      </c>
      <c r="I8" s="703" t="s">
        <v>80</v>
      </c>
      <c r="J8" s="703" t="s">
        <v>81</v>
      </c>
      <c r="K8" s="703" t="s">
        <v>79</v>
      </c>
      <c r="L8" s="703" t="s">
        <v>80</v>
      </c>
      <c r="M8" s="703" t="s">
        <v>81</v>
      </c>
      <c r="N8" s="89" t="s">
        <v>82</v>
      </c>
      <c r="O8" s="702"/>
      <c r="P8" s="83" t="s">
        <v>83</v>
      </c>
      <c r="Q8" s="90" t="s">
        <v>84</v>
      </c>
      <c r="R8" s="91"/>
      <c r="S8" s="80" t="s">
        <v>85</v>
      </c>
      <c r="T8" s="92" t="s">
        <v>86</v>
      </c>
      <c r="U8" s="93"/>
      <c r="V8" s="93"/>
    </row>
    <row r="9" spans="1:22">
      <c r="A9" s="94"/>
      <c r="B9" s="94"/>
      <c r="C9" s="94"/>
      <c r="D9" s="94"/>
      <c r="E9" s="704"/>
      <c r="F9" s="704"/>
      <c r="G9" s="704"/>
      <c r="H9" s="704"/>
      <c r="I9" s="704"/>
      <c r="J9" s="704"/>
      <c r="K9" s="704"/>
      <c r="L9" s="704"/>
      <c r="M9" s="704"/>
      <c r="N9" s="74"/>
      <c r="O9" s="95">
        <f>D4/100</f>
        <v>0.8</v>
      </c>
      <c r="P9" s="94"/>
      <c r="Q9" s="96" t="s">
        <v>87</v>
      </c>
      <c r="R9" s="97">
        <v>29000</v>
      </c>
      <c r="S9" s="98">
        <v>0.19</v>
      </c>
      <c r="T9" s="99"/>
      <c r="U9" s="100"/>
      <c r="V9" s="100"/>
    </row>
    <row r="10" spans="1:22" ht="27.75" customHeight="1">
      <c r="A10" s="355">
        <v>1</v>
      </c>
      <c r="B10" s="102" t="s">
        <v>181</v>
      </c>
      <c r="C10" s="103">
        <v>1</v>
      </c>
      <c r="D10" s="104" t="s">
        <v>88</v>
      </c>
      <c r="E10" s="105"/>
      <c r="F10" s="106">
        <v>1830000</v>
      </c>
      <c r="G10" s="106">
        <f>IF(F10=0," ",C10*F10)</f>
        <v>1830000</v>
      </c>
      <c r="H10" s="105"/>
      <c r="I10" s="106">
        <v>3200000</v>
      </c>
      <c r="J10" s="106">
        <f>IF(I10=0," ",C10*I10)</f>
        <v>3200000</v>
      </c>
      <c r="K10" s="105"/>
      <c r="L10" s="106"/>
      <c r="M10" s="106">
        <f>IF(C10=" "," ",C10*L10)</f>
        <v>0</v>
      </c>
      <c r="N10" s="106">
        <f>IF($N$6=" "," ",IF($N$6=$E$7,F10,IF($N$6=$H$7,I10,IF($N$6=$K$7,L10,0))))</f>
        <v>1830000</v>
      </c>
      <c r="O10" s="107">
        <f>IF(OR(N10=" ",N10=0)," ",$O$9)</f>
        <v>0.8</v>
      </c>
      <c r="P10" s="106">
        <f>IF(OR(N10=" ",N10=0)," ",+ROUNDDOWN(N10*O10,0))</f>
        <v>1464000</v>
      </c>
      <c r="Q10" s="108">
        <v>5.5</v>
      </c>
      <c r="R10" s="109">
        <f>Q10*($R$9)</f>
        <v>159500</v>
      </c>
      <c r="S10" s="109">
        <f>R10*0.19</f>
        <v>30305</v>
      </c>
      <c r="T10" s="110">
        <f>+P10+R10+S10</f>
        <v>1653805</v>
      </c>
      <c r="U10" s="109">
        <f>ROUNDDOWN(T10,-1)</f>
        <v>1653800</v>
      </c>
      <c r="V10" s="109"/>
    </row>
    <row r="11" spans="1:22" ht="27.75" customHeight="1">
      <c r="A11" s="355">
        <v>2</v>
      </c>
      <c r="B11" s="102" t="s">
        <v>200</v>
      </c>
      <c r="C11" s="103">
        <v>1</v>
      </c>
      <c r="D11" s="104" t="s">
        <v>15</v>
      </c>
      <c r="E11" s="105"/>
      <c r="F11" s="106">
        <v>1495370</v>
      </c>
      <c r="G11" s="106">
        <f t="shared" ref="G11:G20" si="0">IF(F11=0," ",C11*F11)</f>
        <v>1495370</v>
      </c>
      <c r="H11" s="105"/>
      <c r="I11" s="106">
        <f>10000+22400+5000*4</f>
        <v>52400</v>
      </c>
      <c r="J11" s="106">
        <f t="shared" ref="J11:J22" si="1">IF(I11=0," ",C11*I11)</f>
        <v>52400</v>
      </c>
      <c r="K11" s="105"/>
      <c r="L11" s="106"/>
      <c r="M11" s="106"/>
      <c r="N11" s="106">
        <f t="shared" ref="N11:N20" si="2">IF($N$6=" "," ",IF($N$6=$E$7,F11,IF($N$6=$H$7,I11,IF($N$6=$K$7,L11,0))))</f>
        <v>1495370</v>
      </c>
      <c r="O11" s="107">
        <f t="shared" ref="O11:O20" si="3">IF(OR(N11=" ",N11=0)," ",$O$9)</f>
        <v>0.8</v>
      </c>
      <c r="P11" s="106">
        <f t="shared" ref="P11:P20" si="4">IF(OR(N11=" ",N11=0)," ",+ROUNDDOWN(N11*O11,0))</f>
        <v>1196296</v>
      </c>
      <c r="Q11" s="108">
        <v>1.25</v>
      </c>
      <c r="R11" s="109">
        <f>Q11*($R$9)</f>
        <v>36250</v>
      </c>
      <c r="S11" s="109">
        <f>R11*0.19</f>
        <v>6887.5</v>
      </c>
      <c r="T11" s="110">
        <f t="shared" ref="T11:T20" si="5">+P11+R11+S11</f>
        <v>1239433.5</v>
      </c>
      <c r="U11" s="109">
        <f t="shared" ref="U11:U20" si="6">ROUNDDOWN(T11,-1)</f>
        <v>1239430</v>
      </c>
      <c r="V11" s="111"/>
    </row>
    <row r="12" spans="1:22" ht="27.75" customHeight="1">
      <c r="A12" s="355">
        <v>3</v>
      </c>
      <c r="B12" s="102" t="s">
        <v>201</v>
      </c>
      <c r="C12" s="103">
        <v>1</v>
      </c>
      <c r="D12" s="104" t="s">
        <v>15</v>
      </c>
      <c r="E12" s="105"/>
      <c r="F12" s="106">
        <v>87200</v>
      </c>
      <c r="G12" s="106">
        <f t="shared" si="0"/>
        <v>87200</v>
      </c>
      <c r="H12" s="105"/>
      <c r="I12" s="106">
        <f>26800+5000*10</f>
        <v>76800</v>
      </c>
      <c r="J12" s="106">
        <f t="shared" si="1"/>
        <v>76800</v>
      </c>
      <c r="K12" s="105"/>
      <c r="L12" s="106"/>
      <c r="M12" s="106"/>
      <c r="N12" s="106">
        <f t="shared" si="2"/>
        <v>87200</v>
      </c>
      <c r="O12" s="107">
        <f t="shared" si="3"/>
        <v>0.8</v>
      </c>
      <c r="P12" s="106">
        <f t="shared" si="4"/>
        <v>69760</v>
      </c>
      <c r="Q12" s="108"/>
      <c r="R12" s="109"/>
      <c r="S12" s="109"/>
      <c r="T12" s="110">
        <f t="shared" si="5"/>
        <v>69760</v>
      </c>
      <c r="U12" s="109">
        <f t="shared" si="6"/>
        <v>69760</v>
      </c>
      <c r="V12" s="109"/>
    </row>
    <row r="13" spans="1:22" ht="27.75" customHeight="1">
      <c r="A13" s="355">
        <v>4</v>
      </c>
      <c r="B13" s="102" t="s">
        <v>202</v>
      </c>
      <c r="C13" s="103">
        <v>1</v>
      </c>
      <c r="D13" s="104" t="s">
        <v>15</v>
      </c>
      <c r="E13" s="105"/>
      <c r="F13" s="106">
        <v>80000</v>
      </c>
      <c r="G13" s="106">
        <f t="shared" si="0"/>
        <v>80000</v>
      </c>
      <c r="H13" s="105"/>
      <c r="I13" s="106">
        <v>70000</v>
      </c>
      <c r="J13" s="106">
        <f t="shared" si="1"/>
        <v>70000</v>
      </c>
      <c r="K13" s="105"/>
      <c r="L13" s="106"/>
      <c r="M13" s="106"/>
      <c r="N13" s="106">
        <f t="shared" si="2"/>
        <v>80000</v>
      </c>
      <c r="O13" s="107">
        <f t="shared" si="3"/>
        <v>0.8</v>
      </c>
      <c r="P13" s="106">
        <f t="shared" si="4"/>
        <v>64000</v>
      </c>
      <c r="Q13" s="108"/>
      <c r="R13" s="109"/>
      <c r="S13" s="109"/>
      <c r="T13" s="110">
        <f t="shared" si="5"/>
        <v>64000</v>
      </c>
      <c r="U13" s="109">
        <f t="shared" si="6"/>
        <v>64000</v>
      </c>
      <c r="V13" s="111"/>
    </row>
    <row r="14" spans="1:22" ht="27.75" customHeight="1">
      <c r="A14" s="355">
        <v>5</v>
      </c>
      <c r="B14" s="102" t="s">
        <v>203</v>
      </c>
      <c r="C14" s="103">
        <v>1</v>
      </c>
      <c r="D14" s="104" t="s">
        <v>88</v>
      </c>
      <c r="E14" s="105"/>
      <c r="F14" s="106">
        <v>26800</v>
      </c>
      <c r="G14" s="106">
        <f t="shared" si="0"/>
        <v>26800</v>
      </c>
      <c r="H14" s="105"/>
      <c r="I14" s="106"/>
      <c r="J14" s="106" t="str">
        <f t="shared" si="1"/>
        <v xml:space="preserve"> </v>
      </c>
      <c r="K14" s="105"/>
      <c r="L14" s="106"/>
      <c r="M14" s="106"/>
      <c r="N14" s="106">
        <f t="shared" si="2"/>
        <v>26800</v>
      </c>
      <c r="O14" s="107">
        <f t="shared" si="3"/>
        <v>0.8</v>
      </c>
      <c r="P14" s="106">
        <f t="shared" si="4"/>
        <v>21440</v>
      </c>
      <c r="Q14" s="108"/>
      <c r="R14" s="109"/>
      <c r="S14" s="109"/>
      <c r="T14" s="110">
        <f t="shared" si="5"/>
        <v>21440</v>
      </c>
      <c r="U14" s="109">
        <f t="shared" si="6"/>
        <v>21440</v>
      </c>
      <c r="V14" s="109"/>
    </row>
    <row r="15" spans="1:22" ht="27.75" customHeight="1">
      <c r="A15" s="355">
        <v>6</v>
      </c>
      <c r="B15" s="102" t="s">
        <v>204</v>
      </c>
      <c r="C15" s="103">
        <v>1</v>
      </c>
      <c r="D15" s="104" t="s">
        <v>88</v>
      </c>
      <c r="E15" s="105"/>
      <c r="F15" s="106">
        <v>240000</v>
      </c>
      <c r="G15" s="106">
        <f t="shared" si="0"/>
        <v>240000</v>
      </c>
      <c r="H15" s="105"/>
      <c r="I15" s="106">
        <v>36000</v>
      </c>
      <c r="J15" s="106">
        <f t="shared" si="1"/>
        <v>36000</v>
      </c>
      <c r="K15" s="105"/>
      <c r="L15" s="106"/>
      <c r="M15" s="106"/>
      <c r="N15" s="106">
        <f t="shared" si="2"/>
        <v>240000</v>
      </c>
      <c r="O15" s="107">
        <f t="shared" si="3"/>
        <v>0.8</v>
      </c>
      <c r="P15" s="106">
        <f t="shared" si="4"/>
        <v>192000</v>
      </c>
      <c r="Q15" s="108"/>
      <c r="R15" s="109"/>
      <c r="S15" s="109"/>
      <c r="T15" s="110">
        <f t="shared" si="5"/>
        <v>192000</v>
      </c>
      <c r="U15" s="109">
        <f t="shared" si="6"/>
        <v>192000</v>
      </c>
      <c r="V15" s="111"/>
    </row>
    <row r="16" spans="1:22" ht="27.75" customHeight="1">
      <c r="A16" s="355">
        <v>7</v>
      </c>
      <c r="B16" s="102" t="s">
        <v>205</v>
      </c>
      <c r="C16" s="103">
        <v>1</v>
      </c>
      <c r="D16" s="104" t="s">
        <v>88</v>
      </c>
      <c r="E16" s="105"/>
      <c r="F16" s="106">
        <v>14000</v>
      </c>
      <c r="G16" s="106">
        <f t="shared" si="0"/>
        <v>14000</v>
      </c>
      <c r="H16" s="105"/>
      <c r="I16" s="106"/>
      <c r="J16" s="106" t="str">
        <f t="shared" si="1"/>
        <v xml:space="preserve"> </v>
      </c>
      <c r="K16" s="105"/>
      <c r="L16" s="106"/>
      <c r="M16" s="106"/>
      <c r="N16" s="106">
        <f t="shared" si="2"/>
        <v>14000</v>
      </c>
      <c r="O16" s="107">
        <f t="shared" si="3"/>
        <v>0.8</v>
      </c>
      <c r="P16" s="106">
        <f t="shared" si="4"/>
        <v>11200</v>
      </c>
      <c r="Q16" s="108"/>
      <c r="R16" s="109"/>
      <c r="S16" s="109"/>
      <c r="T16" s="110">
        <f t="shared" si="5"/>
        <v>11200</v>
      </c>
      <c r="U16" s="109">
        <f t="shared" si="6"/>
        <v>11200</v>
      </c>
      <c r="V16" s="111"/>
    </row>
    <row r="17" spans="1:22" ht="27.75" customHeight="1">
      <c r="A17" s="355">
        <v>8</v>
      </c>
      <c r="B17" s="102" t="s">
        <v>206</v>
      </c>
      <c r="C17" s="103">
        <v>1</v>
      </c>
      <c r="D17" s="104" t="s">
        <v>210</v>
      </c>
      <c r="E17" s="105"/>
      <c r="F17" s="106">
        <v>30400</v>
      </c>
      <c r="G17" s="106">
        <f t="shared" si="0"/>
        <v>30400</v>
      </c>
      <c r="H17" s="105"/>
      <c r="I17" s="106"/>
      <c r="J17" s="106" t="str">
        <f t="shared" si="1"/>
        <v xml:space="preserve"> </v>
      </c>
      <c r="K17" s="105"/>
      <c r="L17" s="106"/>
      <c r="M17" s="106"/>
      <c r="N17" s="106">
        <f t="shared" si="2"/>
        <v>30400</v>
      </c>
      <c r="O17" s="107">
        <f t="shared" si="3"/>
        <v>0.8</v>
      </c>
      <c r="P17" s="106">
        <f t="shared" si="4"/>
        <v>24320</v>
      </c>
      <c r="Q17" s="108"/>
      <c r="R17" s="109"/>
      <c r="S17" s="109"/>
      <c r="T17" s="110">
        <f t="shared" si="5"/>
        <v>24320</v>
      </c>
      <c r="U17" s="109">
        <f t="shared" si="6"/>
        <v>24320</v>
      </c>
      <c r="V17" s="111"/>
    </row>
    <row r="18" spans="1:22" ht="27.75" customHeight="1">
      <c r="A18" s="355">
        <v>9</v>
      </c>
      <c r="B18" s="102" t="s">
        <v>207</v>
      </c>
      <c r="C18" s="103">
        <v>1</v>
      </c>
      <c r="D18" s="104" t="s">
        <v>88</v>
      </c>
      <c r="E18" s="105"/>
      <c r="F18" s="106">
        <v>23200</v>
      </c>
      <c r="G18" s="106">
        <f t="shared" si="0"/>
        <v>23200</v>
      </c>
      <c r="H18" s="105"/>
      <c r="I18" s="106"/>
      <c r="J18" s="106" t="str">
        <f t="shared" si="1"/>
        <v xml:space="preserve"> </v>
      </c>
      <c r="K18" s="105"/>
      <c r="L18" s="106"/>
      <c r="M18" s="106"/>
      <c r="N18" s="106">
        <f t="shared" si="2"/>
        <v>23200</v>
      </c>
      <c r="O18" s="107">
        <f t="shared" si="3"/>
        <v>0.8</v>
      </c>
      <c r="P18" s="106">
        <f t="shared" si="4"/>
        <v>18560</v>
      </c>
      <c r="Q18" s="108"/>
      <c r="R18" s="109"/>
      <c r="S18" s="109"/>
      <c r="T18" s="110">
        <f t="shared" si="5"/>
        <v>18560</v>
      </c>
      <c r="U18" s="109">
        <f t="shared" si="6"/>
        <v>18560</v>
      </c>
      <c r="V18" s="109"/>
    </row>
    <row r="19" spans="1:22" ht="27.75" customHeight="1">
      <c r="A19" s="355">
        <v>10</v>
      </c>
      <c r="B19" s="102" t="s">
        <v>208</v>
      </c>
      <c r="C19" s="103">
        <v>1</v>
      </c>
      <c r="D19" s="104" t="s">
        <v>211</v>
      </c>
      <c r="E19" s="105"/>
      <c r="F19" s="106">
        <v>7540</v>
      </c>
      <c r="G19" s="106">
        <f t="shared" si="0"/>
        <v>7540</v>
      </c>
      <c r="H19" s="105"/>
      <c r="I19" s="106">
        <v>3000</v>
      </c>
      <c r="J19" s="106">
        <f t="shared" si="1"/>
        <v>3000</v>
      </c>
      <c r="K19" s="105"/>
      <c r="L19" s="106"/>
      <c r="M19" s="106"/>
      <c r="N19" s="106">
        <f t="shared" si="2"/>
        <v>7540</v>
      </c>
      <c r="O19" s="107">
        <f t="shared" si="3"/>
        <v>0.8</v>
      </c>
      <c r="P19" s="106">
        <f t="shared" si="4"/>
        <v>6032</v>
      </c>
      <c r="Q19" s="108"/>
      <c r="R19" s="109"/>
      <c r="S19" s="109"/>
      <c r="T19" s="110">
        <f t="shared" si="5"/>
        <v>6032</v>
      </c>
      <c r="U19" s="109">
        <f t="shared" si="6"/>
        <v>6030</v>
      </c>
      <c r="V19" s="111"/>
    </row>
    <row r="20" spans="1:22" ht="27.75" customHeight="1">
      <c r="A20" s="355">
        <v>11</v>
      </c>
      <c r="B20" s="102" t="s">
        <v>209</v>
      </c>
      <c r="C20" s="103">
        <v>3</v>
      </c>
      <c r="D20" s="104" t="s">
        <v>211</v>
      </c>
      <c r="E20" s="105"/>
      <c r="F20" s="106">
        <v>4320</v>
      </c>
      <c r="G20" s="106">
        <f t="shared" si="0"/>
        <v>12960</v>
      </c>
      <c r="H20" s="105"/>
      <c r="I20" s="106"/>
      <c r="J20" s="106" t="str">
        <f t="shared" si="1"/>
        <v xml:space="preserve"> </v>
      </c>
      <c r="K20" s="105"/>
      <c r="L20" s="106"/>
      <c r="M20" s="106"/>
      <c r="N20" s="106">
        <f t="shared" si="2"/>
        <v>4320</v>
      </c>
      <c r="O20" s="107">
        <f t="shared" si="3"/>
        <v>0.8</v>
      </c>
      <c r="P20" s="106">
        <f t="shared" si="4"/>
        <v>3456</v>
      </c>
      <c r="Q20" s="108"/>
      <c r="R20" s="109"/>
      <c r="S20" s="109"/>
      <c r="T20" s="110">
        <f t="shared" si="5"/>
        <v>3456</v>
      </c>
      <c r="U20" s="109">
        <f t="shared" si="6"/>
        <v>3450</v>
      </c>
      <c r="V20" s="109"/>
    </row>
    <row r="21" spans="1:22" ht="27.75" customHeight="1">
      <c r="A21" s="355">
        <v>12</v>
      </c>
      <c r="B21" s="102" t="s">
        <v>212</v>
      </c>
      <c r="C21" s="103">
        <v>3</v>
      </c>
      <c r="D21" s="104" t="s">
        <v>211</v>
      </c>
      <c r="E21" s="105"/>
      <c r="F21" s="106">
        <v>4320</v>
      </c>
      <c r="G21" s="106">
        <f t="shared" ref="G21:G22" si="7">IF(F21=0," ",C21*F21)</f>
        <v>12960</v>
      </c>
      <c r="H21" s="105"/>
      <c r="I21" s="106"/>
      <c r="J21" s="106" t="str">
        <f t="shared" si="1"/>
        <v xml:space="preserve"> </v>
      </c>
      <c r="K21" s="105"/>
      <c r="L21" s="106"/>
      <c r="M21" s="106"/>
      <c r="N21" s="106">
        <f t="shared" ref="N21:N22" si="8">IF($N$6=" "," ",IF($N$6=$E$7,F21,IF($N$6=$H$7,I21,IF($N$6=$K$7,L21,0))))</f>
        <v>4320</v>
      </c>
      <c r="O21" s="107">
        <f t="shared" ref="O21:O22" si="9">IF(OR(N21=" ",N21=0)," ",$O$9)</f>
        <v>0.8</v>
      </c>
      <c r="P21" s="106">
        <f t="shared" ref="P21:P22" si="10">IF(OR(N21=" ",N21=0)," ",+ROUNDDOWN(N21*O21,0))</f>
        <v>3456</v>
      </c>
      <c r="Q21" s="108"/>
      <c r="R21" s="109"/>
      <c r="S21" s="109"/>
      <c r="T21" s="110">
        <f t="shared" ref="T21:T22" si="11">+P21+R21+S21</f>
        <v>3456</v>
      </c>
      <c r="U21" s="109">
        <f t="shared" ref="U21:U22" si="12">ROUNDDOWN(T21,-1)</f>
        <v>3450</v>
      </c>
      <c r="V21" s="109"/>
    </row>
    <row r="22" spans="1:22" ht="27.75" customHeight="1">
      <c r="A22" s="355">
        <v>13</v>
      </c>
      <c r="B22" s="102" t="s">
        <v>316</v>
      </c>
      <c r="C22" s="103">
        <v>1</v>
      </c>
      <c r="D22" s="104" t="s">
        <v>15</v>
      </c>
      <c r="E22" s="105"/>
      <c r="F22" s="106">
        <v>500000</v>
      </c>
      <c r="G22" s="106">
        <f t="shared" si="7"/>
        <v>500000</v>
      </c>
      <c r="H22" s="105"/>
      <c r="I22" s="106"/>
      <c r="J22" s="106" t="str">
        <f t="shared" si="1"/>
        <v xml:space="preserve"> </v>
      </c>
      <c r="K22" s="105"/>
      <c r="L22" s="106"/>
      <c r="M22" s="106"/>
      <c r="N22" s="106">
        <f t="shared" si="8"/>
        <v>500000</v>
      </c>
      <c r="O22" s="107">
        <f t="shared" si="9"/>
        <v>0.8</v>
      </c>
      <c r="P22" s="106">
        <f t="shared" si="10"/>
        <v>400000</v>
      </c>
      <c r="Q22" s="108"/>
      <c r="R22" s="109"/>
      <c r="S22" s="109"/>
      <c r="T22" s="110">
        <f t="shared" si="11"/>
        <v>400000</v>
      </c>
      <c r="U22" s="109">
        <f t="shared" si="12"/>
        <v>400000</v>
      </c>
      <c r="V22" s="109"/>
    </row>
    <row r="23" spans="1:22" ht="27.75" customHeight="1">
      <c r="A23" s="355"/>
      <c r="B23" s="102"/>
      <c r="C23" s="103"/>
      <c r="D23" s="104"/>
      <c r="E23" s="105"/>
      <c r="F23" s="106"/>
      <c r="G23" s="106"/>
      <c r="H23" s="105"/>
      <c r="I23" s="106"/>
      <c r="J23" s="106"/>
      <c r="K23" s="105"/>
      <c r="L23" s="106"/>
      <c r="M23" s="106"/>
      <c r="N23" s="106"/>
      <c r="O23" s="107"/>
      <c r="P23" s="106"/>
      <c r="Q23" s="108"/>
      <c r="R23" s="109"/>
      <c r="S23" s="109"/>
      <c r="T23" s="110"/>
      <c r="U23" s="109"/>
      <c r="V23" s="109"/>
    </row>
    <row r="24" spans="1:22" ht="27.75" customHeight="1">
      <c r="A24" s="105"/>
      <c r="B24" s="112" t="s">
        <v>89</v>
      </c>
      <c r="C24" s="103"/>
      <c r="D24" s="103"/>
      <c r="E24" s="105"/>
      <c r="F24" s="105"/>
      <c r="G24" s="106">
        <f>IF(E7=0," ",SUM(G10:G23))</f>
        <v>4360430</v>
      </c>
      <c r="H24" s="105"/>
      <c r="I24" s="105"/>
      <c r="J24" s="106">
        <f>IF(H7=0," ",SUM(J10:J23))</f>
        <v>3438200</v>
      </c>
      <c r="K24" s="105"/>
      <c r="L24" s="105"/>
      <c r="M24" s="106">
        <f>IF(K7=0," ",SUM(M10:M23))</f>
        <v>0</v>
      </c>
      <c r="N24" s="105"/>
      <c r="O24" s="105"/>
      <c r="P24" s="106"/>
      <c r="Q24" s="113"/>
      <c r="R24" s="109">
        <f>Q24*R9</f>
        <v>0</v>
      </c>
      <c r="S24" s="109">
        <f>R24*$M$5</f>
        <v>0</v>
      </c>
      <c r="T24" s="110"/>
      <c r="U24" s="109"/>
      <c r="V24" s="109"/>
    </row>
  </sheetData>
  <mergeCells count="19">
    <mergeCell ref="O7:O8"/>
    <mergeCell ref="E8:E9"/>
    <mergeCell ref="F8:F9"/>
    <mergeCell ref="G8:G9"/>
    <mergeCell ref="H8:H9"/>
    <mergeCell ref="I8:I9"/>
    <mergeCell ref="J8:J9"/>
    <mergeCell ref="K8:K9"/>
    <mergeCell ref="L8:L9"/>
    <mergeCell ref="M8:M9"/>
    <mergeCell ref="E7:G7"/>
    <mergeCell ref="H7:J7"/>
    <mergeCell ref="K7:M7"/>
    <mergeCell ref="Q6:R6"/>
    <mergeCell ref="B2:G2"/>
    <mergeCell ref="D4:E4"/>
    <mergeCell ref="N5:P5"/>
    <mergeCell ref="E6:M6"/>
    <mergeCell ref="N6:P6"/>
  </mergeCells>
  <phoneticPr fontId="48"/>
  <printOptions horizontalCentered="1" verticalCentered="1"/>
  <pageMargins left="0.70866141732283472" right="0.70866141732283472" top="0.74803149606299213" bottom="0.74803149606299213" header="0.31496062992125984" footer="0.31496062992125984"/>
  <pageSetup paperSize="9" scale="95" orientation="landscape"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64FDD-4B2C-4033-8BF9-9AD8913BED3F}">
  <sheetPr>
    <tabColor theme="9"/>
  </sheetPr>
  <dimension ref="A1:V24"/>
  <sheetViews>
    <sheetView showZeros="0" view="pageBreakPreview" zoomScaleNormal="100" zoomScaleSheetLayoutView="100" workbookViewId="0">
      <selection activeCell="J11" sqref="J11"/>
    </sheetView>
  </sheetViews>
  <sheetFormatPr defaultColWidth="9" defaultRowHeight="9.6"/>
  <cols>
    <col min="1" max="1" width="4.6640625" style="68" customWidth="1"/>
    <col min="2" max="2" width="10.77734375" style="68" customWidth="1"/>
    <col min="3" max="5" width="2.88671875" style="68" customWidth="1"/>
    <col min="6" max="6" width="6.21875" style="68" customWidth="1"/>
    <col min="7" max="7" width="7.44140625" style="68" customWidth="1"/>
    <col min="8" max="8" width="2.88671875" style="68" customWidth="1"/>
    <col min="9" max="9" width="6.21875" style="68" customWidth="1"/>
    <col min="10" max="10" width="7.44140625" style="68" customWidth="1"/>
    <col min="11" max="11" width="2.88671875" style="68" customWidth="1"/>
    <col min="12" max="12" width="6.21875" style="68" customWidth="1"/>
    <col min="13" max="13" width="7.44140625" style="68" customWidth="1"/>
    <col min="14" max="14" width="6.21875" style="68" customWidth="1"/>
    <col min="15" max="15" width="2.88671875" style="68" customWidth="1"/>
    <col min="16" max="16" width="6.21875" style="68" customWidth="1"/>
    <col min="17" max="17" width="8.6640625" style="68" bestFit="1" customWidth="1"/>
    <col min="18" max="16384" width="9" style="68"/>
  </cols>
  <sheetData>
    <row r="1" spans="1:22" ht="13.5" customHeight="1">
      <c r="A1" s="64"/>
      <c r="B1" s="65"/>
      <c r="C1" s="66"/>
      <c r="D1" s="66"/>
      <c r="E1" s="66"/>
      <c r="F1" s="66"/>
      <c r="G1" s="66"/>
      <c r="H1" s="66"/>
      <c r="I1" s="66"/>
      <c r="J1" s="66"/>
      <c r="K1" s="66"/>
      <c r="L1" s="66"/>
      <c r="M1" s="66"/>
      <c r="N1" s="66"/>
      <c r="O1" s="66"/>
      <c r="P1" s="66"/>
      <c r="Q1" s="66"/>
      <c r="R1" s="66"/>
      <c r="S1" s="66"/>
      <c r="T1" s="66"/>
      <c r="U1" s="66"/>
      <c r="V1" s="67"/>
    </row>
    <row r="2" spans="1:22" ht="13.5" customHeight="1">
      <c r="A2" s="69" t="s">
        <v>57</v>
      </c>
      <c r="B2" s="689" t="str">
        <f>表紙!A12</f>
        <v>大藪小学校屋内運動場空調設備設置工事</v>
      </c>
      <c r="C2" s="690"/>
      <c r="D2" s="690"/>
      <c r="E2" s="690"/>
      <c r="F2" s="690"/>
      <c r="G2" s="691"/>
      <c r="V2" s="70"/>
    </row>
    <row r="3" spans="1:22">
      <c r="A3" s="69" t="s">
        <v>58</v>
      </c>
      <c r="B3" s="71" t="s">
        <v>185</v>
      </c>
      <c r="C3" s="72"/>
      <c r="D3" s="72"/>
      <c r="E3" s="72"/>
      <c r="F3" s="72"/>
      <c r="G3" s="73"/>
      <c r="V3" s="70"/>
    </row>
    <row r="4" spans="1:22">
      <c r="A4" s="69" t="s">
        <v>59</v>
      </c>
      <c r="D4" s="692">
        <v>100</v>
      </c>
      <c r="E4" s="693"/>
      <c r="F4" s="68" t="s">
        <v>60</v>
      </c>
      <c r="V4" s="70"/>
    </row>
    <row r="5" spans="1:22">
      <c r="A5" s="74"/>
      <c r="B5" s="75" t="s">
        <v>490</v>
      </c>
      <c r="C5" s="75"/>
      <c r="D5" s="75"/>
      <c r="E5" s="75"/>
      <c r="F5" s="75"/>
      <c r="G5" s="75"/>
      <c r="H5" s="75"/>
      <c r="I5" s="75"/>
      <c r="J5" s="75"/>
      <c r="K5" s="75"/>
      <c r="L5" s="75"/>
      <c r="M5" s="75"/>
      <c r="N5" s="694" t="s">
        <v>61</v>
      </c>
      <c r="O5" s="695"/>
      <c r="P5" s="696"/>
      <c r="Q5" s="76"/>
      <c r="R5" s="76"/>
      <c r="S5" s="76"/>
      <c r="T5" s="76"/>
      <c r="U5" s="77" t="s">
        <v>62</v>
      </c>
      <c r="V5" s="78">
        <v>1</v>
      </c>
    </row>
    <row r="6" spans="1:22">
      <c r="A6" s="79"/>
      <c r="B6" s="79"/>
      <c r="C6" s="79"/>
      <c r="D6" s="79"/>
      <c r="E6" s="697" t="s">
        <v>63</v>
      </c>
      <c r="F6" s="698"/>
      <c r="G6" s="698"/>
      <c r="H6" s="698"/>
      <c r="I6" s="698"/>
      <c r="J6" s="698"/>
      <c r="K6" s="698"/>
      <c r="L6" s="698"/>
      <c r="M6" s="699"/>
      <c r="N6" s="700" t="s">
        <v>186</v>
      </c>
      <c r="O6" s="695"/>
      <c r="P6" s="696"/>
      <c r="Q6" s="687" t="s">
        <v>64</v>
      </c>
      <c r="R6" s="688"/>
      <c r="S6" s="80" t="s">
        <v>65</v>
      </c>
      <c r="T6" s="81" t="s">
        <v>66</v>
      </c>
      <c r="U6" s="82" t="s">
        <v>67</v>
      </c>
      <c r="V6" s="82" t="s">
        <v>67</v>
      </c>
    </row>
    <row r="7" spans="1:22" ht="12" customHeight="1">
      <c r="A7" s="83" t="s">
        <v>68</v>
      </c>
      <c r="B7" s="84" t="s">
        <v>69</v>
      </c>
      <c r="C7" s="83" t="s">
        <v>5</v>
      </c>
      <c r="D7" s="83" t="s">
        <v>70</v>
      </c>
      <c r="E7" s="700" t="s">
        <v>186</v>
      </c>
      <c r="F7" s="695"/>
      <c r="G7" s="696"/>
      <c r="H7" s="700"/>
      <c r="I7" s="695"/>
      <c r="J7" s="696"/>
      <c r="K7" s="700"/>
      <c r="L7" s="695"/>
      <c r="M7" s="696"/>
      <c r="N7" s="85"/>
      <c r="O7" s="701" t="s">
        <v>71</v>
      </c>
      <c r="P7" s="86" t="s">
        <v>72</v>
      </c>
      <c r="Q7" s="87" t="s">
        <v>73</v>
      </c>
      <c r="R7" s="88" t="s">
        <v>74</v>
      </c>
      <c r="S7" s="80" t="s">
        <v>75</v>
      </c>
      <c r="T7" s="81" t="s">
        <v>76</v>
      </c>
      <c r="U7" s="82" t="s">
        <v>77</v>
      </c>
      <c r="V7" s="82" t="s">
        <v>78</v>
      </c>
    </row>
    <row r="8" spans="1:22" ht="12" customHeight="1">
      <c r="A8" s="79"/>
      <c r="B8" s="79"/>
      <c r="C8" s="79"/>
      <c r="D8" s="79"/>
      <c r="E8" s="703" t="s">
        <v>79</v>
      </c>
      <c r="F8" s="703" t="s">
        <v>80</v>
      </c>
      <c r="G8" s="703" t="s">
        <v>81</v>
      </c>
      <c r="H8" s="703" t="s">
        <v>79</v>
      </c>
      <c r="I8" s="703" t="s">
        <v>80</v>
      </c>
      <c r="J8" s="703" t="s">
        <v>81</v>
      </c>
      <c r="K8" s="703" t="s">
        <v>79</v>
      </c>
      <c r="L8" s="703" t="s">
        <v>80</v>
      </c>
      <c r="M8" s="703" t="s">
        <v>81</v>
      </c>
      <c r="N8" s="89" t="s">
        <v>82</v>
      </c>
      <c r="O8" s="702"/>
      <c r="P8" s="83" t="s">
        <v>83</v>
      </c>
      <c r="Q8" s="90" t="s">
        <v>84</v>
      </c>
      <c r="R8" s="91"/>
      <c r="S8" s="80" t="s">
        <v>85</v>
      </c>
      <c r="T8" s="92" t="s">
        <v>86</v>
      </c>
      <c r="U8" s="93"/>
      <c r="V8" s="93"/>
    </row>
    <row r="9" spans="1:22">
      <c r="A9" s="94"/>
      <c r="B9" s="94"/>
      <c r="C9" s="94"/>
      <c r="D9" s="94"/>
      <c r="E9" s="704"/>
      <c r="F9" s="704"/>
      <c r="G9" s="704"/>
      <c r="H9" s="704"/>
      <c r="I9" s="704"/>
      <c r="J9" s="704"/>
      <c r="K9" s="704"/>
      <c r="L9" s="704"/>
      <c r="M9" s="704"/>
      <c r="N9" s="74"/>
      <c r="O9" s="95">
        <f>D4/100</f>
        <v>1</v>
      </c>
      <c r="P9" s="94"/>
      <c r="Q9" s="96" t="s">
        <v>87</v>
      </c>
      <c r="R9" s="97"/>
      <c r="S9" s="98">
        <v>0.19</v>
      </c>
      <c r="T9" s="99"/>
      <c r="U9" s="100"/>
      <c r="V9" s="100"/>
    </row>
    <row r="10" spans="1:22" ht="27.6" customHeight="1">
      <c r="A10" s="355">
        <v>1</v>
      </c>
      <c r="B10" s="102" t="s">
        <v>187</v>
      </c>
      <c r="C10" s="103">
        <v>1</v>
      </c>
      <c r="D10" s="104" t="s">
        <v>15</v>
      </c>
      <c r="E10" s="105"/>
      <c r="F10" s="106">
        <v>28800</v>
      </c>
      <c r="G10" s="106">
        <f>IF(F10=0," ",C10*F10)</f>
        <v>28800</v>
      </c>
      <c r="H10" s="105"/>
      <c r="I10" s="106"/>
      <c r="J10" s="106" t="str">
        <f>IF(I10=0," ",C10*I10)</f>
        <v xml:space="preserve"> </v>
      </c>
      <c r="K10" s="105"/>
      <c r="L10" s="106"/>
      <c r="M10" s="106">
        <f>IF(C10=" "," ",C10*L10)</f>
        <v>0</v>
      </c>
      <c r="N10" s="106">
        <f>IF($N$6=" "," ",IF($N$6=$E$7,F10,IF($N$6=$H$7,I10,IF($N$6=$K$7,L10,0))))</f>
        <v>28800</v>
      </c>
      <c r="O10" s="107">
        <f>IF(OR(N10=" ",N10=0)," ",$O$9)</f>
        <v>1</v>
      </c>
      <c r="P10" s="106">
        <f>IF(OR(N10=" ",N10=0)," ",+ROUNDDOWN(N10*O10,0))</f>
        <v>28800</v>
      </c>
      <c r="Q10" s="108"/>
      <c r="R10" s="109">
        <f>Q10*($R$9)</f>
        <v>0</v>
      </c>
      <c r="S10" s="109">
        <f>R10*0.19</f>
        <v>0</v>
      </c>
      <c r="T10" s="110">
        <f>+P10+R10+S10</f>
        <v>28800</v>
      </c>
      <c r="U10" s="109">
        <f>ROUNDDOWN(T10,-1)</f>
        <v>28800</v>
      </c>
      <c r="V10" s="109"/>
    </row>
    <row r="11" spans="1:22" ht="27.6" customHeight="1">
      <c r="A11" s="355">
        <v>2</v>
      </c>
      <c r="B11" s="102" t="s">
        <v>188</v>
      </c>
      <c r="C11" s="103">
        <v>7</v>
      </c>
      <c r="D11" s="104" t="s">
        <v>197</v>
      </c>
      <c r="E11" s="105"/>
      <c r="F11" s="106">
        <v>7500</v>
      </c>
      <c r="G11" s="106">
        <f t="shared" ref="G11:G22" si="0">IF(F11=0," ",C11*F11)</f>
        <v>52500</v>
      </c>
      <c r="H11" s="105"/>
      <c r="I11" s="106"/>
      <c r="J11" s="106"/>
      <c r="K11" s="105"/>
      <c r="L11" s="106"/>
      <c r="M11" s="106"/>
      <c r="N11" s="106">
        <f t="shared" ref="N11:N22" si="1">IF($N$6=" "," ",IF($N$6=$E$7,F11,IF($N$6=$H$7,I11,IF($N$6=$K$7,L11,0))))</f>
        <v>7500</v>
      </c>
      <c r="O11" s="107">
        <f t="shared" ref="O11:O22" si="2">IF(OR(N11=" ",N11=0)," ",$O$9)</f>
        <v>1</v>
      </c>
      <c r="P11" s="106">
        <f t="shared" ref="P11:P22" si="3">IF(OR(N11=" ",N11=0)," ",+ROUNDDOWN(N11*O11,0))</f>
        <v>7500</v>
      </c>
      <c r="Q11" s="108"/>
      <c r="R11" s="109">
        <f t="shared" ref="R11:R22" si="4">Q11*($R$9)</f>
        <v>0</v>
      </c>
      <c r="S11" s="109">
        <f t="shared" ref="S11:S22" si="5">R11*0.19</f>
        <v>0</v>
      </c>
      <c r="T11" s="110">
        <f t="shared" ref="T11:T22" si="6">+P11+R11+S11</f>
        <v>7500</v>
      </c>
      <c r="U11" s="109">
        <f t="shared" ref="U11:U22" si="7">ROUNDDOWN(T11,-1)</f>
        <v>7500</v>
      </c>
      <c r="V11" s="111"/>
    </row>
    <row r="12" spans="1:22" ht="27.6" customHeight="1">
      <c r="A12" s="355">
        <v>3</v>
      </c>
      <c r="B12" s="102" t="s">
        <v>189</v>
      </c>
      <c r="C12" s="103">
        <v>23</v>
      </c>
      <c r="D12" s="104" t="s">
        <v>197</v>
      </c>
      <c r="E12" s="105"/>
      <c r="F12" s="106">
        <v>17820</v>
      </c>
      <c r="G12" s="106">
        <f t="shared" si="0"/>
        <v>409860</v>
      </c>
      <c r="H12" s="105"/>
      <c r="I12" s="106"/>
      <c r="J12" s="106"/>
      <c r="K12" s="105"/>
      <c r="L12" s="106"/>
      <c r="M12" s="106"/>
      <c r="N12" s="106">
        <f t="shared" si="1"/>
        <v>17820</v>
      </c>
      <c r="O12" s="107">
        <f t="shared" si="2"/>
        <v>1</v>
      </c>
      <c r="P12" s="106">
        <f t="shared" si="3"/>
        <v>17820</v>
      </c>
      <c r="Q12" s="108"/>
      <c r="R12" s="109">
        <f t="shared" si="4"/>
        <v>0</v>
      </c>
      <c r="S12" s="109">
        <f t="shared" si="5"/>
        <v>0</v>
      </c>
      <c r="T12" s="110">
        <f t="shared" si="6"/>
        <v>17820</v>
      </c>
      <c r="U12" s="109">
        <f t="shared" si="7"/>
        <v>17820</v>
      </c>
      <c r="V12" s="109"/>
    </row>
    <row r="13" spans="1:22" ht="27.6" customHeight="1">
      <c r="A13" s="355">
        <v>4</v>
      </c>
      <c r="B13" s="102" t="s">
        <v>190</v>
      </c>
      <c r="C13" s="103">
        <v>1</v>
      </c>
      <c r="D13" s="104" t="s">
        <v>15</v>
      </c>
      <c r="E13" s="105"/>
      <c r="F13" s="106">
        <v>191300</v>
      </c>
      <c r="G13" s="106">
        <f t="shared" si="0"/>
        <v>191300</v>
      </c>
      <c r="H13" s="105"/>
      <c r="I13" s="106"/>
      <c r="J13" s="106"/>
      <c r="K13" s="105"/>
      <c r="L13" s="106"/>
      <c r="M13" s="106"/>
      <c r="N13" s="106">
        <f t="shared" si="1"/>
        <v>191300</v>
      </c>
      <c r="O13" s="107">
        <f t="shared" si="2"/>
        <v>1</v>
      </c>
      <c r="P13" s="106">
        <f t="shared" si="3"/>
        <v>191300</v>
      </c>
      <c r="Q13" s="108"/>
      <c r="R13" s="109">
        <f t="shared" si="4"/>
        <v>0</v>
      </c>
      <c r="S13" s="109">
        <f t="shared" si="5"/>
        <v>0</v>
      </c>
      <c r="T13" s="110">
        <f t="shared" si="6"/>
        <v>191300</v>
      </c>
      <c r="U13" s="109">
        <f t="shared" si="7"/>
        <v>191300</v>
      </c>
      <c r="V13" s="111"/>
    </row>
    <row r="14" spans="1:22" ht="27.6" customHeight="1">
      <c r="A14" s="355">
        <v>5</v>
      </c>
      <c r="B14" s="102" t="s">
        <v>191</v>
      </c>
      <c r="C14" s="103">
        <v>1</v>
      </c>
      <c r="D14" s="104" t="s">
        <v>15</v>
      </c>
      <c r="E14" s="105"/>
      <c r="F14" s="106">
        <v>28800</v>
      </c>
      <c r="G14" s="106">
        <f t="shared" si="0"/>
        <v>28800</v>
      </c>
      <c r="H14" s="105"/>
      <c r="I14" s="106"/>
      <c r="J14" s="106"/>
      <c r="K14" s="105"/>
      <c r="L14" s="106"/>
      <c r="M14" s="106"/>
      <c r="N14" s="106">
        <f t="shared" si="1"/>
        <v>28800</v>
      </c>
      <c r="O14" s="107">
        <f t="shared" si="2"/>
        <v>1</v>
      </c>
      <c r="P14" s="106">
        <f t="shared" si="3"/>
        <v>28800</v>
      </c>
      <c r="Q14" s="108"/>
      <c r="R14" s="109">
        <f t="shared" si="4"/>
        <v>0</v>
      </c>
      <c r="S14" s="109">
        <f t="shared" si="5"/>
        <v>0</v>
      </c>
      <c r="T14" s="110">
        <f t="shared" si="6"/>
        <v>28800</v>
      </c>
      <c r="U14" s="109">
        <f t="shared" si="7"/>
        <v>28800</v>
      </c>
      <c r="V14" s="109"/>
    </row>
    <row r="15" spans="1:22" ht="27.6" customHeight="1">
      <c r="A15" s="355">
        <v>6</v>
      </c>
      <c r="B15" s="102" t="s">
        <v>306</v>
      </c>
      <c r="C15" s="103">
        <v>1</v>
      </c>
      <c r="D15" s="104" t="s">
        <v>198</v>
      </c>
      <c r="E15" s="105"/>
      <c r="F15" s="106">
        <v>3650</v>
      </c>
      <c r="G15" s="106">
        <f t="shared" ref="G15:G16" si="8">IF(F15=0," ",C15*F15)</f>
        <v>3650</v>
      </c>
      <c r="H15" s="105"/>
      <c r="I15" s="106"/>
      <c r="J15" s="106"/>
      <c r="K15" s="105"/>
      <c r="L15" s="106"/>
      <c r="M15" s="106"/>
      <c r="N15" s="106">
        <f t="shared" ref="N15:N16" si="9">IF($N$6=" "," ",IF($N$6=$E$7,F15,IF($N$6=$H$7,I15,IF($N$6=$K$7,L15,0))))</f>
        <v>3650</v>
      </c>
      <c r="O15" s="107">
        <f t="shared" ref="O15:O16" si="10">IF(OR(N15=" ",N15=0)," ",$O$9)</f>
        <v>1</v>
      </c>
      <c r="P15" s="106">
        <f t="shared" ref="P15:P16" si="11">IF(OR(N15=" ",N15=0)," ",+ROUNDDOWN(N15*O15,0))</f>
        <v>3650</v>
      </c>
      <c r="Q15" s="108"/>
      <c r="R15" s="109">
        <f t="shared" ref="R15:R16" si="12">Q15*($R$9)</f>
        <v>0</v>
      </c>
      <c r="S15" s="109">
        <f t="shared" ref="S15:S16" si="13">R15*0.19</f>
        <v>0</v>
      </c>
      <c r="T15" s="110">
        <f t="shared" ref="T15:T16" si="14">+P15+R15+S15</f>
        <v>3650</v>
      </c>
      <c r="U15" s="109">
        <f t="shared" ref="U15:U16" si="15">ROUNDDOWN(T15,-1)</f>
        <v>3650</v>
      </c>
      <c r="V15" s="111"/>
    </row>
    <row r="16" spans="1:22" ht="27.6" customHeight="1">
      <c r="A16" s="355">
        <v>7</v>
      </c>
      <c r="B16" s="102" t="s">
        <v>307</v>
      </c>
      <c r="C16" s="103">
        <v>1</v>
      </c>
      <c r="D16" s="104" t="s">
        <v>199</v>
      </c>
      <c r="E16" s="105"/>
      <c r="F16" s="106">
        <v>4680</v>
      </c>
      <c r="G16" s="106">
        <f t="shared" si="8"/>
        <v>4680</v>
      </c>
      <c r="H16" s="105"/>
      <c r="I16" s="106"/>
      <c r="J16" s="106"/>
      <c r="K16" s="105"/>
      <c r="L16" s="106"/>
      <c r="M16" s="106"/>
      <c r="N16" s="106">
        <f t="shared" si="9"/>
        <v>4680</v>
      </c>
      <c r="O16" s="107">
        <f t="shared" si="10"/>
        <v>1</v>
      </c>
      <c r="P16" s="106">
        <f t="shared" si="11"/>
        <v>4680</v>
      </c>
      <c r="Q16" s="108"/>
      <c r="R16" s="109">
        <f t="shared" si="12"/>
        <v>0</v>
      </c>
      <c r="S16" s="109">
        <f t="shared" si="13"/>
        <v>0</v>
      </c>
      <c r="T16" s="110">
        <f t="shared" si="14"/>
        <v>4680</v>
      </c>
      <c r="U16" s="109">
        <f t="shared" si="15"/>
        <v>4680</v>
      </c>
      <c r="V16" s="111"/>
    </row>
    <row r="17" spans="1:22" ht="27.6" customHeight="1">
      <c r="A17" s="355">
        <v>8</v>
      </c>
      <c r="B17" s="102" t="s">
        <v>192</v>
      </c>
      <c r="C17" s="103">
        <v>6</v>
      </c>
      <c r="D17" s="104" t="s">
        <v>198</v>
      </c>
      <c r="E17" s="105"/>
      <c r="F17" s="106">
        <v>4830</v>
      </c>
      <c r="G17" s="106">
        <f t="shared" si="0"/>
        <v>28980</v>
      </c>
      <c r="H17" s="105"/>
      <c r="I17" s="106"/>
      <c r="J17" s="106"/>
      <c r="K17" s="105"/>
      <c r="L17" s="106"/>
      <c r="M17" s="106"/>
      <c r="N17" s="106">
        <f t="shared" si="1"/>
        <v>4830</v>
      </c>
      <c r="O17" s="107">
        <f t="shared" si="2"/>
        <v>1</v>
      </c>
      <c r="P17" s="106">
        <f t="shared" si="3"/>
        <v>4830</v>
      </c>
      <c r="Q17" s="108"/>
      <c r="R17" s="109">
        <f t="shared" si="4"/>
        <v>0</v>
      </c>
      <c r="S17" s="109">
        <f t="shared" si="5"/>
        <v>0</v>
      </c>
      <c r="T17" s="110">
        <f t="shared" si="6"/>
        <v>4830</v>
      </c>
      <c r="U17" s="109">
        <f t="shared" si="7"/>
        <v>4830</v>
      </c>
      <c r="V17" s="111"/>
    </row>
    <row r="18" spans="1:22" ht="27.6" customHeight="1">
      <c r="A18" s="355">
        <v>9</v>
      </c>
      <c r="B18" s="102" t="s">
        <v>219</v>
      </c>
      <c r="C18" s="103">
        <v>6</v>
      </c>
      <c r="D18" s="104" t="s">
        <v>199</v>
      </c>
      <c r="E18" s="105"/>
      <c r="F18" s="106">
        <v>8130</v>
      </c>
      <c r="G18" s="106">
        <f t="shared" si="0"/>
        <v>48780</v>
      </c>
      <c r="H18" s="105"/>
      <c r="I18" s="106"/>
      <c r="J18" s="106"/>
      <c r="K18" s="105"/>
      <c r="L18" s="106"/>
      <c r="M18" s="106"/>
      <c r="N18" s="106">
        <f t="shared" si="1"/>
        <v>8130</v>
      </c>
      <c r="O18" s="107">
        <f t="shared" si="2"/>
        <v>1</v>
      </c>
      <c r="P18" s="106">
        <f t="shared" si="3"/>
        <v>8130</v>
      </c>
      <c r="Q18" s="108"/>
      <c r="R18" s="109">
        <f t="shared" si="4"/>
        <v>0</v>
      </c>
      <c r="S18" s="109">
        <f t="shared" si="5"/>
        <v>0</v>
      </c>
      <c r="T18" s="110">
        <f t="shared" si="6"/>
        <v>8130</v>
      </c>
      <c r="U18" s="109">
        <f t="shared" si="7"/>
        <v>8130</v>
      </c>
      <c r="V18" s="111"/>
    </row>
    <row r="19" spans="1:22" ht="27.6" customHeight="1">
      <c r="A19" s="355">
        <v>10</v>
      </c>
      <c r="B19" s="102" t="s">
        <v>193</v>
      </c>
      <c r="C19" s="103">
        <v>1</v>
      </c>
      <c r="D19" s="104" t="s">
        <v>88</v>
      </c>
      <c r="E19" s="105"/>
      <c r="F19" s="106">
        <v>118000</v>
      </c>
      <c r="G19" s="106">
        <f t="shared" si="0"/>
        <v>118000</v>
      </c>
      <c r="H19" s="105"/>
      <c r="I19" s="106"/>
      <c r="J19" s="106"/>
      <c r="K19" s="105"/>
      <c r="L19" s="106"/>
      <c r="M19" s="106"/>
      <c r="N19" s="106">
        <f t="shared" si="1"/>
        <v>118000</v>
      </c>
      <c r="O19" s="107">
        <f t="shared" si="2"/>
        <v>1</v>
      </c>
      <c r="P19" s="106">
        <f t="shared" si="3"/>
        <v>118000</v>
      </c>
      <c r="Q19" s="108"/>
      <c r="R19" s="109">
        <f t="shared" si="4"/>
        <v>0</v>
      </c>
      <c r="S19" s="109">
        <f t="shared" si="5"/>
        <v>0</v>
      </c>
      <c r="T19" s="110">
        <f t="shared" si="6"/>
        <v>118000</v>
      </c>
      <c r="U19" s="109">
        <f t="shared" si="7"/>
        <v>118000</v>
      </c>
      <c r="V19" s="111"/>
    </row>
    <row r="20" spans="1:22" ht="27.6" customHeight="1">
      <c r="A20" s="355">
        <v>11</v>
      </c>
      <c r="B20" s="102" t="s">
        <v>194</v>
      </c>
      <c r="C20" s="103">
        <v>2</v>
      </c>
      <c r="D20" s="104" t="s">
        <v>198</v>
      </c>
      <c r="E20" s="105"/>
      <c r="F20" s="106">
        <v>13420</v>
      </c>
      <c r="G20" s="106">
        <f t="shared" si="0"/>
        <v>26840</v>
      </c>
      <c r="H20" s="105"/>
      <c r="I20" s="106"/>
      <c r="J20" s="106"/>
      <c r="K20" s="105"/>
      <c r="L20" s="106"/>
      <c r="M20" s="106"/>
      <c r="N20" s="106">
        <f t="shared" si="1"/>
        <v>13420</v>
      </c>
      <c r="O20" s="107">
        <f t="shared" si="2"/>
        <v>1</v>
      </c>
      <c r="P20" s="106">
        <f t="shared" si="3"/>
        <v>13420</v>
      </c>
      <c r="Q20" s="108"/>
      <c r="R20" s="109">
        <f t="shared" si="4"/>
        <v>0</v>
      </c>
      <c r="S20" s="109">
        <f t="shared" si="5"/>
        <v>0</v>
      </c>
      <c r="T20" s="110">
        <f t="shared" si="6"/>
        <v>13420</v>
      </c>
      <c r="U20" s="109">
        <f t="shared" si="7"/>
        <v>13420</v>
      </c>
      <c r="V20" s="109"/>
    </row>
    <row r="21" spans="1:22" ht="27.6" customHeight="1">
      <c r="A21" s="355">
        <v>12</v>
      </c>
      <c r="B21" s="102" t="s">
        <v>195</v>
      </c>
      <c r="C21" s="103">
        <v>1</v>
      </c>
      <c r="D21" s="104" t="s">
        <v>15</v>
      </c>
      <c r="E21" s="105"/>
      <c r="F21" s="106">
        <v>29500</v>
      </c>
      <c r="G21" s="106">
        <f t="shared" si="0"/>
        <v>29500</v>
      </c>
      <c r="H21" s="105"/>
      <c r="I21" s="106"/>
      <c r="J21" s="106"/>
      <c r="K21" s="105"/>
      <c r="L21" s="106"/>
      <c r="M21" s="106"/>
      <c r="N21" s="106">
        <f t="shared" si="1"/>
        <v>29500</v>
      </c>
      <c r="O21" s="107">
        <f t="shared" si="2"/>
        <v>1</v>
      </c>
      <c r="P21" s="106">
        <f t="shared" si="3"/>
        <v>29500</v>
      </c>
      <c r="Q21" s="108"/>
      <c r="R21" s="109">
        <f t="shared" si="4"/>
        <v>0</v>
      </c>
      <c r="S21" s="109">
        <f t="shared" si="5"/>
        <v>0</v>
      </c>
      <c r="T21" s="110">
        <f t="shared" si="6"/>
        <v>29500</v>
      </c>
      <c r="U21" s="109">
        <f t="shared" si="7"/>
        <v>29500</v>
      </c>
      <c r="V21" s="111"/>
    </row>
    <row r="22" spans="1:22" ht="27.6" customHeight="1">
      <c r="A22" s="355">
        <v>13</v>
      </c>
      <c r="B22" s="102" t="s">
        <v>196</v>
      </c>
      <c r="C22" s="103">
        <v>1</v>
      </c>
      <c r="D22" s="104" t="s">
        <v>15</v>
      </c>
      <c r="E22" s="105"/>
      <c r="F22" s="106">
        <v>72880</v>
      </c>
      <c r="G22" s="106">
        <f t="shared" si="0"/>
        <v>72880</v>
      </c>
      <c r="H22" s="105"/>
      <c r="I22" s="106"/>
      <c r="J22" s="106"/>
      <c r="K22" s="105"/>
      <c r="L22" s="106"/>
      <c r="M22" s="106"/>
      <c r="N22" s="106">
        <f t="shared" si="1"/>
        <v>72880</v>
      </c>
      <c r="O22" s="107">
        <f t="shared" si="2"/>
        <v>1</v>
      </c>
      <c r="P22" s="106">
        <f t="shared" si="3"/>
        <v>72880</v>
      </c>
      <c r="Q22" s="108"/>
      <c r="R22" s="109">
        <f t="shared" si="4"/>
        <v>0</v>
      </c>
      <c r="S22" s="109">
        <f t="shared" si="5"/>
        <v>0</v>
      </c>
      <c r="T22" s="110">
        <f t="shared" si="6"/>
        <v>72880</v>
      </c>
      <c r="U22" s="109">
        <f t="shared" si="7"/>
        <v>72880</v>
      </c>
      <c r="V22" s="109"/>
    </row>
    <row r="23" spans="1:22" ht="27.6" customHeight="1">
      <c r="A23" s="355"/>
      <c r="B23" s="102"/>
      <c r="C23" s="103"/>
      <c r="D23" s="104"/>
      <c r="E23" s="105"/>
      <c r="F23" s="106"/>
      <c r="G23" s="106"/>
      <c r="H23" s="105"/>
      <c r="I23" s="106"/>
      <c r="J23" s="106"/>
      <c r="K23" s="105"/>
      <c r="L23" s="106"/>
      <c r="M23" s="106"/>
      <c r="N23" s="106"/>
      <c r="O23" s="107"/>
      <c r="P23" s="106"/>
      <c r="Q23" s="108"/>
      <c r="R23" s="109"/>
      <c r="S23" s="109"/>
      <c r="T23" s="110"/>
      <c r="U23" s="109"/>
      <c r="V23" s="111"/>
    </row>
    <row r="24" spans="1:22" ht="27.6" customHeight="1">
      <c r="A24" s="105"/>
      <c r="B24" s="112" t="s">
        <v>89</v>
      </c>
      <c r="C24" s="103"/>
      <c r="D24" s="103"/>
      <c r="E24" s="105"/>
      <c r="F24" s="105"/>
      <c r="G24" s="106">
        <f>IF(E7=0," ",SUM(G10:G23))</f>
        <v>1044570</v>
      </c>
      <c r="H24" s="105"/>
      <c r="I24" s="105"/>
      <c r="J24" s="106" t="str">
        <f>IF(H7=0," ",SUM(J10:J23))</f>
        <v xml:space="preserve"> </v>
      </c>
      <c r="K24" s="105"/>
      <c r="L24" s="105"/>
      <c r="M24" s="106" t="str">
        <f>IF(K7=0," ",SUM(M10:M23))</f>
        <v xml:space="preserve"> </v>
      </c>
      <c r="N24" s="105"/>
      <c r="O24" s="105"/>
      <c r="P24" s="106">
        <f>IF(N8=0," ",SUM(P10:P23))</f>
        <v>529310</v>
      </c>
      <c r="Q24" s="113"/>
      <c r="R24" s="109">
        <f>Q24*R9</f>
        <v>0</v>
      </c>
      <c r="S24" s="109">
        <f>R24*$M$5</f>
        <v>0</v>
      </c>
      <c r="T24" s="110"/>
      <c r="U24" s="106">
        <f>IF(S7=0," ",SUM(U10:U23))</f>
        <v>529310</v>
      </c>
      <c r="V24" s="109"/>
    </row>
  </sheetData>
  <mergeCells count="19">
    <mergeCell ref="O7:O8"/>
    <mergeCell ref="E8:E9"/>
    <mergeCell ref="F8:F9"/>
    <mergeCell ref="G8:G9"/>
    <mergeCell ref="H8:H9"/>
    <mergeCell ref="I8:I9"/>
    <mergeCell ref="J8:J9"/>
    <mergeCell ref="K8:K9"/>
    <mergeCell ref="L8:L9"/>
    <mergeCell ref="M8:M9"/>
    <mergeCell ref="E7:G7"/>
    <mergeCell ref="H7:J7"/>
    <mergeCell ref="K7:M7"/>
    <mergeCell ref="Q6:R6"/>
    <mergeCell ref="B2:G2"/>
    <mergeCell ref="D4:E4"/>
    <mergeCell ref="N5:P5"/>
    <mergeCell ref="E6:M6"/>
    <mergeCell ref="N6:P6"/>
  </mergeCells>
  <phoneticPr fontId="48"/>
  <printOptions horizontalCentered="1" verticalCentered="1"/>
  <pageMargins left="0.70866141732283472" right="0.70866141732283472" top="0.74803149606299213" bottom="0.74803149606299213" header="0.31496062992125984" footer="0.31496062992125984"/>
  <pageSetup paperSize="9" scale="95" orientation="landscape"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64CDD-62C3-49C7-BACC-A273C0ADE3C9}">
  <sheetPr>
    <tabColor theme="9"/>
  </sheetPr>
  <dimension ref="A1:V40"/>
  <sheetViews>
    <sheetView showZeros="0" view="pageBreakPreview" zoomScale="120" zoomScaleNormal="100" zoomScaleSheetLayoutView="120" workbookViewId="0">
      <selection activeCell="D5" sqref="D5"/>
    </sheetView>
  </sheetViews>
  <sheetFormatPr defaultColWidth="9" defaultRowHeight="13.2" customHeight="1"/>
  <cols>
    <col min="1" max="1" width="4.6640625" style="68" customWidth="1"/>
    <col min="2" max="2" width="10.77734375" style="68" customWidth="1"/>
    <col min="3" max="5" width="2.88671875" style="68" customWidth="1"/>
    <col min="6" max="6" width="6.21875" style="68" customWidth="1"/>
    <col min="7" max="7" width="7.44140625" style="68" customWidth="1"/>
    <col min="8" max="8" width="2.88671875" style="68" customWidth="1"/>
    <col min="9" max="9" width="6.21875" style="68" customWidth="1"/>
    <col min="10" max="10" width="7.44140625" style="68" customWidth="1"/>
    <col min="11" max="11" width="2.88671875" style="68" customWidth="1"/>
    <col min="12" max="12" width="6.21875" style="68" customWidth="1"/>
    <col min="13" max="13" width="7.44140625" style="68" customWidth="1"/>
    <col min="14" max="14" width="6.21875" style="68" customWidth="1"/>
    <col min="15" max="15" width="2.88671875" style="68" customWidth="1"/>
    <col min="16" max="16" width="6.21875" style="68" customWidth="1"/>
    <col min="17" max="17" width="8.6640625" style="68" bestFit="1" customWidth="1"/>
    <col min="18" max="21" width="9" style="68"/>
    <col min="22" max="22" width="7.6640625" style="68" customWidth="1"/>
    <col min="23" max="16384" width="9" style="68"/>
  </cols>
  <sheetData>
    <row r="1" spans="1:22" ht="13.2" customHeight="1">
      <c r="A1" s="705" t="s">
        <v>1008</v>
      </c>
      <c r="B1" s="706"/>
      <c r="C1" s="707"/>
      <c r="D1" s="707"/>
      <c r="E1" s="707"/>
      <c r="F1" s="707"/>
      <c r="G1" s="707"/>
      <c r="H1" s="707"/>
      <c r="I1" s="707"/>
      <c r="J1" s="707"/>
      <c r="K1" s="707"/>
      <c r="L1" s="707"/>
      <c r="M1" s="707"/>
      <c r="N1" s="707"/>
      <c r="O1" s="707"/>
      <c r="P1" s="707"/>
      <c r="Q1" s="707"/>
      <c r="R1" s="707"/>
      <c r="S1" s="707"/>
      <c r="T1" s="707"/>
      <c r="U1" s="707"/>
      <c r="V1" s="708"/>
    </row>
    <row r="2" spans="1:22" ht="13.2" customHeight="1">
      <c r="A2" s="69" t="s">
        <v>57</v>
      </c>
      <c r="B2" s="689" t="str">
        <f>表紙!A12</f>
        <v>大藪小学校屋内運動場空調設備設置工事</v>
      </c>
      <c r="C2" s="690"/>
      <c r="D2" s="690"/>
      <c r="E2" s="690"/>
      <c r="F2" s="690"/>
      <c r="G2" s="691"/>
      <c r="V2" s="70"/>
    </row>
    <row r="3" spans="1:22" ht="13.2" customHeight="1">
      <c r="A3" s="69" t="s">
        <v>58</v>
      </c>
      <c r="B3" s="71" t="s">
        <v>492</v>
      </c>
      <c r="C3" s="72"/>
      <c r="D3" s="72"/>
      <c r="E3" s="72"/>
      <c r="F3" s="72"/>
      <c r="G3" s="73"/>
      <c r="V3" s="70"/>
    </row>
    <row r="4" spans="1:22" ht="13.2" customHeight="1">
      <c r="A4" s="69" t="s">
        <v>59</v>
      </c>
      <c r="D4" s="692">
        <v>65</v>
      </c>
      <c r="E4" s="693"/>
      <c r="F4" s="68" t="s">
        <v>60</v>
      </c>
      <c r="V4" s="70"/>
    </row>
    <row r="5" spans="1:22" ht="13.2" customHeight="1">
      <c r="A5" s="74"/>
      <c r="B5" s="75" t="s">
        <v>491</v>
      </c>
      <c r="C5" s="75"/>
      <c r="D5" s="75"/>
      <c r="E5" s="75"/>
      <c r="F5" s="75" t="s">
        <v>493</v>
      </c>
      <c r="G5" s="75"/>
      <c r="H5" s="75"/>
      <c r="I5" s="75"/>
      <c r="J5" s="75"/>
      <c r="K5" s="75"/>
      <c r="L5" s="75"/>
      <c r="M5" s="75"/>
      <c r="N5" s="694" t="s">
        <v>61</v>
      </c>
      <c r="O5" s="695"/>
      <c r="P5" s="696"/>
      <c r="Q5" s="76"/>
      <c r="R5" s="76"/>
      <c r="S5" s="76"/>
      <c r="T5" s="76"/>
      <c r="U5" s="77" t="s">
        <v>62</v>
      </c>
      <c r="V5" s="78">
        <v>1</v>
      </c>
    </row>
    <row r="6" spans="1:22" ht="13.2" customHeight="1">
      <c r="A6" s="79"/>
      <c r="B6" s="79"/>
      <c r="C6" s="79"/>
      <c r="D6" s="79"/>
      <c r="E6" s="697" t="s">
        <v>63</v>
      </c>
      <c r="F6" s="698"/>
      <c r="G6" s="698"/>
      <c r="H6" s="698"/>
      <c r="I6" s="698"/>
      <c r="J6" s="698"/>
      <c r="K6" s="698"/>
      <c r="L6" s="698"/>
      <c r="M6" s="699"/>
      <c r="N6" s="700" t="s">
        <v>90</v>
      </c>
      <c r="O6" s="695"/>
      <c r="P6" s="696"/>
      <c r="Q6" s="687" t="s">
        <v>64</v>
      </c>
      <c r="R6" s="688"/>
      <c r="S6" s="80" t="s">
        <v>65</v>
      </c>
      <c r="T6" s="81" t="s">
        <v>66</v>
      </c>
      <c r="U6" s="82" t="s">
        <v>67</v>
      </c>
      <c r="V6" s="82" t="s">
        <v>67</v>
      </c>
    </row>
    <row r="7" spans="1:22" ht="13.2" customHeight="1">
      <c r="A7" s="83" t="s">
        <v>68</v>
      </c>
      <c r="B7" s="84" t="s">
        <v>69</v>
      </c>
      <c r="C7" s="83" t="s">
        <v>5</v>
      </c>
      <c r="D7" s="83" t="s">
        <v>70</v>
      </c>
      <c r="E7" s="700" t="s">
        <v>90</v>
      </c>
      <c r="F7" s="695"/>
      <c r="G7" s="696"/>
      <c r="H7" s="700"/>
      <c r="I7" s="695"/>
      <c r="J7" s="696"/>
      <c r="K7" s="700"/>
      <c r="L7" s="695"/>
      <c r="M7" s="696"/>
      <c r="N7" s="85"/>
      <c r="O7" s="701" t="s">
        <v>71</v>
      </c>
      <c r="P7" s="86" t="s">
        <v>72</v>
      </c>
      <c r="Q7" s="87" t="s">
        <v>73</v>
      </c>
      <c r="R7" s="88" t="s">
        <v>74</v>
      </c>
      <c r="S7" s="80" t="s">
        <v>75</v>
      </c>
      <c r="T7" s="81" t="s">
        <v>76</v>
      </c>
      <c r="U7" s="82" t="s">
        <v>77</v>
      </c>
      <c r="V7" s="82" t="s">
        <v>78</v>
      </c>
    </row>
    <row r="8" spans="1:22" ht="13.2" customHeight="1">
      <c r="A8" s="79"/>
      <c r="B8" s="79"/>
      <c r="C8" s="79"/>
      <c r="D8" s="79"/>
      <c r="E8" s="703" t="s">
        <v>79</v>
      </c>
      <c r="F8" s="703" t="s">
        <v>80</v>
      </c>
      <c r="G8" s="703" t="s">
        <v>81</v>
      </c>
      <c r="H8" s="703" t="s">
        <v>79</v>
      </c>
      <c r="I8" s="703" t="s">
        <v>80</v>
      </c>
      <c r="J8" s="703" t="s">
        <v>81</v>
      </c>
      <c r="K8" s="703" t="s">
        <v>79</v>
      </c>
      <c r="L8" s="703" t="s">
        <v>80</v>
      </c>
      <c r="M8" s="703" t="s">
        <v>81</v>
      </c>
      <c r="N8" s="89" t="s">
        <v>82</v>
      </c>
      <c r="O8" s="702"/>
      <c r="P8" s="83" t="s">
        <v>83</v>
      </c>
      <c r="Q8" s="90" t="s">
        <v>84</v>
      </c>
      <c r="R8" s="91"/>
      <c r="S8" s="80" t="s">
        <v>85</v>
      </c>
      <c r="T8" s="92" t="s">
        <v>86</v>
      </c>
      <c r="U8" s="93"/>
      <c r="V8" s="93"/>
    </row>
    <row r="9" spans="1:22" ht="13.2" customHeight="1">
      <c r="A9" s="94"/>
      <c r="B9" s="94"/>
      <c r="C9" s="94"/>
      <c r="D9" s="94"/>
      <c r="E9" s="704"/>
      <c r="F9" s="704"/>
      <c r="G9" s="704"/>
      <c r="H9" s="704"/>
      <c r="I9" s="704"/>
      <c r="J9" s="704"/>
      <c r="K9" s="704"/>
      <c r="L9" s="704"/>
      <c r="M9" s="704"/>
      <c r="N9" s="74"/>
      <c r="O9" s="95">
        <f>D4/100</f>
        <v>0.65</v>
      </c>
      <c r="P9" s="94"/>
      <c r="Q9" s="96" t="s">
        <v>87</v>
      </c>
      <c r="R9" s="97">
        <v>29000</v>
      </c>
      <c r="S9" s="98">
        <v>0.19</v>
      </c>
      <c r="T9" s="99"/>
      <c r="U9" s="100"/>
      <c r="V9" s="100"/>
    </row>
    <row r="10" spans="1:22" ht="13.2" customHeight="1">
      <c r="A10" s="355">
        <v>1</v>
      </c>
      <c r="B10" s="102" t="s">
        <v>508</v>
      </c>
      <c r="C10" s="103">
        <v>1</v>
      </c>
      <c r="D10" s="104" t="s">
        <v>268</v>
      </c>
      <c r="E10" s="105"/>
      <c r="F10" s="106">
        <v>2877000</v>
      </c>
      <c r="G10" s="106">
        <f>IF(F10=0," ",C10*F10)</f>
        <v>2877000</v>
      </c>
      <c r="H10" s="105"/>
      <c r="I10" s="106"/>
      <c r="J10" s="106" t="str">
        <f>IF(I10=0," ",C10*I10)</f>
        <v xml:space="preserve"> </v>
      </c>
      <c r="K10" s="105"/>
      <c r="L10" s="106"/>
      <c r="M10" s="106">
        <f>IF(C10=" "," ",C10*L10)</f>
        <v>0</v>
      </c>
      <c r="N10" s="106">
        <f>F10</f>
        <v>2877000</v>
      </c>
      <c r="O10" s="107">
        <f t="shared" ref="O10:O11" si="0">IF(OR(N10=" ",N10=0)," ",$O$9)</f>
        <v>0.65</v>
      </c>
      <c r="P10" s="106">
        <f>IF(OR(N10=" ",N10=0)," ",+ROUNDDOWN(N10*O10,0))</f>
        <v>1870050</v>
      </c>
      <c r="Q10" s="108"/>
      <c r="R10" s="109">
        <f>Q10*($R$9)</f>
        <v>0</v>
      </c>
      <c r="S10" s="109">
        <f t="shared" ref="S10" si="1">R10*0.19</f>
        <v>0</v>
      </c>
      <c r="T10" s="110">
        <f t="shared" ref="T10:T11" si="2">+P10+R10+S10</f>
        <v>1870050</v>
      </c>
      <c r="U10" s="109">
        <f t="shared" ref="U10:U14" si="3">ROUNDDOWN(T10,1)</f>
        <v>1870050</v>
      </c>
      <c r="V10" s="109"/>
    </row>
    <row r="11" spans="1:22" ht="13.2" customHeight="1">
      <c r="A11" s="355">
        <v>2</v>
      </c>
      <c r="B11" s="102" t="s">
        <v>509</v>
      </c>
      <c r="C11" s="103">
        <v>1</v>
      </c>
      <c r="D11" s="104" t="s">
        <v>268</v>
      </c>
      <c r="E11" s="105"/>
      <c r="F11" s="106">
        <v>2731000</v>
      </c>
      <c r="G11" s="106">
        <f t="shared" ref="G11:G39" si="4">IF(F11=0," ",C11*F11)</f>
        <v>2731000</v>
      </c>
      <c r="H11" s="105"/>
      <c r="I11" s="106"/>
      <c r="J11" s="106" t="str">
        <f t="shared" ref="J11:J15" si="5">IF(I11=0," ",C11*I11)</f>
        <v xml:space="preserve"> </v>
      </c>
      <c r="K11" s="105"/>
      <c r="L11" s="106"/>
      <c r="M11" s="106">
        <f t="shared" ref="M11:M15" si="6">IF(C11=" "," ",C11*L11)</f>
        <v>0</v>
      </c>
      <c r="N11" s="106">
        <f>IF($N$6=" "," ",IF($N$6=$E$7,F11,IF($N$6=$H$7,I11,IF($N$6=$K$7,L11,0))))</f>
        <v>2731000</v>
      </c>
      <c r="O11" s="107">
        <f t="shared" si="0"/>
        <v>0.65</v>
      </c>
      <c r="P11" s="106">
        <f>IF(OR(N11=" ",N11=0)," ",+ROUNDDOWN(N11*O11,0))</f>
        <v>1775150</v>
      </c>
      <c r="Q11" s="108"/>
      <c r="R11" s="109"/>
      <c r="S11" s="109"/>
      <c r="T11" s="110">
        <f t="shared" si="2"/>
        <v>1775150</v>
      </c>
      <c r="U11" s="109">
        <f t="shared" si="3"/>
        <v>1775150</v>
      </c>
      <c r="V11" s="109"/>
    </row>
    <row r="12" spans="1:22" ht="13.2" customHeight="1">
      <c r="A12" s="355">
        <v>3</v>
      </c>
      <c r="B12" s="102" t="s">
        <v>510</v>
      </c>
      <c r="C12" s="103">
        <v>1</v>
      </c>
      <c r="D12" s="104" t="s">
        <v>511</v>
      </c>
      <c r="E12" s="105"/>
      <c r="F12" s="106">
        <v>842000</v>
      </c>
      <c r="G12" s="106">
        <f t="shared" si="4"/>
        <v>842000</v>
      </c>
      <c r="H12" s="105"/>
      <c r="I12" s="106"/>
      <c r="J12" s="106"/>
      <c r="K12" s="105"/>
      <c r="L12" s="106"/>
      <c r="M12" s="106"/>
      <c r="N12" s="106">
        <f t="shared" ref="N12:N33" si="7">IF($N$6=" "," ",IF($N$6=$E$7,F12,IF($N$6=$H$7,I12,IF($N$6=$K$7,L12,0))))</f>
        <v>842000</v>
      </c>
      <c r="O12" s="107">
        <f t="shared" ref="O12:O33" si="8">IF(OR(N12=" ",N12=0)," ",$O$9)</f>
        <v>0.65</v>
      </c>
      <c r="P12" s="106">
        <f t="shared" ref="P12:P33" si="9">IF(OR(N12=" ",N12=0)," ",+ROUNDDOWN(N12*O12,0))</f>
        <v>547300</v>
      </c>
      <c r="Q12" s="108"/>
      <c r="R12" s="109"/>
      <c r="S12" s="109"/>
      <c r="T12" s="110">
        <f t="shared" ref="T12:T39" si="10">+P12+R12+S12</f>
        <v>547300</v>
      </c>
      <c r="U12" s="109">
        <f t="shared" si="3"/>
        <v>547300</v>
      </c>
      <c r="V12" s="109"/>
    </row>
    <row r="13" spans="1:22" ht="13.2" customHeight="1">
      <c r="A13" s="355">
        <v>4</v>
      </c>
      <c r="B13" s="102" t="s">
        <v>512</v>
      </c>
      <c r="C13" s="103"/>
      <c r="D13" s="104"/>
      <c r="E13" s="105"/>
      <c r="F13" s="106"/>
      <c r="G13" s="106" t="str">
        <f t="shared" si="4"/>
        <v xml:space="preserve"> </v>
      </c>
      <c r="H13" s="105"/>
      <c r="I13" s="106"/>
      <c r="J13" s="106"/>
      <c r="K13" s="105"/>
      <c r="L13" s="106"/>
      <c r="M13" s="106"/>
      <c r="N13" s="106">
        <f t="shared" si="7"/>
        <v>0</v>
      </c>
      <c r="O13" s="107" t="str">
        <f t="shared" si="8"/>
        <v xml:space="preserve"> </v>
      </c>
      <c r="P13" s="106" t="str">
        <f t="shared" si="9"/>
        <v xml:space="preserve"> </v>
      </c>
      <c r="Q13" s="108"/>
      <c r="R13" s="109"/>
      <c r="S13" s="109"/>
      <c r="T13" s="110"/>
      <c r="U13" s="109">
        <f t="shared" si="3"/>
        <v>0</v>
      </c>
      <c r="V13" s="111"/>
    </row>
    <row r="14" spans="1:22" ht="13.2" customHeight="1">
      <c r="A14" s="355">
        <v>5</v>
      </c>
      <c r="B14" s="102" t="s">
        <v>513</v>
      </c>
      <c r="C14" s="103">
        <v>551</v>
      </c>
      <c r="D14" s="104" t="s">
        <v>518</v>
      </c>
      <c r="E14" s="105"/>
      <c r="F14" s="106">
        <v>124</v>
      </c>
      <c r="G14" s="106">
        <f t="shared" si="4"/>
        <v>68324</v>
      </c>
      <c r="H14" s="105"/>
      <c r="I14" s="106"/>
      <c r="J14" s="106"/>
      <c r="K14" s="105"/>
      <c r="L14" s="106"/>
      <c r="M14" s="106"/>
      <c r="N14" s="106">
        <f t="shared" si="7"/>
        <v>124</v>
      </c>
      <c r="O14" s="107">
        <f t="shared" si="8"/>
        <v>0.65</v>
      </c>
      <c r="P14" s="106">
        <f t="shared" si="9"/>
        <v>80</v>
      </c>
      <c r="Q14" s="108"/>
      <c r="R14" s="109"/>
      <c r="S14" s="109"/>
      <c r="T14" s="110">
        <f t="shared" si="10"/>
        <v>80</v>
      </c>
      <c r="U14" s="109">
        <f t="shared" si="3"/>
        <v>80</v>
      </c>
      <c r="V14" s="109"/>
    </row>
    <row r="15" spans="1:22" ht="13.2" customHeight="1">
      <c r="A15" s="355">
        <v>6</v>
      </c>
      <c r="B15" s="102" t="s">
        <v>514</v>
      </c>
      <c r="C15" s="103">
        <v>176</v>
      </c>
      <c r="D15" s="104" t="s">
        <v>518</v>
      </c>
      <c r="E15" s="105"/>
      <c r="F15" s="106">
        <v>214</v>
      </c>
      <c r="G15" s="106">
        <f t="shared" si="4"/>
        <v>37664</v>
      </c>
      <c r="H15" s="105"/>
      <c r="I15" s="106"/>
      <c r="J15" s="106" t="str">
        <f t="shared" si="5"/>
        <v xml:space="preserve"> </v>
      </c>
      <c r="K15" s="105"/>
      <c r="L15" s="106"/>
      <c r="M15" s="106">
        <f t="shared" si="6"/>
        <v>0</v>
      </c>
      <c r="N15" s="106">
        <f t="shared" si="7"/>
        <v>214</v>
      </c>
      <c r="O15" s="107">
        <f t="shared" si="8"/>
        <v>0.65</v>
      </c>
      <c r="P15" s="106">
        <f t="shared" si="9"/>
        <v>139</v>
      </c>
      <c r="Q15" s="108"/>
      <c r="R15" s="109"/>
      <c r="S15" s="109"/>
      <c r="T15" s="110">
        <f t="shared" si="10"/>
        <v>139</v>
      </c>
      <c r="U15" s="109">
        <f>ROUNDDOWN(T15,1)</f>
        <v>139</v>
      </c>
      <c r="V15" s="111"/>
    </row>
    <row r="16" spans="1:22" ht="13.2" customHeight="1">
      <c r="A16" s="355">
        <v>7</v>
      </c>
      <c r="B16" s="102" t="s">
        <v>515</v>
      </c>
      <c r="C16" s="103">
        <v>18</v>
      </c>
      <c r="D16" s="104" t="s">
        <v>518</v>
      </c>
      <c r="E16" s="105"/>
      <c r="F16" s="106">
        <v>440</v>
      </c>
      <c r="G16" s="106">
        <f t="shared" si="4"/>
        <v>7920</v>
      </c>
      <c r="H16" s="105"/>
      <c r="I16" s="106"/>
      <c r="J16" s="106"/>
      <c r="K16" s="105"/>
      <c r="L16" s="106"/>
      <c r="M16" s="106"/>
      <c r="N16" s="106">
        <f t="shared" si="7"/>
        <v>440</v>
      </c>
      <c r="O16" s="107">
        <f t="shared" si="8"/>
        <v>0.65</v>
      </c>
      <c r="P16" s="106">
        <f t="shared" si="9"/>
        <v>286</v>
      </c>
      <c r="Q16" s="108"/>
      <c r="R16" s="109"/>
      <c r="S16" s="109"/>
      <c r="T16" s="110">
        <f t="shared" si="10"/>
        <v>286</v>
      </c>
      <c r="U16" s="109">
        <f t="shared" ref="U16:U39" si="11">ROUNDDOWN(T16,1)</f>
        <v>286</v>
      </c>
      <c r="V16" s="111"/>
    </row>
    <row r="17" spans="1:22" ht="13.2" customHeight="1">
      <c r="A17" s="355">
        <v>8</v>
      </c>
      <c r="B17" s="102" t="s">
        <v>516</v>
      </c>
      <c r="C17" s="103">
        <v>34</v>
      </c>
      <c r="D17" s="104" t="s">
        <v>518</v>
      </c>
      <c r="E17" s="105"/>
      <c r="F17" s="106">
        <v>474</v>
      </c>
      <c r="G17" s="106">
        <f t="shared" si="4"/>
        <v>16116</v>
      </c>
      <c r="H17" s="105"/>
      <c r="I17" s="106"/>
      <c r="J17" s="106"/>
      <c r="K17" s="105"/>
      <c r="L17" s="106"/>
      <c r="M17" s="106"/>
      <c r="N17" s="106">
        <f t="shared" si="7"/>
        <v>474</v>
      </c>
      <c r="O17" s="107">
        <f t="shared" si="8"/>
        <v>0.65</v>
      </c>
      <c r="P17" s="106">
        <f t="shared" si="9"/>
        <v>308</v>
      </c>
      <c r="Q17" s="108"/>
      <c r="R17" s="109"/>
      <c r="S17" s="109"/>
      <c r="T17" s="110">
        <f t="shared" si="10"/>
        <v>308</v>
      </c>
      <c r="U17" s="109">
        <f t="shared" si="11"/>
        <v>308</v>
      </c>
      <c r="V17" s="111"/>
    </row>
    <row r="18" spans="1:22" ht="13.2" customHeight="1">
      <c r="A18" s="355">
        <v>9</v>
      </c>
      <c r="B18" s="102" t="s">
        <v>517</v>
      </c>
      <c r="C18" s="103">
        <v>3</v>
      </c>
      <c r="D18" s="104" t="s">
        <v>518</v>
      </c>
      <c r="E18" s="105"/>
      <c r="F18" s="106">
        <v>221</v>
      </c>
      <c r="G18" s="106">
        <f t="shared" si="4"/>
        <v>663</v>
      </c>
      <c r="H18" s="105"/>
      <c r="I18" s="106"/>
      <c r="J18" s="106"/>
      <c r="K18" s="105"/>
      <c r="L18" s="106"/>
      <c r="M18" s="106"/>
      <c r="N18" s="106">
        <f t="shared" si="7"/>
        <v>221</v>
      </c>
      <c r="O18" s="107">
        <f t="shared" si="8"/>
        <v>0.65</v>
      </c>
      <c r="P18" s="106">
        <f t="shared" si="9"/>
        <v>143</v>
      </c>
      <c r="Q18" s="108"/>
      <c r="R18" s="109"/>
      <c r="S18" s="109"/>
      <c r="T18" s="110">
        <f t="shared" si="10"/>
        <v>143</v>
      </c>
      <c r="U18" s="109">
        <f t="shared" si="11"/>
        <v>143</v>
      </c>
      <c r="V18" s="111"/>
    </row>
    <row r="19" spans="1:22" ht="13.2" customHeight="1">
      <c r="A19" s="355">
        <v>10</v>
      </c>
      <c r="B19" s="102" t="s">
        <v>519</v>
      </c>
      <c r="C19" s="103">
        <v>2</v>
      </c>
      <c r="D19" s="104" t="s">
        <v>534</v>
      </c>
      <c r="E19" s="105"/>
      <c r="F19" s="106">
        <v>1210</v>
      </c>
      <c r="G19" s="106">
        <f t="shared" si="4"/>
        <v>2420</v>
      </c>
      <c r="H19" s="105"/>
      <c r="I19" s="106"/>
      <c r="J19" s="106"/>
      <c r="K19" s="105"/>
      <c r="L19" s="106"/>
      <c r="M19" s="106"/>
      <c r="N19" s="106">
        <f t="shared" si="7"/>
        <v>1210</v>
      </c>
      <c r="O19" s="107">
        <f t="shared" si="8"/>
        <v>0.65</v>
      </c>
      <c r="P19" s="106">
        <f t="shared" si="9"/>
        <v>786</v>
      </c>
      <c r="Q19" s="108"/>
      <c r="R19" s="109"/>
      <c r="S19" s="109"/>
      <c r="T19" s="110">
        <f t="shared" si="10"/>
        <v>786</v>
      </c>
      <c r="U19" s="109">
        <f t="shared" si="11"/>
        <v>786</v>
      </c>
      <c r="V19" s="109"/>
    </row>
    <row r="20" spans="1:22" ht="13.2" customHeight="1">
      <c r="A20" s="355">
        <v>11</v>
      </c>
      <c r="B20" s="102" t="s">
        <v>520</v>
      </c>
      <c r="C20" s="103">
        <v>2</v>
      </c>
      <c r="D20" s="104" t="s">
        <v>534</v>
      </c>
      <c r="E20" s="105"/>
      <c r="F20" s="106">
        <v>1710</v>
      </c>
      <c r="G20" s="106">
        <f t="shared" si="4"/>
        <v>3420</v>
      </c>
      <c r="H20" s="105"/>
      <c r="I20" s="106"/>
      <c r="J20" s="106"/>
      <c r="K20" s="105"/>
      <c r="L20" s="106"/>
      <c r="M20" s="106"/>
      <c r="N20" s="106">
        <f t="shared" si="7"/>
        <v>1710</v>
      </c>
      <c r="O20" s="107">
        <f t="shared" si="8"/>
        <v>0.65</v>
      </c>
      <c r="P20" s="106">
        <f t="shared" si="9"/>
        <v>1111</v>
      </c>
      <c r="Q20" s="108"/>
      <c r="R20" s="109"/>
      <c r="S20" s="109"/>
      <c r="T20" s="110">
        <f t="shared" si="10"/>
        <v>1111</v>
      </c>
      <c r="U20" s="109">
        <f t="shared" si="11"/>
        <v>1111</v>
      </c>
      <c r="V20" s="111"/>
    </row>
    <row r="21" spans="1:22" ht="13.2" customHeight="1">
      <c r="A21" s="355">
        <v>12</v>
      </c>
      <c r="B21" s="102" t="s">
        <v>521</v>
      </c>
      <c r="C21" s="103">
        <v>3</v>
      </c>
      <c r="D21" s="104" t="s">
        <v>534</v>
      </c>
      <c r="E21" s="105"/>
      <c r="F21" s="106">
        <v>2900</v>
      </c>
      <c r="G21" s="106">
        <f t="shared" si="4"/>
        <v>8700</v>
      </c>
      <c r="H21" s="105"/>
      <c r="I21" s="106"/>
      <c r="J21" s="106"/>
      <c r="K21" s="105"/>
      <c r="L21" s="106"/>
      <c r="M21" s="106"/>
      <c r="N21" s="106">
        <f t="shared" si="7"/>
        <v>2900</v>
      </c>
      <c r="O21" s="107">
        <f t="shared" si="8"/>
        <v>0.65</v>
      </c>
      <c r="P21" s="106">
        <f t="shared" si="9"/>
        <v>1885</v>
      </c>
      <c r="Q21" s="108"/>
      <c r="R21" s="109"/>
      <c r="S21" s="109"/>
      <c r="T21" s="110">
        <f t="shared" si="10"/>
        <v>1885</v>
      </c>
      <c r="U21" s="109">
        <f t="shared" si="11"/>
        <v>1885</v>
      </c>
      <c r="V21" s="109"/>
    </row>
    <row r="22" spans="1:22" ht="13.2" customHeight="1">
      <c r="A22" s="355">
        <v>13</v>
      </c>
      <c r="B22" s="102" t="s">
        <v>522</v>
      </c>
      <c r="C22" s="103">
        <v>2</v>
      </c>
      <c r="D22" s="104" t="s">
        <v>534</v>
      </c>
      <c r="E22" s="105"/>
      <c r="F22" s="106">
        <v>2330</v>
      </c>
      <c r="G22" s="106">
        <f t="shared" si="4"/>
        <v>4660</v>
      </c>
      <c r="H22" s="105"/>
      <c r="I22" s="106"/>
      <c r="J22" s="106"/>
      <c r="K22" s="105"/>
      <c r="L22" s="106"/>
      <c r="M22" s="106"/>
      <c r="N22" s="106">
        <f t="shared" si="7"/>
        <v>2330</v>
      </c>
      <c r="O22" s="107">
        <f t="shared" si="8"/>
        <v>0.65</v>
      </c>
      <c r="P22" s="106">
        <f t="shared" si="9"/>
        <v>1514</v>
      </c>
      <c r="Q22" s="108"/>
      <c r="R22" s="109"/>
      <c r="S22" s="109"/>
      <c r="T22" s="110">
        <f t="shared" si="10"/>
        <v>1514</v>
      </c>
      <c r="U22" s="109">
        <f t="shared" si="11"/>
        <v>1514</v>
      </c>
      <c r="V22" s="111"/>
    </row>
    <row r="23" spans="1:22" ht="13.2" customHeight="1">
      <c r="A23" s="355">
        <v>14</v>
      </c>
      <c r="B23" s="102" t="s">
        <v>523</v>
      </c>
      <c r="C23" s="103">
        <v>8</v>
      </c>
      <c r="D23" s="104" t="s">
        <v>534</v>
      </c>
      <c r="E23" s="105"/>
      <c r="F23" s="106">
        <v>3150</v>
      </c>
      <c r="G23" s="106">
        <f t="shared" si="4"/>
        <v>25200</v>
      </c>
      <c r="H23" s="105"/>
      <c r="I23" s="106"/>
      <c r="J23" s="106"/>
      <c r="K23" s="105"/>
      <c r="L23" s="106"/>
      <c r="M23" s="106"/>
      <c r="N23" s="106">
        <f t="shared" si="7"/>
        <v>3150</v>
      </c>
      <c r="O23" s="107">
        <f t="shared" si="8"/>
        <v>0.65</v>
      </c>
      <c r="P23" s="106">
        <f t="shared" si="9"/>
        <v>2047</v>
      </c>
      <c r="Q23" s="108"/>
      <c r="R23" s="109"/>
      <c r="S23" s="109"/>
      <c r="T23" s="110">
        <f t="shared" si="10"/>
        <v>2047</v>
      </c>
      <c r="U23" s="109">
        <f t="shared" si="11"/>
        <v>2047</v>
      </c>
      <c r="V23" s="111"/>
    </row>
    <row r="24" spans="1:22" ht="13.2" customHeight="1">
      <c r="A24" s="355">
        <v>15</v>
      </c>
      <c r="B24" s="102" t="s">
        <v>524</v>
      </c>
      <c r="C24" s="103">
        <v>6</v>
      </c>
      <c r="D24" s="104" t="s">
        <v>534</v>
      </c>
      <c r="E24" s="105"/>
      <c r="F24" s="106">
        <v>4076</v>
      </c>
      <c r="G24" s="106">
        <f t="shared" si="4"/>
        <v>24456</v>
      </c>
      <c r="H24" s="105"/>
      <c r="I24" s="106"/>
      <c r="J24" s="106"/>
      <c r="K24" s="105"/>
      <c r="L24" s="106"/>
      <c r="M24" s="106"/>
      <c r="N24" s="106">
        <f t="shared" si="7"/>
        <v>4076</v>
      </c>
      <c r="O24" s="107">
        <f t="shared" si="8"/>
        <v>0.65</v>
      </c>
      <c r="P24" s="106">
        <f t="shared" si="9"/>
        <v>2649</v>
      </c>
      <c r="Q24" s="108"/>
      <c r="R24" s="109"/>
      <c r="S24" s="109"/>
      <c r="T24" s="110">
        <f t="shared" si="10"/>
        <v>2649</v>
      </c>
      <c r="U24" s="109">
        <f t="shared" si="11"/>
        <v>2649</v>
      </c>
      <c r="V24" s="109"/>
    </row>
    <row r="25" spans="1:22" ht="13.2" customHeight="1">
      <c r="A25" s="355">
        <v>16</v>
      </c>
      <c r="B25" s="102" t="s">
        <v>525</v>
      </c>
      <c r="C25" s="103">
        <v>1</v>
      </c>
      <c r="D25" s="104" t="s">
        <v>511</v>
      </c>
      <c r="E25" s="105"/>
      <c r="F25" s="106">
        <v>55100</v>
      </c>
      <c r="G25" s="106">
        <f t="shared" si="4"/>
        <v>55100</v>
      </c>
      <c r="H25" s="105"/>
      <c r="I25" s="106"/>
      <c r="J25" s="106" t="str">
        <f t="shared" ref="J25" si="12">IF(I25=0," ",C25*I25)</f>
        <v xml:space="preserve"> </v>
      </c>
      <c r="K25" s="105"/>
      <c r="L25" s="106"/>
      <c r="M25" s="106">
        <f t="shared" ref="M25" si="13">IF(C25=" "," ",C25*L25)</f>
        <v>0</v>
      </c>
      <c r="N25" s="106">
        <f t="shared" si="7"/>
        <v>55100</v>
      </c>
      <c r="O25" s="107">
        <f t="shared" si="8"/>
        <v>0.65</v>
      </c>
      <c r="P25" s="106">
        <f t="shared" si="9"/>
        <v>35815</v>
      </c>
      <c r="Q25" s="108"/>
      <c r="R25" s="109"/>
      <c r="S25" s="109"/>
      <c r="T25" s="110">
        <f t="shared" si="10"/>
        <v>35815</v>
      </c>
      <c r="U25" s="109">
        <f t="shared" si="11"/>
        <v>35815</v>
      </c>
      <c r="V25" s="111"/>
    </row>
    <row r="26" spans="1:22" ht="13.2" customHeight="1">
      <c r="A26" s="355">
        <v>17</v>
      </c>
      <c r="B26" s="102" t="s">
        <v>526</v>
      </c>
      <c r="C26" s="103">
        <v>1</v>
      </c>
      <c r="D26" s="104" t="s">
        <v>511</v>
      </c>
      <c r="E26" s="105"/>
      <c r="F26" s="106">
        <v>17300</v>
      </c>
      <c r="G26" s="106">
        <f t="shared" si="4"/>
        <v>17300</v>
      </c>
      <c r="H26" s="105"/>
      <c r="I26" s="106"/>
      <c r="J26" s="106"/>
      <c r="K26" s="105"/>
      <c r="L26" s="106"/>
      <c r="M26" s="106"/>
      <c r="N26" s="106">
        <f t="shared" si="7"/>
        <v>17300</v>
      </c>
      <c r="O26" s="107">
        <f t="shared" si="8"/>
        <v>0.65</v>
      </c>
      <c r="P26" s="106">
        <f t="shared" si="9"/>
        <v>11245</v>
      </c>
      <c r="Q26" s="108"/>
      <c r="R26" s="109"/>
      <c r="S26" s="109"/>
      <c r="T26" s="110">
        <f t="shared" si="10"/>
        <v>11245</v>
      </c>
      <c r="U26" s="109">
        <f t="shared" si="11"/>
        <v>11245</v>
      </c>
      <c r="V26" s="111"/>
    </row>
    <row r="27" spans="1:22" ht="13.2" customHeight="1">
      <c r="A27" s="355">
        <v>18</v>
      </c>
      <c r="B27" s="102" t="s">
        <v>527</v>
      </c>
      <c r="C27" s="103">
        <v>2</v>
      </c>
      <c r="D27" s="104" t="s">
        <v>503</v>
      </c>
      <c r="E27" s="105"/>
      <c r="F27" s="106">
        <v>30400</v>
      </c>
      <c r="G27" s="106">
        <f t="shared" si="4"/>
        <v>60800</v>
      </c>
      <c r="H27" s="105"/>
      <c r="I27" s="106"/>
      <c r="J27" s="106"/>
      <c r="K27" s="105"/>
      <c r="L27" s="106"/>
      <c r="M27" s="106"/>
      <c r="N27" s="106">
        <f t="shared" si="7"/>
        <v>30400</v>
      </c>
      <c r="O27" s="107">
        <f t="shared" si="8"/>
        <v>0.65</v>
      </c>
      <c r="P27" s="106">
        <f t="shared" si="9"/>
        <v>19760</v>
      </c>
      <c r="Q27" s="108"/>
      <c r="R27" s="109"/>
      <c r="S27" s="109"/>
      <c r="T27" s="110">
        <f t="shared" si="10"/>
        <v>19760</v>
      </c>
      <c r="U27" s="109">
        <f t="shared" si="11"/>
        <v>19760</v>
      </c>
      <c r="V27" s="111"/>
    </row>
    <row r="28" spans="1:22" ht="13.2" customHeight="1">
      <c r="A28" s="355">
        <v>19</v>
      </c>
      <c r="B28" s="102" t="s">
        <v>528</v>
      </c>
      <c r="C28" s="103">
        <v>1</v>
      </c>
      <c r="D28" s="104" t="s">
        <v>511</v>
      </c>
      <c r="E28" s="105"/>
      <c r="F28" s="106">
        <v>270400</v>
      </c>
      <c r="G28" s="106">
        <f t="shared" si="4"/>
        <v>270400</v>
      </c>
      <c r="H28" s="105"/>
      <c r="I28" s="106"/>
      <c r="J28" s="106"/>
      <c r="K28" s="105"/>
      <c r="L28" s="106"/>
      <c r="M28" s="106"/>
      <c r="N28" s="106">
        <f t="shared" si="7"/>
        <v>270400</v>
      </c>
      <c r="O28" s="107">
        <f t="shared" si="8"/>
        <v>0.65</v>
      </c>
      <c r="P28" s="106">
        <f t="shared" si="9"/>
        <v>175760</v>
      </c>
      <c r="Q28" s="108"/>
      <c r="R28" s="109"/>
      <c r="S28" s="109"/>
      <c r="T28" s="110">
        <f t="shared" si="10"/>
        <v>175760</v>
      </c>
      <c r="U28" s="109">
        <f t="shared" si="11"/>
        <v>175760</v>
      </c>
      <c r="V28" s="111"/>
    </row>
    <row r="29" spans="1:22" ht="13.2" customHeight="1">
      <c r="A29" s="355">
        <v>20</v>
      </c>
      <c r="B29" s="102" t="s">
        <v>529</v>
      </c>
      <c r="C29" s="103">
        <v>1</v>
      </c>
      <c r="D29" s="104" t="s">
        <v>511</v>
      </c>
      <c r="E29" s="105"/>
      <c r="F29" s="106">
        <v>102857</v>
      </c>
      <c r="G29" s="106">
        <f t="shared" si="4"/>
        <v>102857</v>
      </c>
      <c r="H29" s="105"/>
      <c r="I29" s="106"/>
      <c r="J29" s="106"/>
      <c r="K29" s="105"/>
      <c r="L29" s="106"/>
      <c r="M29" s="106"/>
      <c r="N29" s="106">
        <f t="shared" si="7"/>
        <v>102857</v>
      </c>
      <c r="O29" s="107">
        <f t="shared" si="8"/>
        <v>0.65</v>
      </c>
      <c r="P29" s="106">
        <f t="shared" si="9"/>
        <v>66857</v>
      </c>
      <c r="Q29" s="108"/>
      <c r="R29" s="109"/>
      <c r="S29" s="109"/>
      <c r="T29" s="110">
        <f t="shared" si="10"/>
        <v>66857</v>
      </c>
      <c r="U29" s="109">
        <f t="shared" si="11"/>
        <v>66857</v>
      </c>
      <c r="V29" s="109"/>
    </row>
    <row r="30" spans="1:22" ht="13.2" customHeight="1">
      <c r="A30" s="355">
        <v>21</v>
      </c>
      <c r="B30" s="102" t="s">
        <v>530</v>
      </c>
      <c r="C30" s="103">
        <v>1</v>
      </c>
      <c r="D30" s="104" t="s">
        <v>511</v>
      </c>
      <c r="E30" s="105"/>
      <c r="F30" s="106">
        <v>192000</v>
      </c>
      <c r="G30" s="106">
        <f t="shared" si="4"/>
        <v>192000</v>
      </c>
      <c r="H30" s="105"/>
      <c r="I30" s="106"/>
      <c r="J30" s="106"/>
      <c r="K30" s="105"/>
      <c r="L30" s="106"/>
      <c r="M30" s="106"/>
      <c r="N30" s="106">
        <f t="shared" si="7"/>
        <v>192000</v>
      </c>
      <c r="O30" s="107">
        <f t="shared" si="8"/>
        <v>0.65</v>
      </c>
      <c r="P30" s="106">
        <f t="shared" si="9"/>
        <v>124800</v>
      </c>
      <c r="Q30" s="108"/>
      <c r="R30" s="109"/>
      <c r="S30" s="109"/>
      <c r="T30" s="110">
        <f t="shared" si="10"/>
        <v>124800</v>
      </c>
      <c r="U30" s="109">
        <f t="shared" si="11"/>
        <v>124800</v>
      </c>
      <c r="V30" s="111"/>
    </row>
    <row r="31" spans="1:22" ht="13.2" customHeight="1">
      <c r="A31" s="355">
        <v>22</v>
      </c>
      <c r="B31" s="102" t="s">
        <v>531</v>
      </c>
      <c r="C31" s="103">
        <v>1</v>
      </c>
      <c r="D31" s="104" t="s">
        <v>511</v>
      </c>
      <c r="E31" s="105"/>
      <c r="F31" s="106">
        <v>360000</v>
      </c>
      <c r="G31" s="106">
        <f t="shared" si="4"/>
        <v>360000</v>
      </c>
      <c r="H31" s="105"/>
      <c r="I31" s="106"/>
      <c r="J31" s="106"/>
      <c r="K31" s="105"/>
      <c r="L31" s="106"/>
      <c r="M31" s="106"/>
      <c r="N31" s="106">
        <f t="shared" si="7"/>
        <v>360000</v>
      </c>
      <c r="O31" s="107">
        <f t="shared" si="8"/>
        <v>0.65</v>
      </c>
      <c r="P31" s="106">
        <f t="shared" si="9"/>
        <v>234000</v>
      </c>
      <c r="Q31" s="108"/>
      <c r="R31" s="109"/>
      <c r="S31" s="109"/>
      <c r="T31" s="110">
        <f t="shared" si="10"/>
        <v>234000</v>
      </c>
      <c r="U31" s="109">
        <f t="shared" si="11"/>
        <v>234000</v>
      </c>
      <c r="V31" s="109"/>
    </row>
    <row r="32" spans="1:22" ht="13.2" customHeight="1">
      <c r="A32" s="355">
        <v>23</v>
      </c>
      <c r="B32" s="102" t="s">
        <v>532</v>
      </c>
      <c r="C32" s="103">
        <v>1</v>
      </c>
      <c r="D32" s="104" t="s">
        <v>511</v>
      </c>
      <c r="E32" s="105"/>
      <c r="F32" s="106">
        <v>432000</v>
      </c>
      <c r="G32" s="106">
        <f t="shared" si="4"/>
        <v>432000</v>
      </c>
      <c r="H32" s="105"/>
      <c r="I32" s="106"/>
      <c r="J32" s="106"/>
      <c r="K32" s="105"/>
      <c r="L32" s="106"/>
      <c r="M32" s="106"/>
      <c r="N32" s="106">
        <f t="shared" si="7"/>
        <v>432000</v>
      </c>
      <c r="O32" s="107">
        <f t="shared" si="8"/>
        <v>0.65</v>
      </c>
      <c r="P32" s="106">
        <f t="shared" si="9"/>
        <v>280800</v>
      </c>
      <c r="Q32" s="108"/>
      <c r="R32" s="109"/>
      <c r="S32" s="109"/>
      <c r="T32" s="110">
        <f t="shared" si="10"/>
        <v>280800</v>
      </c>
      <c r="U32" s="109">
        <f t="shared" si="11"/>
        <v>280800</v>
      </c>
      <c r="V32" s="111"/>
    </row>
    <row r="33" spans="1:22" ht="13.2" customHeight="1">
      <c r="A33" s="355">
        <v>24</v>
      </c>
      <c r="B33" s="102" t="s">
        <v>533</v>
      </c>
      <c r="C33" s="103">
        <v>1</v>
      </c>
      <c r="D33" s="104" t="s">
        <v>511</v>
      </c>
      <c r="E33" s="105"/>
      <c r="F33" s="106">
        <v>420000</v>
      </c>
      <c r="G33" s="106">
        <f t="shared" si="4"/>
        <v>420000</v>
      </c>
      <c r="H33" s="105"/>
      <c r="I33" s="106"/>
      <c r="J33" s="106"/>
      <c r="K33" s="105"/>
      <c r="L33" s="106"/>
      <c r="M33" s="106"/>
      <c r="N33" s="106">
        <f t="shared" si="7"/>
        <v>420000</v>
      </c>
      <c r="O33" s="107">
        <f t="shared" si="8"/>
        <v>0.65</v>
      </c>
      <c r="P33" s="106">
        <f t="shared" si="9"/>
        <v>273000</v>
      </c>
      <c r="Q33" s="108"/>
      <c r="R33" s="109"/>
      <c r="S33" s="109"/>
      <c r="T33" s="110">
        <f t="shared" si="10"/>
        <v>273000</v>
      </c>
      <c r="U33" s="109">
        <f t="shared" si="11"/>
        <v>273000</v>
      </c>
      <c r="V33" s="111"/>
    </row>
    <row r="34" spans="1:22" ht="13.2" customHeight="1">
      <c r="A34" s="355">
        <v>25</v>
      </c>
      <c r="B34" s="102" t="s">
        <v>535</v>
      </c>
      <c r="C34" s="103">
        <v>1</v>
      </c>
      <c r="D34" s="104" t="s">
        <v>511</v>
      </c>
      <c r="E34" s="105"/>
      <c r="F34" s="106">
        <v>3624000</v>
      </c>
      <c r="G34" s="106">
        <f t="shared" si="4"/>
        <v>3624000</v>
      </c>
      <c r="H34" s="105"/>
      <c r="I34" s="106"/>
      <c r="J34" s="106"/>
      <c r="K34" s="105"/>
      <c r="L34" s="106"/>
      <c r="M34" s="106"/>
      <c r="N34" s="106">
        <f t="shared" ref="N34:N38" si="14">IF($N$6=" "," ",IF($N$6=$E$7,F34,IF($N$6=$H$7,I34,IF($N$6=$K$7,L34,0))))</f>
        <v>3624000</v>
      </c>
      <c r="O34" s="107">
        <f t="shared" ref="O34:O38" si="15">IF(OR(N34=" ",N34=0)," ",$O$9)</f>
        <v>0.65</v>
      </c>
      <c r="P34" s="106">
        <f t="shared" ref="P34:P38" si="16">IF(OR(N34=" ",N34=0)," ",+ROUNDDOWN(N34*O34,0))</f>
        <v>2355600</v>
      </c>
      <c r="Q34" s="108"/>
      <c r="R34" s="109"/>
      <c r="S34" s="109"/>
      <c r="T34" s="110">
        <f t="shared" si="10"/>
        <v>2355600</v>
      </c>
      <c r="U34" s="109">
        <f t="shared" si="11"/>
        <v>2355600</v>
      </c>
      <c r="V34" s="109"/>
    </row>
    <row r="35" spans="1:22" ht="13.2" customHeight="1">
      <c r="A35" s="355">
        <v>26</v>
      </c>
      <c r="B35" s="102" t="s">
        <v>536</v>
      </c>
      <c r="C35" s="103">
        <v>1</v>
      </c>
      <c r="D35" s="104" t="s">
        <v>511</v>
      </c>
      <c r="E35" s="105"/>
      <c r="F35" s="106">
        <v>866000</v>
      </c>
      <c r="G35" s="106">
        <f t="shared" si="4"/>
        <v>866000</v>
      </c>
      <c r="H35" s="105"/>
      <c r="I35" s="106"/>
      <c r="J35" s="106"/>
      <c r="K35" s="105"/>
      <c r="L35" s="106"/>
      <c r="M35" s="106"/>
      <c r="N35" s="106">
        <f t="shared" si="14"/>
        <v>866000</v>
      </c>
      <c r="O35" s="107">
        <f t="shared" si="15"/>
        <v>0.65</v>
      </c>
      <c r="P35" s="106">
        <f t="shared" si="16"/>
        <v>562900</v>
      </c>
      <c r="Q35" s="108"/>
      <c r="R35" s="109"/>
      <c r="S35" s="109"/>
      <c r="T35" s="110">
        <f t="shared" si="10"/>
        <v>562900</v>
      </c>
      <c r="U35" s="109">
        <f t="shared" si="11"/>
        <v>562900</v>
      </c>
      <c r="V35" s="111"/>
    </row>
    <row r="36" spans="1:22" ht="13.2" customHeight="1">
      <c r="A36" s="355">
        <v>27</v>
      </c>
      <c r="B36" s="102" t="s">
        <v>537</v>
      </c>
      <c r="C36" s="103">
        <v>1</v>
      </c>
      <c r="D36" s="104" t="s">
        <v>511</v>
      </c>
      <c r="E36" s="105"/>
      <c r="F36" s="106">
        <v>182000</v>
      </c>
      <c r="G36" s="106">
        <f t="shared" si="4"/>
        <v>182000</v>
      </c>
      <c r="H36" s="105"/>
      <c r="I36" s="106"/>
      <c r="J36" s="106"/>
      <c r="K36" s="105"/>
      <c r="L36" s="106"/>
      <c r="M36" s="106"/>
      <c r="N36" s="106">
        <f t="shared" si="14"/>
        <v>182000</v>
      </c>
      <c r="O36" s="107">
        <f t="shared" si="15"/>
        <v>0.65</v>
      </c>
      <c r="P36" s="106">
        <f t="shared" si="16"/>
        <v>118300</v>
      </c>
      <c r="Q36" s="108"/>
      <c r="R36" s="109"/>
      <c r="S36" s="109"/>
      <c r="T36" s="110">
        <f t="shared" si="10"/>
        <v>118300</v>
      </c>
      <c r="U36" s="109">
        <f t="shared" si="11"/>
        <v>118300</v>
      </c>
      <c r="V36" s="109"/>
    </row>
    <row r="37" spans="1:22" ht="13.2" customHeight="1">
      <c r="A37" s="355">
        <v>28</v>
      </c>
      <c r="B37" s="102" t="s">
        <v>538</v>
      </c>
      <c r="C37" s="103">
        <v>1</v>
      </c>
      <c r="D37" s="104" t="s">
        <v>511</v>
      </c>
      <c r="E37" s="105"/>
      <c r="F37" s="106">
        <v>222000</v>
      </c>
      <c r="G37" s="106">
        <f t="shared" si="4"/>
        <v>222000</v>
      </c>
      <c r="H37" s="105"/>
      <c r="I37" s="106"/>
      <c r="J37" s="106"/>
      <c r="K37" s="105"/>
      <c r="L37" s="106"/>
      <c r="M37" s="106"/>
      <c r="N37" s="106">
        <f t="shared" si="14"/>
        <v>222000</v>
      </c>
      <c r="O37" s="107">
        <f t="shared" si="15"/>
        <v>0.65</v>
      </c>
      <c r="P37" s="106">
        <f t="shared" si="16"/>
        <v>144300</v>
      </c>
      <c r="Q37" s="108"/>
      <c r="R37" s="109"/>
      <c r="S37" s="109"/>
      <c r="T37" s="110">
        <f t="shared" si="10"/>
        <v>144300</v>
      </c>
      <c r="U37" s="109">
        <f t="shared" si="11"/>
        <v>144300</v>
      </c>
      <c r="V37" s="111"/>
    </row>
    <row r="38" spans="1:22" ht="13.2" customHeight="1">
      <c r="A38" s="355">
        <v>29</v>
      </c>
      <c r="B38" s="102" t="s">
        <v>539</v>
      </c>
      <c r="C38" s="103">
        <v>1</v>
      </c>
      <c r="D38" s="104" t="s">
        <v>511</v>
      </c>
      <c r="E38" s="105"/>
      <c r="F38" s="106">
        <v>333000</v>
      </c>
      <c r="G38" s="106">
        <f t="shared" si="4"/>
        <v>333000</v>
      </c>
      <c r="H38" s="105"/>
      <c r="I38" s="106"/>
      <c r="J38" s="106"/>
      <c r="K38" s="105"/>
      <c r="L38" s="106"/>
      <c r="M38" s="106"/>
      <c r="N38" s="106">
        <f t="shared" si="14"/>
        <v>333000</v>
      </c>
      <c r="O38" s="107">
        <f t="shared" si="15"/>
        <v>0.65</v>
      </c>
      <c r="P38" s="106">
        <f t="shared" si="16"/>
        <v>216450</v>
      </c>
      <c r="Q38" s="108"/>
      <c r="R38" s="109"/>
      <c r="S38" s="109"/>
      <c r="T38" s="110">
        <f t="shared" si="10"/>
        <v>216450</v>
      </c>
      <c r="U38" s="109">
        <f t="shared" si="11"/>
        <v>216450</v>
      </c>
      <c r="V38" s="111"/>
    </row>
    <row r="39" spans="1:22" ht="13.2" customHeight="1">
      <c r="A39" s="355">
        <v>30</v>
      </c>
      <c r="B39" s="102" t="s">
        <v>540</v>
      </c>
      <c r="C39" s="103">
        <v>1</v>
      </c>
      <c r="D39" s="104" t="s">
        <v>511</v>
      </c>
      <c r="E39" s="105"/>
      <c r="F39" s="106">
        <v>91000</v>
      </c>
      <c r="G39" s="106">
        <f t="shared" si="4"/>
        <v>91000</v>
      </c>
      <c r="H39" s="105"/>
      <c r="I39" s="106"/>
      <c r="J39" s="106"/>
      <c r="K39" s="105"/>
      <c r="L39" s="106"/>
      <c r="M39" s="106"/>
      <c r="N39" s="106">
        <f t="shared" ref="N39" si="17">IF($N$6=" "," ",IF($N$6=$E$7,F39,IF($N$6=$H$7,I39,IF($N$6=$K$7,L39,0))))</f>
        <v>91000</v>
      </c>
      <c r="O39" s="107">
        <f t="shared" ref="O39" si="18">IF(OR(N39=" ",N39=0)," ",$O$9)</f>
        <v>0.65</v>
      </c>
      <c r="P39" s="106">
        <f t="shared" ref="P39" si="19">IF(OR(N39=" ",N39=0)," ",+ROUNDDOWN(N39*O39,0))</f>
        <v>59150</v>
      </c>
      <c r="Q39" s="108"/>
      <c r="R39" s="109"/>
      <c r="S39" s="109"/>
      <c r="T39" s="110">
        <f t="shared" si="10"/>
        <v>59150</v>
      </c>
      <c r="U39" s="109">
        <f t="shared" si="11"/>
        <v>59150</v>
      </c>
      <c r="V39" s="111"/>
    </row>
    <row r="40" spans="1:22" ht="13.2" customHeight="1">
      <c r="A40" s="105"/>
      <c r="B40" s="112" t="s">
        <v>89</v>
      </c>
      <c r="C40" s="103"/>
      <c r="D40" s="103"/>
      <c r="E40" s="105"/>
      <c r="F40" s="105"/>
      <c r="G40" s="106">
        <f>SUM(G10:G39)</f>
        <v>13878000</v>
      </c>
      <c r="H40" s="105"/>
      <c r="I40" s="105"/>
      <c r="J40" s="106" t="str">
        <f>IF(H7=0," ",SUM(J10:J22))</f>
        <v xml:space="preserve"> </v>
      </c>
      <c r="K40" s="105"/>
      <c r="L40" s="105"/>
      <c r="M40" s="106" t="str">
        <f>IF(K7=0," ",SUM(M10:M22))</f>
        <v xml:space="preserve"> </v>
      </c>
      <c r="N40" s="105"/>
      <c r="O40" s="105"/>
      <c r="P40" s="106"/>
      <c r="Q40" s="113"/>
      <c r="R40" s="109">
        <f>Q40*R9</f>
        <v>0</v>
      </c>
      <c r="S40" s="109">
        <f>R40*$M$5</f>
        <v>0</v>
      </c>
      <c r="T40" s="110"/>
      <c r="U40" s="109"/>
      <c r="V40" s="109"/>
    </row>
  </sheetData>
  <mergeCells count="20">
    <mergeCell ref="O7:O8"/>
    <mergeCell ref="E8:E9"/>
    <mergeCell ref="F8:F9"/>
    <mergeCell ref="G8:G9"/>
    <mergeCell ref="H8:H9"/>
    <mergeCell ref="I8:I9"/>
    <mergeCell ref="J8:J9"/>
    <mergeCell ref="K8:K9"/>
    <mergeCell ref="L8:L9"/>
    <mergeCell ref="M8:M9"/>
    <mergeCell ref="E7:G7"/>
    <mergeCell ref="H7:J7"/>
    <mergeCell ref="K7:M7"/>
    <mergeCell ref="A1:V1"/>
    <mergeCell ref="Q6:R6"/>
    <mergeCell ref="B2:G2"/>
    <mergeCell ref="D4:E4"/>
    <mergeCell ref="N5:P5"/>
    <mergeCell ref="E6:M6"/>
    <mergeCell ref="N6:P6"/>
  </mergeCells>
  <phoneticPr fontId="48"/>
  <printOptions horizontalCentered="1" verticalCentered="1"/>
  <pageMargins left="0.70866141732283472" right="0.70866141732283472" top="0.74803149606299213" bottom="0.74803149606299213" header="0.31496062992125984" footer="0.31496062992125984"/>
  <pageSetup paperSize="9" scale="95" orientation="landscape"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E263A-418A-4A08-9D5A-C4C789B38823}">
  <sheetPr>
    <tabColor theme="9"/>
  </sheetPr>
  <dimension ref="A1:V25"/>
  <sheetViews>
    <sheetView showZeros="0" view="pageBreakPreview" zoomScale="120" zoomScaleNormal="100" zoomScaleSheetLayoutView="120" workbookViewId="0">
      <selection activeCell="B10" sqref="B10"/>
    </sheetView>
  </sheetViews>
  <sheetFormatPr defaultColWidth="9" defaultRowHeight="9.6"/>
  <cols>
    <col min="1" max="1" width="4.6640625" style="68" customWidth="1"/>
    <col min="2" max="2" width="10.77734375" style="68" customWidth="1"/>
    <col min="3" max="5" width="2.88671875" style="68" customWidth="1"/>
    <col min="6" max="6" width="6.21875" style="68" customWidth="1"/>
    <col min="7" max="7" width="7.44140625" style="68" customWidth="1"/>
    <col min="8" max="8" width="2.88671875" style="68" customWidth="1"/>
    <col min="9" max="9" width="6.21875" style="68" customWidth="1"/>
    <col min="10" max="10" width="7.44140625" style="68" customWidth="1"/>
    <col min="11" max="11" width="2.88671875" style="68" customWidth="1"/>
    <col min="12" max="12" width="6.21875" style="68" customWidth="1"/>
    <col min="13" max="13" width="7.44140625" style="68" customWidth="1"/>
    <col min="14" max="14" width="6.21875" style="68" customWidth="1"/>
    <col min="15" max="15" width="2.88671875" style="68" customWidth="1"/>
    <col min="16" max="16" width="6.21875" style="68" customWidth="1"/>
    <col min="17" max="17" width="8.6640625" style="68" bestFit="1" customWidth="1"/>
    <col min="18" max="16384" width="9" style="68"/>
  </cols>
  <sheetData>
    <row r="1" spans="1:22" ht="13.5" customHeight="1">
      <c r="A1" s="64"/>
      <c r="B1" s="65"/>
      <c r="C1" s="66"/>
      <c r="D1" s="66"/>
      <c r="E1" s="66"/>
      <c r="F1" s="66"/>
      <c r="G1" s="66"/>
      <c r="H1" s="66"/>
      <c r="I1" s="66"/>
      <c r="J1" s="66"/>
      <c r="K1" s="66"/>
      <c r="L1" s="66"/>
      <c r="M1" s="66"/>
      <c r="N1" s="66"/>
      <c r="O1" s="66"/>
      <c r="P1" s="66"/>
      <c r="Q1" s="66"/>
      <c r="R1" s="66"/>
      <c r="S1" s="66"/>
      <c r="T1" s="66"/>
      <c r="U1" s="66"/>
      <c r="V1" s="67"/>
    </row>
    <row r="2" spans="1:22" ht="13.5" customHeight="1">
      <c r="A2" s="69" t="s">
        <v>57</v>
      </c>
      <c r="B2" s="689" t="str">
        <f>表紙!A12</f>
        <v>大藪小学校屋内運動場空調設備設置工事</v>
      </c>
      <c r="C2" s="690"/>
      <c r="D2" s="690"/>
      <c r="E2" s="690"/>
      <c r="F2" s="690"/>
      <c r="G2" s="691"/>
      <c r="V2" s="70"/>
    </row>
    <row r="3" spans="1:22">
      <c r="A3" s="69" t="s">
        <v>58</v>
      </c>
      <c r="B3" s="71" t="s">
        <v>110</v>
      </c>
      <c r="C3" s="72"/>
      <c r="D3" s="72"/>
      <c r="E3" s="72"/>
      <c r="F3" s="72"/>
      <c r="G3" s="73"/>
      <c r="V3" s="70"/>
    </row>
    <row r="4" spans="1:22">
      <c r="A4" s="69" t="s">
        <v>59</v>
      </c>
      <c r="D4" s="692">
        <v>70</v>
      </c>
      <c r="E4" s="693"/>
      <c r="F4" s="68" t="s">
        <v>60</v>
      </c>
      <c r="V4" s="70"/>
    </row>
    <row r="5" spans="1:22">
      <c r="A5" s="74"/>
      <c r="B5" s="75" t="s">
        <v>184</v>
      </c>
      <c r="C5" s="75"/>
      <c r="D5" s="75"/>
      <c r="E5" s="75"/>
      <c r="F5" s="75"/>
      <c r="G5" s="75"/>
      <c r="H5" s="75"/>
      <c r="I5" s="75"/>
      <c r="J5" s="75"/>
      <c r="K5" s="75"/>
      <c r="L5" s="75"/>
      <c r="M5" s="75"/>
      <c r="N5" s="694" t="s">
        <v>61</v>
      </c>
      <c r="O5" s="695"/>
      <c r="P5" s="696"/>
      <c r="Q5" s="76"/>
      <c r="R5" s="76"/>
      <c r="S5" s="76"/>
      <c r="T5" s="76"/>
      <c r="U5" s="77" t="s">
        <v>62</v>
      </c>
      <c r="V5" s="78">
        <v>1</v>
      </c>
    </row>
    <row r="6" spans="1:22">
      <c r="A6" s="79"/>
      <c r="B6" s="79"/>
      <c r="C6" s="79"/>
      <c r="D6" s="79"/>
      <c r="E6" s="697" t="s">
        <v>63</v>
      </c>
      <c r="F6" s="698"/>
      <c r="G6" s="698"/>
      <c r="H6" s="698"/>
      <c r="I6" s="698"/>
      <c r="J6" s="698"/>
      <c r="K6" s="698"/>
      <c r="L6" s="698"/>
      <c r="M6" s="699"/>
      <c r="N6" s="700" t="s">
        <v>91</v>
      </c>
      <c r="O6" s="695"/>
      <c r="P6" s="696"/>
      <c r="Q6" s="687" t="s">
        <v>64</v>
      </c>
      <c r="R6" s="688"/>
      <c r="S6" s="80" t="s">
        <v>65</v>
      </c>
      <c r="T6" s="81" t="s">
        <v>66</v>
      </c>
      <c r="U6" s="82" t="s">
        <v>67</v>
      </c>
      <c r="V6" s="82" t="s">
        <v>67</v>
      </c>
    </row>
    <row r="7" spans="1:22" ht="12" customHeight="1">
      <c r="A7" s="83" t="s">
        <v>68</v>
      </c>
      <c r="B7" s="84" t="s">
        <v>69</v>
      </c>
      <c r="C7" s="83" t="s">
        <v>5</v>
      </c>
      <c r="D7" s="83" t="s">
        <v>70</v>
      </c>
      <c r="E7" s="700" t="s">
        <v>91</v>
      </c>
      <c r="F7" s="695"/>
      <c r="G7" s="696"/>
      <c r="H7" s="700" t="s">
        <v>495</v>
      </c>
      <c r="I7" s="695"/>
      <c r="J7" s="696"/>
      <c r="K7" s="700" t="s">
        <v>496</v>
      </c>
      <c r="L7" s="695"/>
      <c r="M7" s="696"/>
      <c r="N7" s="85"/>
      <c r="O7" s="701" t="s">
        <v>71</v>
      </c>
      <c r="P7" s="86" t="s">
        <v>72</v>
      </c>
      <c r="Q7" s="87" t="s">
        <v>73</v>
      </c>
      <c r="R7" s="88" t="s">
        <v>74</v>
      </c>
      <c r="S7" s="80" t="s">
        <v>75</v>
      </c>
      <c r="T7" s="81" t="s">
        <v>76</v>
      </c>
      <c r="U7" s="82" t="s">
        <v>77</v>
      </c>
      <c r="V7" s="82" t="s">
        <v>78</v>
      </c>
    </row>
    <row r="8" spans="1:22" ht="12" customHeight="1">
      <c r="A8" s="79"/>
      <c r="B8" s="79"/>
      <c r="C8" s="79"/>
      <c r="D8" s="79"/>
      <c r="E8" s="703" t="s">
        <v>79</v>
      </c>
      <c r="F8" s="703" t="s">
        <v>80</v>
      </c>
      <c r="G8" s="703" t="s">
        <v>81</v>
      </c>
      <c r="H8" s="703" t="s">
        <v>79</v>
      </c>
      <c r="I8" s="703" t="s">
        <v>80</v>
      </c>
      <c r="J8" s="703" t="s">
        <v>81</v>
      </c>
      <c r="K8" s="703" t="s">
        <v>79</v>
      </c>
      <c r="L8" s="703" t="s">
        <v>80</v>
      </c>
      <c r="M8" s="703" t="s">
        <v>81</v>
      </c>
      <c r="N8" s="89" t="s">
        <v>82</v>
      </c>
      <c r="O8" s="702"/>
      <c r="P8" s="83" t="s">
        <v>83</v>
      </c>
      <c r="Q8" s="90" t="s">
        <v>84</v>
      </c>
      <c r="R8" s="91"/>
      <c r="S8" s="80" t="s">
        <v>85</v>
      </c>
      <c r="T8" s="92" t="s">
        <v>86</v>
      </c>
      <c r="U8" s="93"/>
      <c r="V8" s="93"/>
    </row>
    <row r="9" spans="1:22">
      <c r="A9" s="94"/>
      <c r="B9" s="94"/>
      <c r="C9" s="94"/>
      <c r="D9" s="94"/>
      <c r="E9" s="704"/>
      <c r="F9" s="704"/>
      <c r="G9" s="704"/>
      <c r="H9" s="704"/>
      <c r="I9" s="704"/>
      <c r="J9" s="704"/>
      <c r="K9" s="704"/>
      <c r="L9" s="704"/>
      <c r="M9" s="704"/>
      <c r="N9" s="74"/>
      <c r="O9" s="95">
        <f>D4/100</f>
        <v>0.7</v>
      </c>
      <c r="P9" s="94"/>
      <c r="Q9" s="96" t="s">
        <v>87</v>
      </c>
      <c r="R9" s="97">
        <v>29000</v>
      </c>
      <c r="S9" s="98">
        <v>0.19</v>
      </c>
      <c r="T9" s="99"/>
      <c r="U9" s="100"/>
      <c r="V9" s="100"/>
    </row>
    <row r="10" spans="1:22" ht="27.6" customHeight="1">
      <c r="A10" s="355">
        <v>1</v>
      </c>
      <c r="B10" s="102" t="s">
        <v>312</v>
      </c>
      <c r="C10" s="103">
        <v>1</v>
      </c>
      <c r="D10" s="104" t="s">
        <v>309</v>
      </c>
      <c r="E10" s="105"/>
      <c r="F10" s="106">
        <v>660000</v>
      </c>
      <c r="G10" s="106">
        <f t="shared" ref="G10:G17" si="0">IF(F10=0," ",C10*F10)</f>
        <v>660000</v>
      </c>
      <c r="H10" s="105"/>
      <c r="I10" s="106">
        <f>224000+95000+55000*2+148000*2</f>
        <v>725000</v>
      </c>
      <c r="J10" s="106">
        <f t="shared" ref="J10" si="1">IF(I10=0," ",C10*I10)</f>
        <v>725000</v>
      </c>
      <c r="K10" s="105"/>
      <c r="L10" s="106">
        <f>218000+92000+55000*2+144000*2</f>
        <v>708000</v>
      </c>
      <c r="M10" s="106">
        <f t="shared" ref="M10" si="2">IF(C10=" "," ",C10*L10)</f>
        <v>708000</v>
      </c>
      <c r="N10" s="106">
        <f>IF($N$6=" "," ",IF($N$6=$E$7,F10,IF($N$6=$H$7,I10,IF($N$6=$K$7,L10,0))))</f>
        <v>660000</v>
      </c>
      <c r="O10" s="107">
        <f>IF(OR(N10=" ",N10=0)," ",$O$9)</f>
        <v>0.7</v>
      </c>
      <c r="P10" s="106">
        <f>IF(OR(N10=" ",N10=0)," ",+ROUNDDOWN(N10*O10,0))</f>
        <v>462000</v>
      </c>
      <c r="Q10" s="108">
        <v>1.29</v>
      </c>
      <c r="R10" s="109">
        <f t="shared" ref="R10:R17" si="3">Q10*($R$9)</f>
        <v>37410</v>
      </c>
      <c r="S10" s="109">
        <f t="shared" ref="S10:S17" si="4">R10*0.19</f>
        <v>7107.9</v>
      </c>
      <c r="T10" s="110">
        <f>+P10+R10+S10</f>
        <v>506517.9</v>
      </c>
      <c r="U10" s="109">
        <f>ROUNDDOWN(T10,0)</f>
        <v>506517</v>
      </c>
      <c r="V10" s="109"/>
    </row>
    <row r="11" spans="1:22" ht="27.6" customHeight="1">
      <c r="A11" s="355">
        <v>2</v>
      </c>
      <c r="B11" s="102" t="s">
        <v>214</v>
      </c>
      <c r="C11" s="103">
        <v>1</v>
      </c>
      <c r="D11" s="104" t="s">
        <v>125</v>
      </c>
      <c r="E11" s="105"/>
      <c r="F11" s="106">
        <v>14400</v>
      </c>
      <c r="G11" s="106">
        <f t="shared" si="0"/>
        <v>14400</v>
      </c>
      <c r="H11" s="105"/>
      <c r="I11" s="106">
        <v>16000</v>
      </c>
      <c r="J11" s="106">
        <f>IF(I11=0," ",C11*I11)</f>
        <v>16000</v>
      </c>
      <c r="K11" s="105"/>
      <c r="L11" s="106">
        <v>15000</v>
      </c>
      <c r="M11" s="106">
        <f>IF(C11=" "," ",C11*L11)</f>
        <v>15000</v>
      </c>
      <c r="N11" s="106">
        <f>IF($N$6=" "," ",IF($N$6=$E$7,F11,IF($N$6=$H$7,I11,IF($N$6=$K$7,L11,0))))</f>
        <v>14400</v>
      </c>
      <c r="O11" s="107">
        <f>IF(OR(N11=" ",N11=0)," ",$O$9)</f>
        <v>0.7</v>
      </c>
      <c r="P11" s="106">
        <f>IF(OR(N11=" ",N11=0)," ",+ROUNDDOWN(N11*O11,0))</f>
        <v>10080</v>
      </c>
      <c r="Q11" s="108">
        <v>0.54</v>
      </c>
      <c r="R11" s="109">
        <f t="shared" si="3"/>
        <v>15660.000000000002</v>
      </c>
      <c r="S11" s="109">
        <f t="shared" si="4"/>
        <v>2975.4000000000005</v>
      </c>
      <c r="T11" s="110">
        <f>+P11+R11+S11</f>
        <v>28715.4</v>
      </c>
      <c r="U11" s="109">
        <f t="shared" ref="U11:U17" si="5">ROUNDDOWN(T11,0)</f>
        <v>28715</v>
      </c>
      <c r="V11" s="109"/>
    </row>
    <row r="12" spans="1:22" ht="27.6" customHeight="1">
      <c r="A12" s="355">
        <v>3</v>
      </c>
      <c r="B12" s="102" t="s">
        <v>310</v>
      </c>
      <c r="C12" s="103">
        <v>6</v>
      </c>
      <c r="D12" s="104" t="s">
        <v>215</v>
      </c>
      <c r="E12" s="105"/>
      <c r="F12" s="106">
        <v>25200</v>
      </c>
      <c r="G12" s="106">
        <f t="shared" si="0"/>
        <v>151200</v>
      </c>
      <c r="H12" s="105"/>
      <c r="I12" s="106">
        <v>28000</v>
      </c>
      <c r="J12" s="106">
        <f t="shared" ref="J12:J17" si="6">IF(I12=0," ",C12*I12)</f>
        <v>168000</v>
      </c>
      <c r="K12" s="105"/>
      <c r="L12" s="106">
        <v>27000</v>
      </c>
      <c r="M12" s="106">
        <f t="shared" ref="M12:M17" si="7">IF(C12=" "," ",C12*L12)</f>
        <v>162000</v>
      </c>
      <c r="N12" s="106">
        <f t="shared" ref="N12:N15" si="8">IF($N$6=" "," ",IF($N$6=$E$7,F12,IF($N$6=$H$7,I12,IF($N$6=$K$7,L12,0))))</f>
        <v>25200</v>
      </c>
      <c r="O12" s="107">
        <f t="shared" ref="O12:O15" si="9">IF(OR(N12=" ",N12=0)," ",$O$9)</f>
        <v>0.7</v>
      </c>
      <c r="P12" s="106">
        <f t="shared" ref="P12:P15" si="10">IF(OR(N12=" ",N12=0)," ",+ROUNDDOWN(N12*O12,0))</f>
        <v>17640</v>
      </c>
      <c r="Q12" s="108">
        <v>0.54</v>
      </c>
      <c r="R12" s="109">
        <f t="shared" si="3"/>
        <v>15660.000000000002</v>
      </c>
      <c r="S12" s="109">
        <f t="shared" si="4"/>
        <v>2975.4000000000005</v>
      </c>
      <c r="T12" s="110">
        <f t="shared" ref="T12:T15" si="11">+P12+R12+S12</f>
        <v>36275.4</v>
      </c>
      <c r="U12" s="109">
        <f t="shared" si="5"/>
        <v>36275</v>
      </c>
      <c r="V12" s="109"/>
    </row>
    <row r="13" spans="1:22" ht="27.6" customHeight="1">
      <c r="A13" s="355">
        <v>4</v>
      </c>
      <c r="B13" s="102" t="s">
        <v>313</v>
      </c>
      <c r="C13" s="103">
        <v>10</v>
      </c>
      <c r="D13" s="104" t="s">
        <v>125</v>
      </c>
      <c r="E13" s="105"/>
      <c r="F13" s="106">
        <v>9200</v>
      </c>
      <c r="G13" s="106">
        <f t="shared" si="0"/>
        <v>92000</v>
      </c>
      <c r="H13" s="105"/>
      <c r="I13" s="106">
        <v>11000</v>
      </c>
      <c r="J13" s="106">
        <f t="shared" si="6"/>
        <v>110000</v>
      </c>
      <c r="K13" s="105"/>
      <c r="L13" s="106">
        <v>10000</v>
      </c>
      <c r="M13" s="106">
        <f t="shared" si="7"/>
        <v>100000</v>
      </c>
      <c r="N13" s="106">
        <f>IF($N$6=" "," ",IF($N$6=$E$7,F13,IF($N$6=$H$7,I13,IF($N$6=$K$7,L13,0))))</f>
        <v>9200</v>
      </c>
      <c r="O13" s="107">
        <f>IF(OR(N13=" ",N13=0)," ",$O$9)</f>
        <v>0.7</v>
      </c>
      <c r="P13" s="106">
        <f>IF(OR(N13=" ",N13=0)," ",+ROUNDDOWN(N13*O13,0))</f>
        <v>6440</v>
      </c>
      <c r="Q13" s="108">
        <v>0.54</v>
      </c>
      <c r="R13" s="109">
        <f t="shared" si="3"/>
        <v>15660.000000000002</v>
      </c>
      <c r="S13" s="109">
        <f t="shared" si="4"/>
        <v>2975.4000000000005</v>
      </c>
      <c r="T13" s="110">
        <f>+P13+R13+S13</f>
        <v>25075.4</v>
      </c>
      <c r="U13" s="109">
        <f t="shared" si="5"/>
        <v>25075</v>
      </c>
      <c r="V13" s="109"/>
    </row>
    <row r="14" spans="1:22" ht="27.6" customHeight="1">
      <c r="A14" s="355">
        <v>5</v>
      </c>
      <c r="B14" s="102" t="s">
        <v>314</v>
      </c>
      <c r="C14" s="103">
        <v>32</v>
      </c>
      <c r="D14" s="104" t="s">
        <v>125</v>
      </c>
      <c r="E14" s="105"/>
      <c r="F14" s="106">
        <v>9200</v>
      </c>
      <c r="G14" s="106">
        <f t="shared" si="0"/>
        <v>294400</v>
      </c>
      <c r="H14" s="105"/>
      <c r="I14" s="106">
        <v>11000</v>
      </c>
      <c r="J14" s="106">
        <f t="shared" si="6"/>
        <v>352000</v>
      </c>
      <c r="K14" s="105"/>
      <c r="L14" s="106">
        <v>10000</v>
      </c>
      <c r="M14" s="106">
        <f t="shared" si="7"/>
        <v>320000</v>
      </c>
      <c r="N14" s="106">
        <f t="shared" ref="N14" si="12">IF($N$6=" "," ",IF($N$6=$E$7,F14,IF($N$6=$H$7,I14,IF($N$6=$K$7,L14,0))))</f>
        <v>9200</v>
      </c>
      <c r="O14" s="107">
        <f t="shared" ref="O14" si="13">IF(OR(N14=" ",N14=0)," ",$O$9)</f>
        <v>0.7</v>
      </c>
      <c r="P14" s="106">
        <f t="shared" ref="P14" si="14">IF(OR(N14=" ",N14=0)," ",+ROUNDDOWN(N14*O14,0))</f>
        <v>6440</v>
      </c>
      <c r="Q14" s="108">
        <v>0.54</v>
      </c>
      <c r="R14" s="109">
        <f t="shared" si="3"/>
        <v>15660.000000000002</v>
      </c>
      <c r="S14" s="109">
        <f t="shared" si="4"/>
        <v>2975.4000000000005</v>
      </c>
      <c r="T14" s="110">
        <f t="shared" ref="T14" si="15">+P14+R14+S14</f>
        <v>25075.4</v>
      </c>
      <c r="U14" s="109">
        <f t="shared" si="5"/>
        <v>25075</v>
      </c>
      <c r="V14" s="109"/>
    </row>
    <row r="15" spans="1:22" ht="27.6" customHeight="1">
      <c r="A15" s="355">
        <v>6</v>
      </c>
      <c r="B15" s="102" t="s">
        <v>216</v>
      </c>
      <c r="C15" s="103">
        <v>18</v>
      </c>
      <c r="D15" s="104" t="s">
        <v>125</v>
      </c>
      <c r="E15" s="105"/>
      <c r="F15" s="106">
        <v>60800</v>
      </c>
      <c r="G15" s="106">
        <f t="shared" si="0"/>
        <v>1094400</v>
      </c>
      <c r="H15" s="105"/>
      <c r="I15" s="106">
        <v>67000</v>
      </c>
      <c r="J15" s="106">
        <f t="shared" si="6"/>
        <v>1206000</v>
      </c>
      <c r="K15" s="105"/>
      <c r="L15" s="106">
        <v>65000</v>
      </c>
      <c r="M15" s="106">
        <f t="shared" si="7"/>
        <v>1170000</v>
      </c>
      <c r="N15" s="106">
        <f t="shared" si="8"/>
        <v>60800</v>
      </c>
      <c r="O15" s="107">
        <f t="shared" si="9"/>
        <v>0.7</v>
      </c>
      <c r="P15" s="106">
        <f t="shared" si="10"/>
        <v>42560</v>
      </c>
      <c r="Q15" s="108">
        <v>0.54</v>
      </c>
      <c r="R15" s="109">
        <f t="shared" si="3"/>
        <v>15660.000000000002</v>
      </c>
      <c r="S15" s="109">
        <f t="shared" si="4"/>
        <v>2975.4000000000005</v>
      </c>
      <c r="T15" s="110">
        <f t="shared" si="11"/>
        <v>61195.4</v>
      </c>
      <c r="U15" s="109">
        <f t="shared" si="5"/>
        <v>61195</v>
      </c>
      <c r="V15" s="111"/>
    </row>
    <row r="16" spans="1:22" ht="27.6" customHeight="1">
      <c r="A16" s="355">
        <v>7</v>
      </c>
      <c r="B16" s="102" t="s">
        <v>311</v>
      </c>
      <c r="C16" s="103">
        <v>33</v>
      </c>
      <c r="D16" s="104" t="s">
        <v>125</v>
      </c>
      <c r="E16" s="105"/>
      <c r="F16" s="106">
        <v>18000</v>
      </c>
      <c r="G16" s="106">
        <f t="shared" si="0"/>
        <v>594000</v>
      </c>
      <c r="H16" s="105"/>
      <c r="I16" s="106">
        <v>20000</v>
      </c>
      <c r="J16" s="106">
        <f t="shared" si="6"/>
        <v>660000</v>
      </c>
      <c r="K16" s="105"/>
      <c r="L16" s="106">
        <v>19000</v>
      </c>
      <c r="M16" s="106">
        <f t="shared" si="7"/>
        <v>627000</v>
      </c>
      <c r="N16" s="106">
        <f t="shared" ref="N16" si="16">IF($N$6=" "," ",IF($N$6=$E$7,F16,IF($N$6=$H$7,I16,IF($N$6=$K$7,L16,0))))</f>
        <v>18000</v>
      </c>
      <c r="O16" s="107">
        <f t="shared" ref="O16" si="17">IF(OR(N16=" ",N16=0)," ",$O$9)</f>
        <v>0.7</v>
      </c>
      <c r="P16" s="106">
        <f t="shared" ref="P16" si="18">IF(OR(N16=" ",N16=0)," ",+ROUNDDOWN(N16*O16,0))</f>
        <v>12600</v>
      </c>
      <c r="Q16" s="108">
        <v>0.54</v>
      </c>
      <c r="R16" s="109">
        <f t="shared" si="3"/>
        <v>15660.000000000002</v>
      </c>
      <c r="S16" s="109">
        <f t="shared" si="4"/>
        <v>2975.4000000000005</v>
      </c>
      <c r="T16" s="110">
        <f t="shared" ref="T16" si="19">+P16+R16+S16</f>
        <v>31235.4</v>
      </c>
      <c r="U16" s="109">
        <f t="shared" si="5"/>
        <v>31235</v>
      </c>
      <c r="V16" s="111"/>
    </row>
    <row r="17" spans="1:22" ht="27.6" customHeight="1">
      <c r="A17" s="355">
        <v>8</v>
      </c>
      <c r="B17" s="102" t="s">
        <v>315</v>
      </c>
      <c r="C17" s="103">
        <v>14</v>
      </c>
      <c r="D17" s="104" t="s">
        <v>125</v>
      </c>
      <c r="E17" s="105"/>
      <c r="F17" s="106">
        <v>948100</v>
      </c>
      <c r="G17" s="106">
        <f t="shared" si="0"/>
        <v>13273400</v>
      </c>
      <c r="H17" s="105"/>
      <c r="I17" s="106">
        <v>1050000</v>
      </c>
      <c r="J17" s="106">
        <f t="shared" si="6"/>
        <v>14700000</v>
      </c>
      <c r="K17" s="105"/>
      <c r="L17" s="106">
        <v>1020000</v>
      </c>
      <c r="M17" s="106">
        <f t="shared" si="7"/>
        <v>14280000</v>
      </c>
      <c r="N17" s="106">
        <f t="shared" ref="N17" si="20">IF($N$6=" "," ",IF($N$6=$E$7,F17,IF($N$6=$H$7,I17,IF($N$6=$K$7,L17,0))))</f>
        <v>948100</v>
      </c>
      <c r="O17" s="107">
        <f t="shared" ref="O17" si="21">IF(OR(N17=" ",N17=0)," ",$O$9)</f>
        <v>0.7</v>
      </c>
      <c r="P17" s="106">
        <f t="shared" ref="P17" si="22">IF(OR(N17=" ",N17=0)," ",+ROUNDDOWN(N17*O17,0))</f>
        <v>663670</v>
      </c>
      <c r="Q17" s="108">
        <v>0.54</v>
      </c>
      <c r="R17" s="109">
        <f t="shared" si="3"/>
        <v>15660.000000000002</v>
      </c>
      <c r="S17" s="109">
        <f t="shared" si="4"/>
        <v>2975.4000000000005</v>
      </c>
      <c r="T17" s="110">
        <f t="shared" ref="T17" si="23">+P17+R17+S17</f>
        <v>682305.4</v>
      </c>
      <c r="U17" s="109">
        <f t="shared" si="5"/>
        <v>682305</v>
      </c>
      <c r="V17" s="111"/>
    </row>
    <row r="18" spans="1:22" ht="27.6" customHeight="1">
      <c r="A18" s="355"/>
      <c r="B18" s="102"/>
      <c r="C18" s="103"/>
      <c r="D18" s="104"/>
      <c r="E18" s="105"/>
      <c r="F18" s="106"/>
      <c r="G18" s="106"/>
      <c r="H18" s="105"/>
      <c r="I18" s="106"/>
      <c r="J18" s="106"/>
      <c r="K18" s="105"/>
      <c r="L18" s="106"/>
      <c r="M18" s="106"/>
      <c r="N18" s="106"/>
      <c r="O18" s="107"/>
      <c r="P18" s="106"/>
      <c r="Q18" s="108"/>
      <c r="R18" s="109"/>
      <c r="S18" s="109"/>
      <c r="T18" s="110"/>
      <c r="U18" s="109"/>
      <c r="V18" s="111"/>
    </row>
    <row r="19" spans="1:22" ht="27.6" customHeight="1">
      <c r="A19" s="355"/>
      <c r="B19" s="102"/>
      <c r="C19" s="103"/>
      <c r="D19" s="104"/>
      <c r="E19" s="105"/>
      <c r="F19" s="106"/>
      <c r="G19" s="106"/>
      <c r="H19" s="105"/>
      <c r="I19" s="106"/>
      <c r="J19" s="106"/>
      <c r="K19" s="105"/>
      <c r="L19" s="106"/>
      <c r="M19" s="106"/>
      <c r="N19" s="106"/>
      <c r="O19" s="107"/>
      <c r="P19" s="106"/>
      <c r="Q19" s="108"/>
      <c r="R19" s="109"/>
      <c r="S19" s="109"/>
      <c r="T19" s="110"/>
      <c r="U19" s="109"/>
      <c r="V19" s="111"/>
    </row>
    <row r="20" spans="1:22" ht="27.6" customHeight="1">
      <c r="A20" s="355"/>
      <c r="B20" s="102"/>
      <c r="C20" s="103"/>
      <c r="D20" s="104"/>
      <c r="E20" s="105"/>
      <c r="F20" s="106"/>
      <c r="G20" s="106"/>
      <c r="H20" s="105"/>
      <c r="I20" s="106"/>
      <c r="J20" s="106"/>
      <c r="K20" s="105"/>
      <c r="L20" s="106"/>
      <c r="M20" s="106"/>
      <c r="N20" s="106"/>
      <c r="O20" s="107"/>
      <c r="P20" s="106"/>
      <c r="Q20" s="108"/>
      <c r="R20" s="109"/>
      <c r="S20" s="109"/>
      <c r="T20" s="110"/>
      <c r="U20" s="109"/>
      <c r="V20" s="111"/>
    </row>
    <row r="21" spans="1:22" ht="27.6" customHeight="1">
      <c r="A21" s="355"/>
      <c r="B21" s="102"/>
      <c r="C21" s="103"/>
      <c r="D21" s="104"/>
      <c r="E21" s="105"/>
      <c r="F21" s="106"/>
      <c r="G21" s="106"/>
      <c r="H21" s="105"/>
      <c r="I21" s="106"/>
      <c r="J21" s="106"/>
      <c r="K21" s="105"/>
      <c r="L21" s="106"/>
      <c r="M21" s="106"/>
      <c r="N21" s="106"/>
      <c r="O21" s="107"/>
      <c r="P21" s="106"/>
      <c r="Q21" s="108"/>
      <c r="R21" s="109"/>
      <c r="S21" s="109"/>
      <c r="T21" s="110"/>
      <c r="U21" s="109"/>
      <c r="V21" s="109"/>
    </row>
    <row r="22" spans="1:22" ht="27.6" customHeight="1">
      <c r="A22" s="355"/>
      <c r="B22" s="102"/>
      <c r="C22" s="103"/>
      <c r="D22" s="104"/>
      <c r="E22" s="105"/>
      <c r="F22" s="106"/>
      <c r="G22" s="106"/>
      <c r="H22" s="105"/>
      <c r="I22" s="106"/>
      <c r="J22" s="106"/>
      <c r="K22" s="105"/>
      <c r="L22" s="106"/>
      <c r="M22" s="106"/>
      <c r="N22" s="106"/>
      <c r="O22" s="107"/>
      <c r="P22" s="106"/>
      <c r="Q22" s="108"/>
      <c r="R22" s="109"/>
      <c r="S22" s="109"/>
      <c r="T22" s="110"/>
      <c r="U22" s="109"/>
      <c r="V22" s="111"/>
    </row>
    <row r="23" spans="1:22" ht="27.6" customHeight="1">
      <c r="A23" s="101"/>
      <c r="B23" s="102"/>
      <c r="C23" s="103"/>
      <c r="D23" s="104"/>
      <c r="E23" s="105"/>
      <c r="F23" s="106"/>
      <c r="G23" s="106"/>
      <c r="H23" s="105"/>
      <c r="I23" s="106"/>
      <c r="J23" s="106"/>
      <c r="K23" s="105"/>
      <c r="L23" s="106"/>
      <c r="M23" s="106"/>
      <c r="N23" s="106"/>
      <c r="O23" s="107"/>
      <c r="P23" s="106"/>
      <c r="Q23" s="108"/>
      <c r="R23" s="109"/>
      <c r="S23" s="109"/>
      <c r="T23" s="110"/>
      <c r="U23" s="109"/>
      <c r="V23" s="109"/>
    </row>
    <row r="24" spans="1:22" ht="27.6" customHeight="1">
      <c r="A24" s="101"/>
      <c r="B24" s="102"/>
      <c r="C24" s="103"/>
      <c r="D24" s="104"/>
      <c r="E24" s="105"/>
      <c r="F24" s="106"/>
      <c r="G24" s="106"/>
      <c r="H24" s="105"/>
      <c r="I24" s="106"/>
      <c r="J24" s="106"/>
      <c r="K24" s="105"/>
      <c r="L24" s="106"/>
      <c r="M24" s="106"/>
      <c r="N24" s="106"/>
      <c r="O24" s="107"/>
      <c r="P24" s="106"/>
      <c r="Q24" s="108"/>
      <c r="R24" s="109"/>
      <c r="S24" s="109"/>
      <c r="T24" s="110"/>
      <c r="U24" s="109"/>
      <c r="V24" s="111"/>
    </row>
    <row r="25" spans="1:22" ht="27.6" customHeight="1">
      <c r="A25" s="105"/>
      <c r="B25" s="112" t="s">
        <v>89</v>
      </c>
      <c r="C25" s="103"/>
      <c r="D25" s="103"/>
      <c r="E25" s="105"/>
      <c r="F25" s="105"/>
      <c r="G25" s="106">
        <f>SUM(G11:G24)</f>
        <v>15513800</v>
      </c>
      <c r="H25" s="105"/>
      <c r="I25" s="105"/>
      <c r="J25" s="106">
        <f>IF(H7=0," ",SUM(J11:J24))</f>
        <v>17212000</v>
      </c>
      <c r="K25" s="105"/>
      <c r="L25" s="105"/>
      <c r="M25" s="106">
        <f>IF(K7=0," ",SUM(M11:M24))</f>
        <v>16674000</v>
      </c>
      <c r="N25" s="105"/>
      <c r="O25" s="105"/>
      <c r="P25" s="106"/>
      <c r="Q25" s="113"/>
      <c r="R25" s="109">
        <f>Q25*R9</f>
        <v>0</v>
      </c>
      <c r="S25" s="109">
        <f>R25*$M$5</f>
        <v>0</v>
      </c>
      <c r="T25" s="110"/>
      <c r="U25" s="109"/>
      <c r="V25" s="109"/>
    </row>
  </sheetData>
  <mergeCells count="19">
    <mergeCell ref="O7:O8"/>
    <mergeCell ref="E8:E9"/>
    <mergeCell ref="F8:F9"/>
    <mergeCell ref="G8:G9"/>
    <mergeCell ref="H8:H9"/>
    <mergeCell ref="I8:I9"/>
    <mergeCell ref="J8:J9"/>
    <mergeCell ref="K8:K9"/>
    <mergeCell ref="L8:L9"/>
    <mergeCell ref="M8:M9"/>
    <mergeCell ref="E7:G7"/>
    <mergeCell ref="H7:J7"/>
    <mergeCell ref="K7:M7"/>
    <mergeCell ref="Q6:R6"/>
    <mergeCell ref="B2:G2"/>
    <mergeCell ref="D4:E4"/>
    <mergeCell ref="N5:P5"/>
    <mergeCell ref="E6:M6"/>
    <mergeCell ref="N6:P6"/>
  </mergeCells>
  <phoneticPr fontId="48"/>
  <printOptions horizontalCentered="1" verticalCentered="1"/>
  <pageMargins left="0.70866141732283472" right="0.70866141732283472" top="0.74803149606299213" bottom="0.74803149606299213" header="0.31496062992125984" footer="0.31496062992125984"/>
  <pageSetup paperSize="9" scale="95" orientation="landscape"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A489C-EBEF-4696-9619-2CEA680D75F5}">
  <sheetPr>
    <tabColor theme="6" tint="-0.249977111117893"/>
  </sheetPr>
  <dimension ref="A1:R69"/>
  <sheetViews>
    <sheetView showZeros="0" view="pageBreakPreview" topLeftCell="A33" zoomScale="120" zoomScaleNormal="100" zoomScaleSheetLayoutView="120" workbookViewId="0">
      <selection activeCell="F52" sqref="F52"/>
    </sheetView>
  </sheetViews>
  <sheetFormatPr defaultColWidth="9" defaultRowHeight="12"/>
  <cols>
    <col min="1" max="1" width="5.88671875" style="217" customWidth="1"/>
    <col min="2" max="2" width="28.6640625" style="217" customWidth="1"/>
    <col min="3" max="3" width="25.88671875" style="217" customWidth="1"/>
    <col min="4" max="4" width="9.6640625" style="217" customWidth="1"/>
    <col min="5" max="5" width="5.6640625" style="217" customWidth="1"/>
    <col min="6" max="6" width="11.6640625" style="217" customWidth="1"/>
    <col min="7" max="7" width="15.88671875" style="217" customWidth="1"/>
    <col min="8" max="8" width="26.88671875" style="217" customWidth="1"/>
    <col min="9" max="9" width="9" style="218"/>
    <col min="10" max="10" width="12.77734375" style="219" bestFit="1" customWidth="1"/>
    <col min="11" max="16384" width="9" style="217"/>
  </cols>
  <sheetData>
    <row r="1" spans="1:18" s="117" customFormat="1" ht="12" customHeight="1">
      <c r="A1" s="709" t="s">
        <v>260</v>
      </c>
      <c r="B1" s="709"/>
      <c r="C1" s="115" t="s">
        <v>259</v>
      </c>
      <c r="D1" s="116"/>
      <c r="E1" s="116"/>
      <c r="G1" s="116"/>
      <c r="H1" s="116"/>
      <c r="I1" s="118"/>
      <c r="K1" s="119"/>
      <c r="L1" s="120"/>
      <c r="M1" s="119"/>
      <c r="N1" s="119"/>
      <c r="O1" s="119"/>
      <c r="P1" s="119"/>
      <c r="Q1" s="119"/>
      <c r="R1" s="119"/>
    </row>
    <row r="2" spans="1:18" s="117" customFormat="1" ht="12" customHeight="1">
      <c r="A2" s="115"/>
      <c r="B2" s="115"/>
      <c r="C2" s="121" t="str">
        <f>表紙!A12</f>
        <v>大藪小学校屋内運動場空調設備設置工事</v>
      </c>
      <c r="D2" s="114"/>
      <c r="E2" s="116"/>
      <c r="G2" s="116"/>
      <c r="H2" s="216" t="s">
        <v>128</v>
      </c>
      <c r="I2" s="118"/>
      <c r="K2" s="119"/>
      <c r="L2" s="120"/>
      <c r="M2" s="119"/>
      <c r="N2" s="119"/>
      <c r="O2" s="119"/>
      <c r="P2" s="119"/>
      <c r="Q2" s="119"/>
      <c r="R2" s="119"/>
    </row>
    <row r="3" spans="1:18" s="127" customFormat="1" ht="24" customHeight="1">
      <c r="A3" s="122" t="s">
        <v>111</v>
      </c>
      <c r="B3" s="123" t="s">
        <v>112</v>
      </c>
      <c r="C3" s="123" t="s">
        <v>113</v>
      </c>
      <c r="D3" s="124" t="s">
        <v>114</v>
      </c>
      <c r="E3" s="123" t="s">
        <v>115</v>
      </c>
      <c r="F3" s="125" t="s">
        <v>20</v>
      </c>
      <c r="G3" s="123" t="s">
        <v>21</v>
      </c>
      <c r="H3" s="126" t="s">
        <v>116</v>
      </c>
    </row>
    <row r="4" spans="1:18" s="127" customFormat="1" ht="24" customHeight="1">
      <c r="A4" s="128"/>
      <c r="B4" s="129" t="s">
        <v>117</v>
      </c>
      <c r="C4" s="129"/>
      <c r="D4" s="130"/>
      <c r="E4" s="131"/>
      <c r="F4" s="132"/>
      <c r="G4" s="132"/>
      <c r="H4" s="133"/>
    </row>
    <row r="5" spans="1:18" s="127" customFormat="1" ht="24" customHeight="1">
      <c r="A5" s="128"/>
      <c r="B5" s="129" t="s">
        <v>228</v>
      </c>
      <c r="C5" s="129"/>
      <c r="D5" s="130"/>
      <c r="E5" s="131"/>
      <c r="F5" s="132"/>
      <c r="G5" s="132"/>
      <c r="H5" s="133"/>
    </row>
    <row r="6" spans="1:18" s="127" customFormat="1" ht="24" customHeight="1">
      <c r="A6" s="134"/>
      <c r="B6" s="129" t="s">
        <v>567</v>
      </c>
      <c r="C6" s="135"/>
      <c r="D6" s="136"/>
      <c r="E6" s="137"/>
      <c r="F6" s="138"/>
      <c r="G6" s="138"/>
      <c r="H6" s="139"/>
    </row>
    <row r="7" spans="1:18" s="127" customFormat="1" ht="24" customHeight="1">
      <c r="A7" s="140"/>
      <c r="B7" s="135"/>
      <c r="C7" s="135"/>
      <c r="D7" s="141"/>
      <c r="E7" s="137"/>
      <c r="F7" s="132"/>
      <c r="G7" s="132"/>
      <c r="H7" s="139"/>
    </row>
    <row r="8" spans="1:18" s="127" customFormat="1" ht="24" customHeight="1">
      <c r="A8" s="140"/>
      <c r="B8" s="129" t="s">
        <v>224</v>
      </c>
      <c r="C8" s="635" t="s">
        <v>303</v>
      </c>
      <c r="D8" s="141">
        <v>232</v>
      </c>
      <c r="E8" s="137" t="s">
        <v>118</v>
      </c>
      <c r="F8" s="132">
        <v>10030</v>
      </c>
      <c r="G8" s="132">
        <f t="shared" ref="G8" si="0">D8*F8</f>
        <v>2326960</v>
      </c>
      <c r="H8" s="139" t="s">
        <v>555</v>
      </c>
    </row>
    <row r="9" spans="1:18" s="127" customFormat="1" ht="24" customHeight="1">
      <c r="A9" s="140"/>
      <c r="B9" s="129" t="s">
        <v>224</v>
      </c>
      <c r="C9" s="635" t="s">
        <v>568</v>
      </c>
      <c r="D9" s="141"/>
      <c r="E9" s="137" t="s">
        <v>118</v>
      </c>
      <c r="F9" s="132"/>
      <c r="G9" s="132">
        <f t="shared" ref="G9" si="1">D9*F9</f>
        <v>0</v>
      </c>
      <c r="H9" s="139" t="s">
        <v>555</v>
      </c>
    </row>
    <row r="10" spans="1:18" s="127" customFormat="1" ht="24" customHeight="1">
      <c r="A10" s="140"/>
      <c r="B10" s="129"/>
      <c r="C10" s="635"/>
      <c r="D10" s="141"/>
      <c r="E10" s="137"/>
      <c r="F10" s="132"/>
      <c r="G10" s="132"/>
      <c r="H10" s="139"/>
    </row>
    <row r="11" spans="1:18" s="127" customFormat="1" ht="24" customHeight="1">
      <c r="A11" s="128"/>
      <c r="B11" s="135"/>
      <c r="C11" s="135"/>
      <c r="D11" s="141"/>
      <c r="E11" s="137"/>
      <c r="F11" s="132"/>
      <c r="G11" s="132"/>
      <c r="H11" s="139"/>
    </row>
    <row r="12" spans="1:18" s="127" customFormat="1" ht="24" customHeight="1">
      <c r="A12" s="128"/>
      <c r="B12" s="135"/>
      <c r="C12" s="135"/>
      <c r="D12" s="141"/>
      <c r="E12" s="137"/>
      <c r="F12" s="132"/>
      <c r="G12" s="132"/>
      <c r="H12" s="139"/>
    </row>
    <row r="13" spans="1:18" s="127" customFormat="1" ht="24" customHeight="1">
      <c r="A13" s="128"/>
      <c r="B13" s="135"/>
      <c r="C13" s="135"/>
      <c r="D13" s="141"/>
      <c r="E13" s="137"/>
      <c r="F13" s="132"/>
      <c r="G13" s="132"/>
      <c r="H13" s="139"/>
    </row>
    <row r="14" spans="1:18" s="127" customFormat="1" ht="24" customHeight="1">
      <c r="A14" s="128"/>
      <c r="B14" s="129"/>
      <c r="C14" s="129"/>
      <c r="D14" s="130"/>
      <c r="E14" s="131"/>
      <c r="F14" s="132"/>
      <c r="G14" s="132"/>
      <c r="H14" s="133"/>
    </row>
    <row r="15" spans="1:18" s="127" customFormat="1" ht="24" customHeight="1">
      <c r="A15" s="128"/>
      <c r="B15" s="129" t="s">
        <v>225</v>
      </c>
      <c r="C15" s="135" t="s">
        <v>569</v>
      </c>
      <c r="D15" s="141">
        <v>53</v>
      </c>
      <c r="E15" s="137" t="s">
        <v>118</v>
      </c>
      <c r="F15" s="132">
        <v>5610</v>
      </c>
      <c r="G15" s="132">
        <f>D15*F15</f>
        <v>297330</v>
      </c>
      <c r="H15" s="139" t="s">
        <v>555</v>
      </c>
    </row>
    <row r="16" spans="1:18" s="127" customFormat="1" ht="24" customHeight="1">
      <c r="A16" s="128"/>
      <c r="B16" s="135"/>
      <c r="C16" s="135"/>
      <c r="D16" s="141"/>
      <c r="E16" s="137"/>
      <c r="F16" s="132"/>
      <c r="G16" s="132"/>
      <c r="H16" s="133"/>
    </row>
    <row r="17" spans="1:18" s="127" customFormat="1" ht="24" customHeight="1">
      <c r="A17" s="128"/>
      <c r="B17" s="129" t="s">
        <v>226</v>
      </c>
      <c r="C17" s="135" t="s">
        <v>267</v>
      </c>
      <c r="D17" s="141">
        <v>14</v>
      </c>
      <c r="E17" s="137" t="s">
        <v>118</v>
      </c>
      <c r="F17" s="132">
        <v>2940</v>
      </c>
      <c r="G17" s="132">
        <f>D17*F17</f>
        <v>41160</v>
      </c>
      <c r="H17" s="139" t="s">
        <v>555</v>
      </c>
    </row>
    <row r="18" spans="1:18" s="127" customFormat="1" ht="24" customHeight="1">
      <c r="A18" s="128"/>
      <c r="B18" s="135" t="s">
        <v>122</v>
      </c>
      <c r="C18" s="135" t="s">
        <v>550</v>
      </c>
      <c r="D18" s="141">
        <v>20</v>
      </c>
      <c r="E18" s="137" t="s">
        <v>118</v>
      </c>
      <c r="F18" s="132">
        <v>2430</v>
      </c>
      <c r="G18" s="132">
        <f>D18*F18</f>
        <v>48600</v>
      </c>
      <c r="H18" s="139" t="s">
        <v>555</v>
      </c>
    </row>
    <row r="19" spans="1:18" s="127" customFormat="1" ht="24" customHeight="1">
      <c r="A19" s="128"/>
      <c r="B19" s="135" t="s">
        <v>227</v>
      </c>
      <c r="C19" s="135" t="s">
        <v>551</v>
      </c>
      <c r="D19" s="141">
        <v>24</v>
      </c>
      <c r="E19" s="137" t="s">
        <v>118</v>
      </c>
      <c r="F19" s="132">
        <v>2790</v>
      </c>
      <c r="G19" s="132">
        <f>D19*F19</f>
        <v>66960</v>
      </c>
      <c r="H19" s="139" t="s">
        <v>555</v>
      </c>
    </row>
    <row r="20" spans="1:18" s="127" customFormat="1" ht="24" customHeight="1">
      <c r="A20" s="128"/>
      <c r="B20" s="135"/>
      <c r="C20" s="135"/>
      <c r="D20" s="141"/>
      <c r="E20" s="137"/>
      <c r="F20" s="132"/>
      <c r="G20" s="132"/>
      <c r="H20" s="139"/>
    </row>
    <row r="21" spans="1:18" s="127" customFormat="1" ht="24" customHeight="1">
      <c r="A21" s="128"/>
      <c r="B21" s="135" t="s">
        <v>56</v>
      </c>
      <c r="C21" s="135"/>
      <c r="D21" s="141"/>
      <c r="E21" s="137"/>
      <c r="F21" s="132"/>
      <c r="G21" s="132">
        <f>SUM(G4:G20)</f>
        <v>2781010</v>
      </c>
      <c r="H21" s="139"/>
    </row>
    <row r="22" spans="1:18" s="127" customFormat="1" ht="24" customHeight="1">
      <c r="A22" s="128"/>
      <c r="B22" s="129" t="s">
        <v>119</v>
      </c>
      <c r="C22" s="129"/>
      <c r="D22" s="130"/>
      <c r="E22" s="131"/>
      <c r="F22" s="132"/>
      <c r="G22" s="132">
        <v>-1010</v>
      </c>
      <c r="H22" s="133"/>
    </row>
    <row r="23" spans="1:18" s="127" customFormat="1" ht="24" customHeight="1">
      <c r="A23" s="146"/>
      <c r="B23" s="147" t="s">
        <v>120</v>
      </c>
      <c r="C23" s="147"/>
      <c r="D23" s="148"/>
      <c r="E23" s="149"/>
      <c r="F23" s="150"/>
      <c r="G23" s="150">
        <f>G21+G22</f>
        <v>2780000</v>
      </c>
      <c r="H23" s="151"/>
    </row>
    <row r="24" spans="1:18" s="117" customFormat="1" ht="12" customHeight="1">
      <c r="A24" s="709" t="s">
        <v>261</v>
      </c>
      <c r="B24" s="709"/>
      <c r="C24" s="115" t="s">
        <v>262</v>
      </c>
      <c r="D24" s="116"/>
      <c r="E24" s="116"/>
      <c r="G24" s="116"/>
      <c r="H24" s="116"/>
      <c r="I24" s="118"/>
      <c r="K24" s="119"/>
      <c r="L24" s="120"/>
      <c r="M24" s="119"/>
      <c r="N24" s="119"/>
      <c r="O24" s="119"/>
      <c r="P24" s="119"/>
      <c r="Q24" s="119"/>
      <c r="R24" s="119"/>
    </row>
    <row r="25" spans="1:18" s="117" customFormat="1" ht="12" customHeight="1">
      <c r="A25" s="121"/>
      <c r="B25" s="121"/>
      <c r="C25" s="121" t="str">
        <f>C2</f>
        <v>大藪小学校屋内運動場空調設備設置工事</v>
      </c>
      <c r="D25" s="114"/>
      <c r="E25" s="114"/>
      <c r="F25" s="121"/>
      <c r="G25" s="114"/>
      <c r="H25" s="216" t="s">
        <v>129</v>
      </c>
      <c r="I25" s="118"/>
      <c r="K25" s="119"/>
      <c r="L25" s="120"/>
      <c r="M25" s="119"/>
      <c r="N25" s="119"/>
      <c r="O25" s="119"/>
      <c r="P25" s="119"/>
      <c r="Q25" s="119"/>
      <c r="R25" s="119"/>
    </row>
    <row r="26" spans="1:18" s="127" customFormat="1" ht="24" customHeight="1">
      <c r="A26" s="122" t="s">
        <v>111</v>
      </c>
      <c r="B26" s="123" t="s">
        <v>112</v>
      </c>
      <c r="C26" s="123" t="s">
        <v>113</v>
      </c>
      <c r="D26" s="124" t="s">
        <v>114</v>
      </c>
      <c r="E26" s="123" t="s">
        <v>115</v>
      </c>
      <c r="F26" s="125" t="s">
        <v>20</v>
      </c>
      <c r="G26" s="123" t="s">
        <v>21</v>
      </c>
      <c r="H26" s="126" t="s">
        <v>116</v>
      </c>
    </row>
    <row r="27" spans="1:18" s="127" customFormat="1" ht="24" customHeight="1">
      <c r="A27" s="128"/>
      <c r="B27" s="129" t="s">
        <v>121</v>
      </c>
      <c r="C27" s="129"/>
      <c r="D27" s="130"/>
      <c r="E27" s="131"/>
      <c r="F27" s="132"/>
      <c r="G27" s="132"/>
      <c r="H27" s="139"/>
    </row>
    <row r="28" spans="1:18" s="127" customFormat="1" ht="24" customHeight="1">
      <c r="A28" s="134"/>
      <c r="B28" s="129" t="s">
        <v>229</v>
      </c>
      <c r="C28" s="135"/>
      <c r="D28" s="136"/>
      <c r="E28" s="137"/>
      <c r="F28" s="138"/>
      <c r="G28" s="138"/>
      <c r="H28" s="139"/>
    </row>
    <row r="29" spans="1:18" s="127" customFormat="1" ht="24" customHeight="1">
      <c r="A29" s="140"/>
      <c r="B29" s="135"/>
      <c r="C29" s="135"/>
      <c r="D29" s="141"/>
      <c r="E29" s="137"/>
      <c r="F29" s="132"/>
      <c r="G29" s="132"/>
      <c r="H29" s="139"/>
    </row>
    <row r="30" spans="1:18" s="127" customFormat="1" ht="24" customHeight="1">
      <c r="A30" s="142"/>
      <c r="B30" s="135" t="s">
        <v>231</v>
      </c>
      <c r="C30" s="135"/>
      <c r="D30" s="141">
        <v>1</v>
      </c>
      <c r="E30" s="137" t="s">
        <v>55</v>
      </c>
      <c r="F30" s="132">
        <f>架台比較!U10</f>
        <v>506517</v>
      </c>
      <c r="G30" s="132">
        <f>D30*F30</f>
        <v>506517</v>
      </c>
      <c r="H30" s="139" t="s">
        <v>287</v>
      </c>
    </row>
    <row r="31" spans="1:18" s="127" customFormat="1" ht="24" customHeight="1">
      <c r="A31" s="134"/>
      <c r="B31" s="129" t="s">
        <v>230</v>
      </c>
      <c r="C31" s="135"/>
      <c r="D31" s="141">
        <v>1</v>
      </c>
      <c r="E31" s="137" t="s">
        <v>55</v>
      </c>
      <c r="F31" s="132">
        <f>架台比較!U11</f>
        <v>28715</v>
      </c>
      <c r="G31" s="132">
        <f>D31*F31</f>
        <v>28715</v>
      </c>
      <c r="H31" s="139" t="s">
        <v>287</v>
      </c>
    </row>
    <row r="32" spans="1:18" s="127" customFormat="1" ht="24" customHeight="1">
      <c r="A32" s="140"/>
      <c r="B32" s="129" t="s">
        <v>232</v>
      </c>
      <c r="C32" s="135"/>
      <c r="D32" s="141">
        <v>6</v>
      </c>
      <c r="E32" s="137" t="s">
        <v>55</v>
      </c>
      <c r="F32" s="132">
        <f>架台比較!U12</f>
        <v>36275</v>
      </c>
      <c r="G32" s="132">
        <f>D32*F32</f>
        <v>217650</v>
      </c>
      <c r="H32" s="139" t="s">
        <v>287</v>
      </c>
    </row>
    <row r="33" spans="1:18" s="127" customFormat="1" ht="24" customHeight="1">
      <c r="A33" s="140"/>
      <c r="B33" s="129" t="s">
        <v>317</v>
      </c>
      <c r="C33" s="135"/>
      <c r="D33" s="141">
        <v>10</v>
      </c>
      <c r="E33" s="137" t="s">
        <v>55</v>
      </c>
      <c r="F33" s="132">
        <f>架台比較!U13</f>
        <v>25075</v>
      </c>
      <c r="G33" s="132">
        <f t="shared" ref="G33:G34" si="2">D33*F33</f>
        <v>250750</v>
      </c>
      <c r="H33" s="139" t="s">
        <v>287</v>
      </c>
    </row>
    <row r="34" spans="1:18" s="127" customFormat="1" ht="24" customHeight="1">
      <c r="A34" s="140"/>
      <c r="B34" s="129" t="s">
        <v>318</v>
      </c>
      <c r="C34" s="135"/>
      <c r="D34" s="141">
        <v>32</v>
      </c>
      <c r="E34" s="137" t="s">
        <v>55</v>
      </c>
      <c r="F34" s="132">
        <f>架台比較!U14</f>
        <v>25075</v>
      </c>
      <c r="G34" s="132">
        <f t="shared" si="2"/>
        <v>802400</v>
      </c>
      <c r="H34" s="139" t="s">
        <v>287</v>
      </c>
    </row>
    <row r="35" spans="1:18" s="127" customFormat="1" ht="24" customHeight="1">
      <c r="A35" s="140"/>
      <c r="B35" s="129" t="s">
        <v>233</v>
      </c>
      <c r="C35" s="135"/>
      <c r="D35" s="141">
        <v>18</v>
      </c>
      <c r="E35" s="137" t="s">
        <v>55</v>
      </c>
      <c r="F35" s="132">
        <f>架台比較!U15</f>
        <v>61195</v>
      </c>
      <c r="G35" s="132">
        <f>D35*F35</f>
        <v>1101510</v>
      </c>
      <c r="H35" s="139" t="s">
        <v>287</v>
      </c>
    </row>
    <row r="36" spans="1:18" s="127" customFormat="1" ht="24" customHeight="1">
      <c r="A36" s="140"/>
      <c r="B36" s="129" t="s">
        <v>319</v>
      </c>
      <c r="C36" s="135"/>
      <c r="D36" s="141">
        <v>33</v>
      </c>
      <c r="E36" s="137" t="s">
        <v>55</v>
      </c>
      <c r="F36" s="132">
        <f>架台比較!U16</f>
        <v>31235</v>
      </c>
      <c r="G36" s="132">
        <f>D36*F36</f>
        <v>1030755</v>
      </c>
      <c r="H36" s="139" t="s">
        <v>287</v>
      </c>
    </row>
    <row r="37" spans="1:18" s="127" customFormat="1" ht="24" customHeight="1">
      <c r="A37" s="142"/>
      <c r="B37" s="135" t="s">
        <v>305</v>
      </c>
      <c r="C37" s="135"/>
      <c r="D37" s="141">
        <v>14</v>
      </c>
      <c r="E37" s="137" t="s">
        <v>55</v>
      </c>
      <c r="F37" s="132">
        <f>架台比較!U17</f>
        <v>682305</v>
      </c>
      <c r="G37" s="132">
        <f>D37*F37</f>
        <v>9552270</v>
      </c>
      <c r="H37" s="139" t="s">
        <v>287</v>
      </c>
    </row>
    <row r="38" spans="1:18" s="127" customFormat="1" ht="24" customHeight="1">
      <c r="A38" s="128"/>
      <c r="B38" s="135" t="s">
        <v>234</v>
      </c>
      <c r="C38" s="135" t="s">
        <v>283</v>
      </c>
      <c r="D38" s="143">
        <v>0.3</v>
      </c>
      <c r="E38" s="137" t="s">
        <v>236</v>
      </c>
      <c r="F38" s="132">
        <v>40100</v>
      </c>
      <c r="G38" s="132">
        <f t="shared" ref="G38:G40" si="3">D38*F38</f>
        <v>12030</v>
      </c>
      <c r="H38" s="133" t="s">
        <v>555</v>
      </c>
    </row>
    <row r="39" spans="1:18" s="127" customFormat="1" ht="24" customHeight="1">
      <c r="A39" s="128"/>
      <c r="B39" s="135" t="s">
        <v>235</v>
      </c>
      <c r="C39" s="135"/>
      <c r="D39" s="143">
        <v>13.5</v>
      </c>
      <c r="E39" s="137" t="s">
        <v>237</v>
      </c>
      <c r="F39" s="132">
        <v>11800</v>
      </c>
      <c r="G39" s="132">
        <f t="shared" si="3"/>
        <v>159300</v>
      </c>
      <c r="H39" s="133" t="s">
        <v>555</v>
      </c>
    </row>
    <row r="40" spans="1:18" s="127" customFormat="1" ht="24" customHeight="1">
      <c r="A40" s="128"/>
      <c r="B40" s="135" t="s">
        <v>281</v>
      </c>
      <c r="C40" s="135" t="s">
        <v>284</v>
      </c>
      <c r="D40" s="143">
        <v>4</v>
      </c>
      <c r="E40" s="137" t="s">
        <v>282</v>
      </c>
      <c r="F40" s="132">
        <v>320</v>
      </c>
      <c r="G40" s="132">
        <f t="shared" si="3"/>
        <v>1280</v>
      </c>
      <c r="H40" s="133" t="s">
        <v>555</v>
      </c>
    </row>
    <row r="41" spans="1:18" s="127" customFormat="1" ht="24" customHeight="1">
      <c r="A41" s="128"/>
      <c r="B41" s="129"/>
      <c r="C41" s="129"/>
      <c r="D41" s="130"/>
      <c r="E41" s="131"/>
      <c r="F41" s="132"/>
      <c r="G41" s="132"/>
      <c r="H41" s="133"/>
    </row>
    <row r="42" spans="1:18" s="127" customFormat="1" ht="24" customHeight="1">
      <c r="A42" s="128"/>
      <c r="B42" s="129"/>
      <c r="C42" s="129"/>
      <c r="D42" s="130"/>
      <c r="E42" s="131"/>
      <c r="F42" s="132" t="s">
        <v>106</v>
      </c>
      <c r="G42" s="132"/>
      <c r="H42" s="133"/>
    </row>
    <row r="43" spans="1:18" s="127" customFormat="1" ht="24" customHeight="1">
      <c r="A43" s="128"/>
      <c r="B43" s="129"/>
      <c r="C43" s="129"/>
      <c r="D43" s="130"/>
      <c r="E43" s="131"/>
      <c r="F43" s="132"/>
      <c r="G43" s="132"/>
      <c r="H43" s="133"/>
    </row>
    <row r="44" spans="1:18" s="127" customFormat="1" ht="24" customHeight="1">
      <c r="A44" s="128"/>
      <c r="B44" s="129" t="s">
        <v>56</v>
      </c>
      <c r="C44" s="129"/>
      <c r="D44" s="130"/>
      <c r="E44" s="131"/>
      <c r="F44" s="132"/>
      <c r="G44" s="132">
        <f>SUM(G27:G43)</f>
        <v>13663177</v>
      </c>
      <c r="H44" s="133"/>
    </row>
    <row r="45" spans="1:18" s="127" customFormat="1" ht="24" customHeight="1">
      <c r="A45" s="128"/>
      <c r="B45" s="129" t="s">
        <v>119</v>
      </c>
      <c r="C45" s="129"/>
      <c r="D45" s="130"/>
      <c r="E45" s="131"/>
      <c r="F45" s="132"/>
      <c r="G45" s="132">
        <v>-80557</v>
      </c>
      <c r="H45" s="133"/>
    </row>
    <row r="46" spans="1:18" s="127" customFormat="1" ht="24" customHeight="1">
      <c r="A46" s="146"/>
      <c r="B46" s="147" t="s">
        <v>120</v>
      </c>
      <c r="C46" s="147"/>
      <c r="D46" s="148"/>
      <c r="E46" s="149"/>
      <c r="F46" s="150"/>
      <c r="G46" s="150">
        <f>ROUNDDOWN(G44+G45,-2)</f>
        <v>13582600</v>
      </c>
      <c r="H46" s="151"/>
    </row>
    <row r="47" spans="1:18" s="117" customFormat="1" ht="12" customHeight="1">
      <c r="A47" s="709" t="s">
        <v>264</v>
      </c>
      <c r="B47" s="709"/>
      <c r="C47" s="115" t="s">
        <v>263</v>
      </c>
      <c r="D47" s="116"/>
      <c r="E47" s="116"/>
      <c r="G47" s="116"/>
      <c r="H47" s="116"/>
      <c r="I47" s="118"/>
      <c r="K47" s="119"/>
      <c r="L47" s="120"/>
      <c r="M47" s="119"/>
      <c r="N47" s="119"/>
      <c r="O47" s="119"/>
      <c r="P47" s="119"/>
      <c r="Q47" s="119"/>
      <c r="R47" s="119"/>
    </row>
    <row r="48" spans="1:18" s="117" customFormat="1" ht="12" customHeight="1">
      <c r="A48" s="121"/>
      <c r="B48" s="121"/>
      <c r="C48" s="121" t="str">
        <f>C25</f>
        <v>大藪小学校屋内運動場空調設備設置工事</v>
      </c>
      <c r="D48" s="114"/>
      <c r="E48" s="114"/>
      <c r="F48" s="121"/>
      <c r="G48" s="114"/>
      <c r="H48" s="216" t="s">
        <v>130</v>
      </c>
      <c r="I48" s="118"/>
      <c r="K48" s="119"/>
      <c r="L48" s="120"/>
      <c r="M48" s="119"/>
      <c r="N48" s="119"/>
      <c r="O48" s="119"/>
      <c r="P48" s="119"/>
      <c r="Q48" s="119"/>
      <c r="R48" s="119"/>
    </row>
    <row r="49" spans="1:8" s="127" customFormat="1" ht="24" customHeight="1">
      <c r="A49" s="122" t="s">
        <v>111</v>
      </c>
      <c r="B49" s="123" t="s">
        <v>112</v>
      </c>
      <c r="C49" s="123" t="s">
        <v>113</v>
      </c>
      <c r="D49" s="124" t="s">
        <v>114</v>
      </c>
      <c r="E49" s="123" t="s">
        <v>115</v>
      </c>
      <c r="F49" s="125" t="s">
        <v>20</v>
      </c>
      <c r="G49" s="123" t="s">
        <v>21</v>
      </c>
      <c r="H49" s="126" t="s">
        <v>116</v>
      </c>
    </row>
    <row r="50" spans="1:8" s="127" customFormat="1" ht="24" customHeight="1">
      <c r="A50" s="134"/>
      <c r="B50" s="129" t="s">
        <v>238</v>
      </c>
      <c r="C50" s="135" t="s">
        <v>239</v>
      </c>
      <c r="D50" s="136"/>
      <c r="E50" s="137"/>
      <c r="F50" s="138"/>
      <c r="G50" s="138"/>
      <c r="H50" s="139"/>
    </row>
    <row r="51" spans="1:8" s="127" customFormat="1" ht="24" customHeight="1">
      <c r="A51" s="140"/>
      <c r="B51" s="135"/>
      <c r="C51" s="135"/>
      <c r="D51" s="141"/>
      <c r="E51" s="137"/>
      <c r="F51" s="132"/>
      <c r="G51" s="132"/>
      <c r="H51" s="139"/>
    </row>
    <row r="52" spans="1:8" s="127" customFormat="1" ht="24" customHeight="1">
      <c r="A52" s="140"/>
      <c r="B52" s="135" t="s">
        <v>570</v>
      </c>
      <c r="C52" s="135"/>
      <c r="D52" s="141">
        <v>28</v>
      </c>
      <c r="E52" s="137" t="s">
        <v>55</v>
      </c>
      <c r="F52" s="132"/>
      <c r="G52" s="132">
        <f>D52*F52</f>
        <v>0</v>
      </c>
      <c r="H52" s="367" t="s">
        <v>556</v>
      </c>
    </row>
    <row r="53" spans="1:8" s="127" customFormat="1" ht="24" customHeight="1">
      <c r="A53" s="140"/>
      <c r="B53" s="135" t="s">
        <v>240</v>
      </c>
      <c r="C53" s="135"/>
      <c r="D53" s="141">
        <v>6</v>
      </c>
      <c r="E53" s="137" t="s">
        <v>55</v>
      </c>
      <c r="F53" s="132">
        <v>9010</v>
      </c>
      <c r="G53" s="132">
        <f t="shared" ref="G53" si="4">D53*F53</f>
        <v>54060</v>
      </c>
      <c r="H53" s="367" t="s">
        <v>556</v>
      </c>
    </row>
    <row r="54" spans="1:8" s="127" customFormat="1" ht="24" customHeight="1">
      <c r="A54" s="142"/>
      <c r="B54" s="135"/>
      <c r="C54" s="135"/>
      <c r="D54" s="213"/>
      <c r="E54" s="137"/>
      <c r="F54" s="132"/>
      <c r="G54" s="132"/>
      <c r="H54" s="139"/>
    </row>
    <row r="55" spans="1:8" s="127" customFormat="1" ht="24" customHeight="1">
      <c r="A55" s="128"/>
      <c r="B55" s="135"/>
      <c r="C55" s="135"/>
      <c r="D55" s="143"/>
      <c r="E55" s="137"/>
      <c r="F55" s="132"/>
      <c r="G55" s="132"/>
      <c r="H55" s="133"/>
    </row>
    <row r="56" spans="1:8" s="127" customFormat="1" ht="24" customHeight="1">
      <c r="A56" s="128"/>
      <c r="B56" s="135"/>
      <c r="C56" s="135"/>
      <c r="D56" s="143"/>
      <c r="E56" s="137"/>
      <c r="F56" s="132"/>
      <c r="G56" s="132"/>
      <c r="H56" s="133"/>
    </row>
    <row r="57" spans="1:8" s="127" customFormat="1" ht="24" customHeight="1">
      <c r="A57" s="128"/>
      <c r="B57" s="135"/>
      <c r="C57" s="135"/>
      <c r="D57" s="143"/>
      <c r="E57" s="137"/>
      <c r="F57" s="132"/>
      <c r="G57" s="132"/>
      <c r="H57" s="133"/>
    </row>
    <row r="58" spans="1:8" s="127" customFormat="1" ht="24" customHeight="1">
      <c r="A58" s="128"/>
      <c r="B58" s="129"/>
      <c r="C58" s="129"/>
      <c r="D58" s="144"/>
      <c r="E58" s="137"/>
      <c r="F58" s="132"/>
      <c r="G58" s="132"/>
      <c r="H58" s="133"/>
    </row>
    <row r="59" spans="1:8" s="127" customFormat="1" ht="24" customHeight="1">
      <c r="A59" s="128"/>
      <c r="B59" s="135"/>
      <c r="C59" s="135"/>
      <c r="D59" s="143"/>
      <c r="E59" s="137"/>
      <c r="F59" s="132"/>
      <c r="G59" s="132"/>
      <c r="H59" s="133"/>
    </row>
    <row r="60" spans="1:8" s="127" customFormat="1" ht="24" customHeight="1">
      <c r="A60" s="128"/>
      <c r="B60" s="129"/>
      <c r="C60" s="129"/>
      <c r="D60" s="143"/>
      <c r="E60" s="131"/>
      <c r="F60" s="132"/>
      <c r="G60" s="132"/>
      <c r="H60" s="133"/>
    </row>
    <row r="61" spans="1:8" s="127" customFormat="1" ht="24" customHeight="1">
      <c r="A61" s="128"/>
      <c r="B61" s="129"/>
      <c r="C61" s="129"/>
      <c r="D61" s="130"/>
      <c r="E61" s="131"/>
      <c r="F61" s="132"/>
      <c r="G61" s="132"/>
      <c r="H61" s="133"/>
    </row>
    <row r="62" spans="1:8" s="127" customFormat="1" ht="24" customHeight="1">
      <c r="A62" s="128"/>
      <c r="B62" s="129"/>
      <c r="C62" s="129"/>
      <c r="D62" s="130"/>
      <c r="E62" s="131"/>
      <c r="F62" s="132"/>
      <c r="G62" s="132"/>
      <c r="H62" s="133"/>
    </row>
    <row r="63" spans="1:8" s="127" customFormat="1" ht="24" customHeight="1">
      <c r="A63" s="128"/>
      <c r="B63" s="129"/>
      <c r="C63" s="129"/>
      <c r="D63" s="130"/>
      <c r="E63" s="131"/>
      <c r="F63" s="132"/>
      <c r="G63" s="132"/>
      <c r="H63" s="133"/>
    </row>
    <row r="64" spans="1:8" s="127" customFormat="1" ht="24" customHeight="1">
      <c r="A64" s="128"/>
      <c r="B64" s="129"/>
      <c r="C64" s="129"/>
      <c r="D64" s="130"/>
      <c r="E64" s="131"/>
      <c r="F64" s="132"/>
      <c r="G64" s="132"/>
      <c r="H64" s="133"/>
    </row>
    <row r="65" spans="1:8" s="127" customFormat="1" ht="24" customHeight="1">
      <c r="A65" s="128"/>
      <c r="B65" s="129"/>
      <c r="C65" s="129"/>
      <c r="D65" s="130"/>
      <c r="E65" s="131"/>
      <c r="F65" s="132"/>
      <c r="G65" s="132"/>
      <c r="H65" s="133"/>
    </row>
    <row r="66" spans="1:8" s="127" customFormat="1" ht="24" customHeight="1">
      <c r="A66" s="128"/>
      <c r="B66" s="129"/>
      <c r="C66" s="129"/>
      <c r="D66" s="130"/>
      <c r="E66" s="131"/>
      <c r="F66" s="132"/>
      <c r="G66" s="132"/>
      <c r="H66" s="133"/>
    </row>
    <row r="67" spans="1:8" s="127" customFormat="1" ht="24" customHeight="1">
      <c r="A67" s="128"/>
      <c r="B67" s="129" t="s">
        <v>56</v>
      </c>
      <c r="C67" s="129"/>
      <c r="D67" s="130"/>
      <c r="E67" s="131"/>
      <c r="F67" s="132"/>
      <c r="G67" s="132">
        <f>SUM(G50:G66)</f>
        <v>54060</v>
      </c>
      <c r="H67" s="133"/>
    </row>
    <row r="68" spans="1:8" s="127" customFormat="1" ht="24" customHeight="1">
      <c r="A68" s="128"/>
      <c r="B68" s="129" t="s">
        <v>119</v>
      </c>
      <c r="C68" s="129"/>
      <c r="D68" s="130"/>
      <c r="E68" s="131"/>
      <c r="F68" s="132"/>
      <c r="G68" s="132">
        <v>-380</v>
      </c>
      <c r="H68" s="133"/>
    </row>
    <row r="69" spans="1:8" s="127" customFormat="1" ht="24" customHeight="1">
      <c r="A69" s="146"/>
      <c r="B69" s="147" t="s">
        <v>120</v>
      </c>
      <c r="C69" s="147"/>
      <c r="D69" s="148"/>
      <c r="E69" s="149"/>
      <c r="F69" s="150"/>
      <c r="G69" s="150">
        <f>ROUNDDOWN(G67+G68,-2)</f>
        <v>53600</v>
      </c>
      <c r="H69" s="151"/>
    </row>
  </sheetData>
  <mergeCells count="3">
    <mergeCell ref="A1:B1"/>
    <mergeCell ref="A24:B24"/>
    <mergeCell ref="A47:B47"/>
  </mergeCells>
  <phoneticPr fontId="48"/>
  <dataValidations count="1">
    <dataValidation imeMode="hiragana" allowBlank="1" showInputMessage="1" showErrorMessage="1" sqref="JA18:JA19 SW18:SW19 ACS18:ACS19 AMO18:AMO19 AWK18:AWK19 BGG18:BGG19 BQC18:BQC19 BZY18:BZY19 CJU18:CJU19 CTQ18:CTQ19 DDM18:DDM19 DNI18:DNI19 DXE18:DXE19 EHA18:EHA19 EQW18:EQW19 FAS18:FAS19 FKO18:FKO19 FUK18:FUK19 GEG18:GEG19 GOC18:GOC19 GXY18:GXY19 HHU18:HHU19 HRQ18:HRQ19 IBM18:IBM19 ILI18:ILI19 IVE18:IVE19 JFA18:JFA19 JOW18:JOW19 JYS18:JYS19 KIO18:KIO19 KSK18:KSK19 LCG18:LCG19 LMC18:LMC19 LVY18:LVY19 MFU18:MFU19 MPQ18:MPQ19 MZM18:MZM19 NJI18:NJI19 NTE18:NTE19 ODA18:ODA19 OMW18:OMW19 OWS18:OWS19 PGO18:PGO19 PQK18:PQK19 QAG18:QAG19 QKC18:QKC19 QTY18:QTY19 RDU18:RDU19 RNQ18:RNQ19 RXM18:RXM19 SHI18:SHI19 SRE18:SRE19 TBA18:TBA19 TKW18:TKW19 TUS18:TUS19 UEO18:UEO19 UOK18:UOK19 UYG18:UYG19 VIC18:VIC19 VRY18:VRY19 WBU18:WBU19 WLQ18:WLQ19 WVM18:WVM19 IY18:IY19 SU18:SU19 ACQ18:ACQ19 AMM18:AMM19 AWI18:AWI19 BGE18:BGE19 BQA18:BQA19 BZW18:BZW19 CJS18:CJS19 CTO18:CTO19 DDK18:DDK19 DNG18:DNG19 DXC18:DXC19 EGY18:EGY19 EQU18:EQU19 FAQ18:FAQ19 FKM18:FKM19 FUI18:FUI19 GEE18:GEE19 GOA18:GOA19 GXW18:GXW19 HHS18:HHS19 HRO18:HRO19 IBK18:IBK19 ILG18:ILG19 IVC18:IVC19 JEY18:JEY19 JOU18:JOU19 JYQ18:JYQ19 KIM18:KIM19 KSI18:KSI19 LCE18:LCE19 LMA18:LMA19 LVW18:LVW19 MFS18:MFS19 MPO18:MPO19 MZK18:MZK19 NJG18:NJG19 NTC18:NTC19 OCY18:OCY19 OMU18:OMU19 OWQ18:OWQ19 PGM18:PGM19 PQI18:PQI19 QAE18:QAE19 QKA18:QKA19 QTW18:QTW19 RDS18:RDS19 RNO18:RNO19 RXK18:RXK19 SHG18:SHG19 SRC18:SRC19 TAY18:TAY19 TKU18:TKU19 TUQ18:TUQ19 UEM18:UEM19 UOI18:UOI19 UYE18:UYE19 VIA18:VIA19 VRW18:VRW19 WBS18:WBS19 WLO18:WLO19 WVK18:WVK19 WLQ60 C57 WVM60 C59 IY60 SU60 ACQ60 AMM60 AWI60 BGE60 BQA60 BZW60 CJS60 CTO60 DDK60 DNG60 DXC60 EGY60 EQU60 FAQ60 FKM60 FUI60 GEE60 GOA60 GXW60 HHS60 HRO60 IBK60 ILG60 IVC60 JEY60 JOU60 JYQ60 KIM60 KSI60 LCE60 LMA60 LVW60 MFS60 MPO60 MZK60 NJG60 NTC60 OCY60 OMU60 OWQ60 PGM60 PQI60 QAE60 QKA60 QTW60 RDS60 RNO60 RXK60 SHG60 SRC60 TAY60 TKU60 TUQ60 UEM60 UOI60 UYE60 VIA60 VRW60 WBS60 WLO60 WVK60 JA60 SW60 ACS60 AMO60 AWK60 BGG60 BQC60 BZY60 CJU60 CTQ60 DDM60 DNI60 DXE60 EHA60 EQW60 FAS60 FKO60 FUK60 GEG60 GOC60 GXY60 HHU60 HRQ60 IBM60 ILI60 IVE60 JFA60 JOW60 JYS60 KIO60 KSK60 LCG60 LMC60 LVY60 MFU60 MPQ60 MZM60 NJI60 NTE60 ODA60 OMW60 OWS60 PGO60 PQK60 QAG60 QKC60 QTY60 RDU60 RNQ60 RXM60 SHI60 SRE60 TBA60 TKW60 TUS60 UEO60 UOK60 UYG60 VIC60 VRY60 WBU60 E28:E41 C28:C41 WVK28:WVK41 WLO28:WLO41 WBS28:WBS41 VRW28:VRW41 VIA28:VIA41 UYE28:UYE41 UOI28:UOI41 UEM28:UEM41 TUQ28:TUQ41 TKU28:TKU41 TAY28:TAY41 SRC28:SRC41 SHG28:SHG41 RXK28:RXK41 RNO28:RNO41 RDS28:RDS41 QTW28:QTW41 QKA28:QKA41 QAE28:QAE41 PQI28:PQI41 PGM28:PGM41 OWQ28:OWQ41 OMU28:OMU41 OCY28:OCY41 NTC28:NTC41 NJG28:NJG41 MZK28:MZK41 MPO28:MPO41 MFS28:MFS41 LVW28:LVW41 LMA28:LMA41 LCE28:LCE41 KSI28:KSI41 KIM28:KIM41 JYQ28:JYQ41 JOU28:JOU41 JEY28:JEY41 IVC28:IVC41 ILG28:ILG41 IBK28:IBK41 HRO28:HRO41 HHS28:HHS41 GXW28:GXW41 GOA28:GOA41 GEE28:GEE41 FUI28:FUI41 FKM28:FKM41 FAQ28:FAQ41 EQU28:EQU41 EGY28:EGY41 DXC28:DXC41 DNG28:DNG41 DDK28:DDK41 CTO28:CTO41 CJS28:CJS41 BZW28:BZW41 BQA28:BQA41 BGE28:BGE41 AWI28:AWI41 AMM28:AMM41 ACQ28:ACQ41 SU28:SU41 IY28:IY41 WVM28:WVM41 WLQ28:WLQ41 WBU28:WBU41 VRY28:VRY41 VIC28:VIC41 UYG28:UYG41 UOK28:UOK41 UEO28:UEO41 TUS28:TUS41 TKW28:TKW41 TBA28:TBA41 SRE28:SRE41 SHI28:SHI41 RXM28:RXM41 RNQ28:RNQ41 RDU28:RDU41 QTY28:QTY41 QKC28:QKC41 QAG28:QAG41 PQK28:PQK41 PGO28:PGO41 OWS28:OWS41 OMW28:OMW41 ODA28:ODA41 NTE28:NTE41 NJI28:NJI41 MZM28:MZM41 MPQ28:MPQ41 MFU28:MFU41 LVY28:LVY41 LMC28:LMC41 LCG28:LCG41 KSK28:KSK41 KIO28:KIO41 JYS28:JYS41 JOW28:JOW41 JFA28:JFA41 IVE28:IVE41 ILI28:ILI41 IBM28:IBM41 HRQ28:HRQ41 HHU28:HHU41 GXY28:GXY41 GOC28:GOC41 GEG28:GEG41 FUK28:FUK41 FKO28:FKO41 FAS28:FAS41 EQW28:EQW41 EHA28:EHA41 DXE28:DXE41 DNI28:DNI41 DDM28:DDM41 CTQ28:CTQ41 CJU28:CJU41 BZY28:BZY41 BQC28:BQC41 BGG28:BGG41 AWK28:AWK41 AMO28:AMO41 ACS28:ACS41 SW28:SW41 JA28:JA41 IY50:IY58 SU50:SU58 ACQ50:ACQ58 AMM50:AMM58 AWI50:AWI58 BGE50:BGE58 BQA50:BQA58 BZW50:BZW58 CJS50:CJS58 CTO50:CTO58 DDK50:DDK58 DNG50:DNG58 DXC50:DXC58 EGY50:EGY58 EQU50:EQU58 FAQ50:FAQ58 FKM50:FKM58 FUI50:FUI58 GEE50:GEE58 GOA50:GOA58 GXW50:GXW58 HHS50:HHS58 HRO50:HRO58 IBK50:IBK58 ILG50:ILG58 IVC50:IVC58 JEY50:JEY58 JOU50:JOU58 JYQ50:JYQ58 KIM50:KIM58 KSI50:KSI58 LCE50:LCE58 LMA50:LMA58 LVW50:LVW58 MFS50:MFS58 MPO50:MPO58 MZK50:MZK58 NJG50:NJG58 NTC50:NTC58 OCY50:OCY58 OMU50:OMU58 OWQ50:OWQ58 PGM50:PGM58 PQI50:PQI58 QAE50:QAE58 QKA50:QKA58 QTW50:QTW58 RDS50:RDS58 RNO50:RNO58 RXK50:RXK58 SHG50:SHG58 SRC50:SRC58 TAY50:TAY58 TKU50:TKU58 TUQ50:TUQ58 UEM50:UEM58 UOI50:UOI58 UYE50:UYE58 VIA50:VIA58 VRW50:VRW58 WBS50:WBS58 WLO50:WLO58 WVK50:WVK58 JA50:JA58 SW50:SW58 ACS50:ACS58 AMO50:AMO58 AWK50:AWK58 BGG50:BGG58 BQC50:BQC58 BZY50:BZY58 CJU50:CJU58 CTQ50:CTQ58 DDM50:DDM58 DNI50:DNI58 DXE50:DXE58 EHA50:EHA58 EQW50:EQW58 FAS50:FAS58 FKO50:FKO58 FUK50:FUK58 GEG50:GEG58 GOC50:GOC58 GXY50:GXY58 HHU50:HHU58 HRQ50:HRQ58 IBM50:IBM58 ILI50:ILI58 IVE50:IVE58 JFA50:JFA58 JOW50:JOW58 JYS50:JYS58 KIO50:KIO58 KSK50:KSK58 LCG50:LCG58 LMC50:LMC58 LVY50:LVY58 MFU50:MFU58 MPQ50:MPQ58 MZM50:MZM58 NJI50:NJI58 NTE50:NTE58 ODA50:ODA58 OMW50:OMW58 OWS50:OWS58 PGO50:PGO58 PQK50:PQK58 QAG50:QAG58 QKC50:QKC58 QTY50:QTY58 RDU50:RDU58 RNQ50:RNQ58 RXM50:RXM58 SHI50:SHI58 SRE50:SRE58 TBA50:TBA58 TKW50:TKW58 TUS50:TUS58 UEO50:UEO58 UOK50:UOK58 UYG50:UYG58 VIC50:VIC58 VRY50:VRY58 WBU50:WBU58 WLQ50:WLQ58 WVM50:WVM58 C50:C55 E50:E60 JA6:JA16 E6:E19 WVK6:WVK16 WLO6:WLO16 WBS6:WBS16 VRW6:VRW16 VIA6:VIA16 UYE6:UYE16 UOI6:UOI16 UEM6:UEM16 TUQ6:TUQ16 TKU6:TKU16 TAY6:TAY16 SRC6:SRC16 SHG6:SHG16 RXK6:RXK16 RNO6:RNO16 RDS6:RDS16 QTW6:QTW16 QKA6:QKA16 QAE6:QAE16 PQI6:PQI16 PGM6:PGM16 OWQ6:OWQ16 OMU6:OMU16 OCY6:OCY16 NTC6:NTC16 NJG6:NJG16 MZK6:MZK16 MPO6:MPO16 MFS6:MFS16 LVW6:LVW16 LMA6:LMA16 LCE6:LCE16 KSI6:KSI16 KIM6:KIM16 JYQ6:JYQ16 JOU6:JOU16 JEY6:JEY16 IVC6:IVC16 ILG6:ILG16 IBK6:IBK16 HRO6:HRO16 HHS6:HHS16 GXW6:GXW16 GOA6:GOA16 GEE6:GEE16 FUI6:FUI16 FKM6:FKM16 FAQ6:FAQ16 EQU6:EQU16 EGY6:EGY16 DXC6:DXC16 DNG6:DNG16 DDK6:DDK16 CTO6:CTO16 CJS6:CJS16 BZW6:BZW16 BQA6:BQA16 BGE6:BGE16 AWI6:AWI16 AMM6:AMM16 ACQ6:ACQ16 SU6:SU16 IY6:IY16 WVM6:WVM16 WLQ6:WLQ16 WBU6:WBU16 VRY6:VRY16 VIC6:VIC16 UYG6:UYG16 UOK6:UOK16 UEO6:UEO16 TUS6:TUS16 TKW6:TKW16 TBA6:TBA16 SRE6:SRE16 SHI6:SHI16 RXM6:RXM16 RNQ6:RNQ16 RDU6:RDU16 QTY6:QTY16 QKC6:QKC16 QAG6:QAG16 PQK6:PQK16 PGO6:PGO16 OWS6:OWS16 OMW6:OMW16 ODA6:ODA16 NTE6:NTE16 NJI6:NJI16 MZM6:MZM16 MPQ6:MPQ16 MFU6:MFU16 LVY6:LVY16 LMC6:LMC16 LCG6:LCG16 KSK6:KSK16 KIO6:KIO16 JYS6:JYS16 JOW6:JOW16 JFA6:JFA16 IVE6:IVE16 ILI6:ILI16 IBM6:IBM16 HRQ6:HRQ16 HHU6:HHU16 GXY6:GXY16 GOC6:GOC16 GEG6:GEG16 FUK6:FUK16 FKO6:FKO16 FAS6:FAS16 EQW6:EQW16 EHA6:EHA16 DXE6:DXE16 DNI6:DNI16 DDM6:DDM16 CTQ6:CTQ16 CJU6:CJU16 BZY6:BZY16 BQC6:BQC16 BGG6:BGG16 AWK6:AWK16 AMO6:AMO16 ACS6:ACS16 SW6:SW16 C6:C19" xr:uid="{C741C0BD-EDA8-4232-8DA8-10067EB5E0A6}"/>
  </dataValidations>
  <printOptions horizontalCentered="1" verticalCentered="1"/>
  <pageMargins left="0.31496062992125984" right="0.31496062992125984" top="0.59055118110236227" bottom="0.59055118110236227" header="0.51181102362204722" footer="0.51181102362204722"/>
  <pageSetup paperSize="9" orientation="landscape" r:id="rId1"/>
  <headerFooter alignWithMargins="0"/>
  <rowBreaks count="2" manualBreakCount="2">
    <brk id="23" max="7" man="1"/>
    <brk id="46" max="7" man="1"/>
  </rowBreaks>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2CFFA-614A-4EED-A6D2-A851A5DA6606}">
  <sheetPr>
    <tabColor theme="6" tint="-0.249977111117893"/>
  </sheetPr>
  <dimension ref="A1:R48"/>
  <sheetViews>
    <sheetView view="pageBreakPreview" zoomScale="120" zoomScaleNormal="75" zoomScaleSheetLayoutView="120" workbookViewId="0">
      <pane ySplit="1" topLeftCell="A2" activePane="bottomLeft" state="frozen"/>
      <selection activeCell="F53" sqref="F53"/>
      <selection pane="bottomLeft" activeCell="K26" sqref="K26"/>
    </sheetView>
  </sheetViews>
  <sheetFormatPr defaultRowHeight="12" customHeight="1"/>
  <cols>
    <col min="1" max="1" width="5.21875" style="117" bestFit="1" customWidth="1"/>
    <col min="2" max="2" width="18.77734375" style="117" customWidth="1"/>
    <col min="3" max="3" width="24" style="117" customWidth="1"/>
    <col min="4" max="4" width="4.44140625" style="118" bestFit="1" customWidth="1"/>
    <col min="5" max="5" width="7" style="118" customWidth="1"/>
    <col min="6" max="6" width="7" style="117" customWidth="1"/>
    <col min="7" max="8" width="7" style="118" customWidth="1"/>
    <col min="9" max="9" width="9.33203125" style="118" customWidth="1"/>
    <col min="10" max="10" width="9.33203125" style="117" customWidth="1"/>
    <col min="11" max="14" width="9.33203125" style="119" customWidth="1"/>
    <col min="15" max="256" width="9" style="119"/>
    <col min="257" max="257" width="5.21875" style="119" bestFit="1" customWidth="1"/>
    <col min="258" max="258" width="18.77734375" style="119" customWidth="1"/>
    <col min="259" max="259" width="24" style="119" customWidth="1"/>
    <col min="260" max="260" width="4.44140625" style="119" bestFit="1" customWidth="1"/>
    <col min="261" max="264" width="7" style="119" customWidth="1"/>
    <col min="265" max="270" width="9.33203125" style="119" customWidth="1"/>
    <col min="271" max="512" width="9" style="119"/>
    <col min="513" max="513" width="5.21875" style="119" bestFit="1" customWidth="1"/>
    <col min="514" max="514" width="18.77734375" style="119" customWidth="1"/>
    <col min="515" max="515" width="24" style="119" customWidth="1"/>
    <col min="516" max="516" width="4.44140625" style="119" bestFit="1" customWidth="1"/>
    <col min="517" max="520" width="7" style="119" customWidth="1"/>
    <col min="521" max="526" width="9.33203125" style="119" customWidth="1"/>
    <col min="527" max="768" width="9" style="119"/>
    <col min="769" max="769" width="5.21875" style="119" bestFit="1" customWidth="1"/>
    <col min="770" max="770" width="18.77734375" style="119" customWidth="1"/>
    <col min="771" max="771" width="24" style="119" customWidth="1"/>
    <col min="772" max="772" width="4.44140625" style="119" bestFit="1" customWidth="1"/>
    <col min="773" max="776" width="7" style="119" customWidth="1"/>
    <col min="777" max="782" width="9.33203125" style="119" customWidth="1"/>
    <col min="783" max="1024" width="9" style="119"/>
    <col min="1025" max="1025" width="5.21875" style="119" bestFit="1" customWidth="1"/>
    <col min="1026" max="1026" width="18.77734375" style="119" customWidth="1"/>
    <col min="1027" max="1027" width="24" style="119" customWidth="1"/>
    <col min="1028" max="1028" width="4.44140625" style="119" bestFit="1" customWidth="1"/>
    <col min="1029" max="1032" width="7" style="119" customWidth="1"/>
    <col min="1033" max="1038" width="9.33203125" style="119" customWidth="1"/>
    <col min="1039" max="1280" width="9" style="119"/>
    <col min="1281" max="1281" width="5.21875" style="119" bestFit="1" customWidth="1"/>
    <col min="1282" max="1282" width="18.77734375" style="119" customWidth="1"/>
    <col min="1283" max="1283" width="24" style="119" customWidth="1"/>
    <col min="1284" max="1284" width="4.44140625" style="119" bestFit="1" customWidth="1"/>
    <col min="1285" max="1288" width="7" style="119" customWidth="1"/>
    <col min="1289" max="1294" width="9.33203125" style="119" customWidth="1"/>
    <col min="1295" max="1536" width="9" style="119"/>
    <col min="1537" max="1537" width="5.21875" style="119" bestFit="1" customWidth="1"/>
    <col min="1538" max="1538" width="18.77734375" style="119" customWidth="1"/>
    <col min="1539" max="1539" width="24" style="119" customWidth="1"/>
    <col min="1540" max="1540" width="4.44140625" style="119" bestFit="1" customWidth="1"/>
    <col min="1541" max="1544" width="7" style="119" customWidth="1"/>
    <col min="1545" max="1550" width="9.33203125" style="119" customWidth="1"/>
    <col min="1551" max="1792" width="9" style="119"/>
    <col min="1793" max="1793" width="5.21875" style="119" bestFit="1" customWidth="1"/>
    <col min="1794" max="1794" width="18.77734375" style="119" customWidth="1"/>
    <col min="1795" max="1795" width="24" style="119" customWidth="1"/>
    <col min="1796" max="1796" width="4.44140625" style="119" bestFit="1" customWidth="1"/>
    <col min="1797" max="1800" width="7" style="119" customWidth="1"/>
    <col min="1801" max="1806" width="9.33203125" style="119" customWidth="1"/>
    <col min="1807" max="2048" width="9" style="119"/>
    <col min="2049" max="2049" width="5.21875" style="119" bestFit="1" customWidth="1"/>
    <col min="2050" max="2050" width="18.77734375" style="119" customWidth="1"/>
    <col min="2051" max="2051" width="24" style="119" customWidth="1"/>
    <col min="2052" max="2052" width="4.44140625" style="119" bestFit="1" customWidth="1"/>
    <col min="2053" max="2056" width="7" style="119" customWidth="1"/>
    <col min="2057" max="2062" width="9.33203125" style="119" customWidth="1"/>
    <col min="2063" max="2304" width="9" style="119"/>
    <col min="2305" max="2305" width="5.21875" style="119" bestFit="1" customWidth="1"/>
    <col min="2306" max="2306" width="18.77734375" style="119" customWidth="1"/>
    <col min="2307" max="2307" width="24" style="119" customWidth="1"/>
    <col min="2308" max="2308" width="4.44140625" style="119" bestFit="1" customWidth="1"/>
    <col min="2309" max="2312" width="7" style="119" customWidth="1"/>
    <col min="2313" max="2318" width="9.33203125" style="119" customWidth="1"/>
    <col min="2319" max="2560" width="9" style="119"/>
    <col min="2561" max="2561" width="5.21875" style="119" bestFit="1" customWidth="1"/>
    <col min="2562" max="2562" width="18.77734375" style="119" customWidth="1"/>
    <col min="2563" max="2563" width="24" style="119" customWidth="1"/>
    <col min="2564" max="2564" width="4.44140625" style="119" bestFit="1" customWidth="1"/>
    <col min="2565" max="2568" width="7" style="119" customWidth="1"/>
    <col min="2569" max="2574" width="9.33203125" style="119" customWidth="1"/>
    <col min="2575" max="2816" width="9" style="119"/>
    <col min="2817" max="2817" width="5.21875" style="119" bestFit="1" customWidth="1"/>
    <col min="2818" max="2818" width="18.77734375" style="119" customWidth="1"/>
    <col min="2819" max="2819" width="24" style="119" customWidth="1"/>
    <col min="2820" max="2820" width="4.44140625" style="119" bestFit="1" customWidth="1"/>
    <col min="2821" max="2824" width="7" style="119" customWidth="1"/>
    <col min="2825" max="2830" width="9.33203125" style="119" customWidth="1"/>
    <col min="2831" max="3072" width="9" style="119"/>
    <col min="3073" max="3073" width="5.21875" style="119" bestFit="1" customWidth="1"/>
    <col min="3074" max="3074" width="18.77734375" style="119" customWidth="1"/>
    <col min="3075" max="3075" width="24" style="119" customWidth="1"/>
    <col min="3076" max="3076" width="4.44140625" style="119" bestFit="1" customWidth="1"/>
    <col min="3077" max="3080" width="7" style="119" customWidth="1"/>
    <col min="3081" max="3086" width="9.33203125" style="119" customWidth="1"/>
    <col min="3087" max="3328" width="9" style="119"/>
    <col min="3329" max="3329" width="5.21875" style="119" bestFit="1" customWidth="1"/>
    <col min="3330" max="3330" width="18.77734375" style="119" customWidth="1"/>
    <col min="3331" max="3331" width="24" style="119" customWidth="1"/>
    <col min="3332" max="3332" width="4.44140625" style="119" bestFit="1" customWidth="1"/>
    <col min="3333" max="3336" width="7" style="119" customWidth="1"/>
    <col min="3337" max="3342" width="9.33203125" style="119" customWidth="1"/>
    <col min="3343" max="3584" width="9" style="119"/>
    <col min="3585" max="3585" width="5.21875" style="119" bestFit="1" customWidth="1"/>
    <col min="3586" max="3586" width="18.77734375" style="119" customWidth="1"/>
    <col min="3587" max="3587" width="24" style="119" customWidth="1"/>
    <col min="3588" max="3588" width="4.44140625" style="119" bestFit="1" customWidth="1"/>
    <col min="3589" max="3592" width="7" style="119" customWidth="1"/>
    <col min="3593" max="3598" width="9.33203125" style="119" customWidth="1"/>
    <col min="3599" max="3840" width="9" style="119"/>
    <col min="3841" max="3841" width="5.21875" style="119" bestFit="1" customWidth="1"/>
    <col min="3842" max="3842" width="18.77734375" style="119" customWidth="1"/>
    <col min="3843" max="3843" width="24" style="119" customWidth="1"/>
    <col min="3844" max="3844" width="4.44140625" style="119" bestFit="1" customWidth="1"/>
    <col min="3845" max="3848" width="7" style="119" customWidth="1"/>
    <col min="3849" max="3854" width="9.33203125" style="119" customWidth="1"/>
    <col min="3855" max="4096" width="9" style="119"/>
    <col min="4097" max="4097" width="5.21875" style="119" bestFit="1" customWidth="1"/>
    <col min="4098" max="4098" width="18.77734375" style="119" customWidth="1"/>
    <col min="4099" max="4099" width="24" style="119" customWidth="1"/>
    <col min="4100" max="4100" width="4.44140625" style="119" bestFit="1" customWidth="1"/>
    <col min="4101" max="4104" width="7" style="119" customWidth="1"/>
    <col min="4105" max="4110" width="9.33203125" style="119" customWidth="1"/>
    <col min="4111" max="4352" width="9" style="119"/>
    <col min="4353" max="4353" width="5.21875" style="119" bestFit="1" customWidth="1"/>
    <col min="4354" max="4354" width="18.77734375" style="119" customWidth="1"/>
    <col min="4355" max="4355" width="24" style="119" customWidth="1"/>
    <col min="4356" max="4356" width="4.44140625" style="119" bestFit="1" customWidth="1"/>
    <col min="4357" max="4360" width="7" style="119" customWidth="1"/>
    <col min="4361" max="4366" width="9.33203125" style="119" customWidth="1"/>
    <col min="4367" max="4608" width="9" style="119"/>
    <col min="4609" max="4609" width="5.21875" style="119" bestFit="1" customWidth="1"/>
    <col min="4610" max="4610" width="18.77734375" style="119" customWidth="1"/>
    <col min="4611" max="4611" width="24" style="119" customWidth="1"/>
    <col min="4612" max="4612" width="4.44140625" style="119" bestFit="1" customWidth="1"/>
    <col min="4613" max="4616" width="7" style="119" customWidth="1"/>
    <col min="4617" max="4622" width="9.33203125" style="119" customWidth="1"/>
    <col min="4623" max="4864" width="9" style="119"/>
    <col min="4865" max="4865" width="5.21875" style="119" bestFit="1" customWidth="1"/>
    <col min="4866" max="4866" width="18.77734375" style="119" customWidth="1"/>
    <col min="4867" max="4867" width="24" style="119" customWidth="1"/>
    <col min="4868" max="4868" width="4.44140625" style="119" bestFit="1" customWidth="1"/>
    <col min="4869" max="4872" width="7" style="119" customWidth="1"/>
    <col min="4873" max="4878" width="9.33203125" style="119" customWidth="1"/>
    <col min="4879" max="5120" width="9" style="119"/>
    <col min="5121" max="5121" width="5.21875" style="119" bestFit="1" customWidth="1"/>
    <col min="5122" max="5122" width="18.77734375" style="119" customWidth="1"/>
    <col min="5123" max="5123" width="24" style="119" customWidth="1"/>
    <col min="5124" max="5124" width="4.44140625" style="119" bestFit="1" customWidth="1"/>
    <col min="5125" max="5128" width="7" style="119" customWidth="1"/>
    <col min="5129" max="5134" width="9.33203125" style="119" customWidth="1"/>
    <col min="5135" max="5376" width="9" style="119"/>
    <col min="5377" max="5377" width="5.21875" style="119" bestFit="1" customWidth="1"/>
    <col min="5378" max="5378" width="18.77734375" style="119" customWidth="1"/>
    <col min="5379" max="5379" width="24" style="119" customWidth="1"/>
    <col min="5380" max="5380" width="4.44140625" style="119" bestFit="1" customWidth="1"/>
    <col min="5381" max="5384" width="7" style="119" customWidth="1"/>
    <col min="5385" max="5390" width="9.33203125" style="119" customWidth="1"/>
    <col min="5391" max="5632" width="9" style="119"/>
    <col min="5633" max="5633" width="5.21875" style="119" bestFit="1" customWidth="1"/>
    <col min="5634" max="5634" width="18.77734375" style="119" customWidth="1"/>
    <col min="5635" max="5635" width="24" style="119" customWidth="1"/>
    <col min="5636" max="5636" width="4.44140625" style="119" bestFit="1" customWidth="1"/>
    <col min="5637" max="5640" width="7" style="119" customWidth="1"/>
    <col min="5641" max="5646" width="9.33203125" style="119" customWidth="1"/>
    <col min="5647" max="5888" width="9" style="119"/>
    <col min="5889" max="5889" width="5.21875" style="119" bestFit="1" customWidth="1"/>
    <col min="5890" max="5890" width="18.77734375" style="119" customWidth="1"/>
    <col min="5891" max="5891" width="24" style="119" customWidth="1"/>
    <col min="5892" max="5892" width="4.44140625" style="119" bestFit="1" customWidth="1"/>
    <col min="5893" max="5896" width="7" style="119" customWidth="1"/>
    <col min="5897" max="5902" width="9.33203125" style="119" customWidth="1"/>
    <col min="5903" max="6144" width="9" style="119"/>
    <col min="6145" max="6145" width="5.21875" style="119" bestFit="1" customWidth="1"/>
    <col min="6146" max="6146" width="18.77734375" style="119" customWidth="1"/>
    <col min="6147" max="6147" width="24" style="119" customWidth="1"/>
    <col min="6148" max="6148" width="4.44140625" style="119" bestFit="1" customWidth="1"/>
    <col min="6149" max="6152" width="7" style="119" customWidth="1"/>
    <col min="6153" max="6158" width="9.33203125" style="119" customWidth="1"/>
    <col min="6159" max="6400" width="9" style="119"/>
    <col min="6401" max="6401" width="5.21875" style="119" bestFit="1" customWidth="1"/>
    <col min="6402" max="6402" width="18.77734375" style="119" customWidth="1"/>
    <col min="6403" max="6403" width="24" style="119" customWidth="1"/>
    <col min="6404" max="6404" width="4.44140625" style="119" bestFit="1" customWidth="1"/>
    <col min="6405" max="6408" width="7" style="119" customWidth="1"/>
    <col min="6409" max="6414" width="9.33203125" style="119" customWidth="1"/>
    <col min="6415" max="6656" width="9" style="119"/>
    <col min="6657" max="6657" width="5.21875" style="119" bestFit="1" customWidth="1"/>
    <col min="6658" max="6658" width="18.77734375" style="119" customWidth="1"/>
    <col min="6659" max="6659" width="24" style="119" customWidth="1"/>
    <col min="6660" max="6660" width="4.44140625" style="119" bestFit="1" customWidth="1"/>
    <col min="6661" max="6664" width="7" style="119" customWidth="1"/>
    <col min="6665" max="6670" width="9.33203125" style="119" customWidth="1"/>
    <col min="6671" max="6912" width="9" style="119"/>
    <col min="6913" max="6913" width="5.21875" style="119" bestFit="1" customWidth="1"/>
    <col min="6914" max="6914" width="18.77734375" style="119" customWidth="1"/>
    <col min="6915" max="6915" width="24" style="119" customWidth="1"/>
    <col min="6916" max="6916" width="4.44140625" style="119" bestFit="1" customWidth="1"/>
    <col min="6917" max="6920" width="7" style="119" customWidth="1"/>
    <col min="6921" max="6926" width="9.33203125" style="119" customWidth="1"/>
    <col min="6927" max="7168" width="9" style="119"/>
    <col min="7169" max="7169" width="5.21875" style="119" bestFit="1" customWidth="1"/>
    <col min="7170" max="7170" width="18.77734375" style="119" customWidth="1"/>
    <col min="7171" max="7171" width="24" style="119" customWidth="1"/>
    <col min="7172" max="7172" width="4.44140625" style="119" bestFit="1" customWidth="1"/>
    <col min="7173" max="7176" width="7" style="119" customWidth="1"/>
    <col min="7177" max="7182" width="9.33203125" style="119" customWidth="1"/>
    <col min="7183" max="7424" width="9" style="119"/>
    <col min="7425" max="7425" width="5.21875" style="119" bestFit="1" customWidth="1"/>
    <col min="7426" max="7426" width="18.77734375" style="119" customWidth="1"/>
    <col min="7427" max="7427" width="24" style="119" customWidth="1"/>
    <col min="7428" max="7428" width="4.44140625" style="119" bestFit="1" customWidth="1"/>
    <col min="7429" max="7432" width="7" style="119" customWidth="1"/>
    <col min="7433" max="7438" width="9.33203125" style="119" customWidth="1"/>
    <col min="7439" max="7680" width="9" style="119"/>
    <col min="7681" max="7681" width="5.21875" style="119" bestFit="1" customWidth="1"/>
    <col min="7682" max="7682" width="18.77734375" style="119" customWidth="1"/>
    <col min="7683" max="7683" width="24" style="119" customWidth="1"/>
    <col min="7684" max="7684" width="4.44140625" style="119" bestFit="1" customWidth="1"/>
    <col min="7685" max="7688" width="7" style="119" customWidth="1"/>
    <col min="7689" max="7694" width="9.33203125" style="119" customWidth="1"/>
    <col min="7695" max="7936" width="9" style="119"/>
    <col min="7937" max="7937" width="5.21875" style="119" bestFit="1" customWidth="1"/>
    <col min="7938" max="7938" width="18.77734375" style="119" customWidth="1"/>
    <col min="7939" max="7939" width="24" style="119" customWidth="1"/>
    <col min="7940" max="7940" width="4.44140625" style="119" bestFit="1" customWidth="1"/>
    <col min="7941" max="7944" width="7" style="119" customWidth="1"/>
    <col min="7945" max="7950" width="9.33203125" style="119" customWidth="1"/>
    <col min="7951" max="8192" width="9" style="119"/>
    <col min="8193" max="8193" width="5.21875" style="119" bestFit="1" customWidth="1"/>
    <col min="8194" max="8194" width="18.77734375" style="119" customWidth="1"/>
    <col min="8195" max="8195" width="24" style="119" customWidth="1"/>
    <col min="8196" max="8196" width="4.44140625" style="119" bestFit="1" customWidth="1"/>
    <col min="8197" max="8200" width="7" style="119" customWidth="1"/>
    <col min="8201" max="8206" width="9.33203125" style="119" customWidth="1"/>
    <col min="8207" max="8448" width="9" style="119"/>
    <col min="8449" max="8449" width="5.21875" style="119" bestFit="1" customWidth="1"/>
    <col min="8450" max="8450" width="18.77734375" style="119" customWidth="1"/>
    <col min="8451" max="8451" width="24" style="119" customWidth="1"/>
    <col min="8452" max="8452" width="4.44140625" style="119" bestFit="1" customWidth="1"/>
    <col min="8453" max="8456" width="7" style="119" customWidth="1"/>
    <col min="8457" max="8462" width="9.33203125" style="119" customWidth="1"/>
    <col min="8463" max="8704" width="9" style="119"/>
    <col min="8705" max="8705" width="5.21875" style="119" bestFit="1" customWidth="1"/>
    <col min="8706" max="8706" width="18.77734375" style="119" customWidth="1"/>
    <col min="8707" max="8707" width="24" style="119" customWidth="1"/>
    <col min="8708" max="8708" width="4.44140625" style="119" bestFit="1" customWidth="1"/>
    <col min="8709" max="8712" width="7" style="119" customWidth="1"/>
    <col min="8713" max="8718" width="9.33203125" style="119" customWidth="1"/>
    <col min="8719" max="8960" width="9" style="119"/>
    <col min="8961" max="8961" width="5.21875" style="119" bestFit="1" customWidth="1"/>
    <col min="8962" max="8962" width="18.77734375" style="119" customWidth="1"/>
    <col min="8963" max="8963" width="24" style="119" customWidth="1"/>
    <col min="8964" max="8964" width="4.44140625" style="119" bestFit="1" customWidth="1"/>
    <col min="8965" max="8968" width="7" style="119" customWidth="1"/>
    <col min="8969" max="8974" width="9.33203125" style="119" customWidth="1"/>
    <col min="8975" max="9216" width="9" style="119"/>
    <col min="9217" max="9217" width="5.21875" style="119" bestFit="1" customWidth="1"/>
    <col min="9218" max="9218" width="18.77734375" style="119" customWidth="1"/>
    <col min="9219" max="9219" width="24" style="119" customWidth="1"/>
    <col min="9220" max="9220" width="4.44140625" style="119" bestFit="1" customWidth="1"/>
    <col min="9221" max="9224" width="7" style="119" customWidth="1"/>
    <col min="9225" max="9230" width="9.33203125" style="119" customWidth="1"/>
    <col min="9231" max="9472" width="9" style="119"/>
    <col min="9473" max="9473" width="5.21875" style="119" bestFit="1" customWidth="1"/>
    <col min="9474" max="9474" width="18.77734375" style="119" customWidth="1"/>
    <col min="9475" max="9475" width="24" style="119" customWidth="1"/>
    <col min="9476" max="9476" width="4.44140625" style="119" bestFit="1" customWidth="1"/>
    <col min="9477" max="9480" width="7" style="119" customWidth="1"/>
    <col min="9481" max="9486" width="9.33203125" style="119" customWidth="1"/>
    <col min="9487" max="9728" width="9" style="119"/>
    <col min="9729" max="9729" width="5.21875" style="119" bestFit="1" customWidth="1"/>
    <col min="9730" max="9730" width="18.77734375" style="119" customWidth="1"/>
    <col min="9731" max="9731" width="24" style="119" customWidth="1"/>
    <col min="9732" max="9732" width="4.44140625" style="119" bestFit="1" customWidth="1"/>
    <col min="9733" max="9736" width="7" style="119" customWidth="1"/>
    <col min="9737" max="9742" width="9.33203125" style="119" customWidth="1"/>
    <col min="9743" max="9984" width="9" style="119"/>
    <col min="9985" max="9985" width="5.21875" style="119" bestFit="1" customWidth="1"/>
    <col min="9986" max="9986" width="18.77734375" style="119" customWidth="1"/>
    <col min="9987" max="9987" width="24" style="119" customWidth="1"/>
    <col min="9988" max="9988" width="4.44140625" style="119" bestFit="1" customWidth="1"/>
    <col min="9989" max="9992" width="7" style="119" customWidth="1"/>
    <col min="9993" max="9998" width="9.33203125" style="119" customWidth="1"/>
    <col min="9999" max="10240" width="9" style="119"/>
    <col min="10241" max="10241" width="5.21875" style="119" bestFit="1" customWidth="1"/>
    <col min="10242" max="10242" width="18.77734375" style="119" customWidth="1"/>
    <col min="10243" max="10243" width="24" style="119" customWidth="1"/>
    <col min="10244" max="10244" width="4.44140625" style="119" bestFit="1" customWidth="1"/>
    <col min="10245" max="10248" width="7" style="119" customWidth="1"/>
    <col min="10249" max="10254" width="9.33203125" style="119" customWidth="1"/>
    <col min="10255" max="10496" width="9" style="119"/>
    <col min="10497" max="10497" width="5.21875" style="119" bestFit="1" customWidth="1"/>
    <col min="10498" max="10498" width="18.77734375" style="119" customWidth="1"/>
    <col min="10499" max="10499" width="24" style="119" customWidth="1"/>
    <col min="10500" max="10500" width="4.44140625" style="119" bestFit="1" customWidth="1"/>
    <col min="10501" max="10504" width="7" style="119" customWidth="1"/>
    <col min="10505" max="10510" width="9.33203125" style="119" customWidth="1"/>
    <col min="10511" max="10752" width="9" style="119"/>
    <col min="10753" max="10753" width="5.21875" style="119" bestFit="1" customWidth="1"/>
    <col min="10754" max="10754" width="18.77734375" style="119" customWidth="1"/>
    <col min="10755" max="10755" width="24" style="119" customWidth="1"/>
    <col min="10756" max="10756" width="4.44140625" style="119" bestFit="1" customWidth="1"/>
    <col min="10757" max="10760" width="7" style="119" customWidth="1"/>
    <col min="10761" max="10766" width="9.33203125" style="119" customWidth="1"/>
    <col min="10767" max="11008" width="9" style="119"/>
    <col min="11009" max="11009" width="5.21875" style="119" bestFit="1" customWidth="1"/>
    <col min="11010" max="11010" width="18.77734375" style="119" customWidth="1"/>
    <col min="11011" max="11011" width="24" style="119" customWidth="1"/>
    <col min="11012" max="11012" width="4.44140625" style="119" bestFit="1" customWidth="1"/>
    <col min="11013" max="11016" width="7" style="119" customWidth="1"/>
    <col min="11017" max="11022" width="9.33203125" style="119" customWidth="1"/>
    <col min="11023" max="11264" width="9" style="119"/>
    <col min="11265" max="11265" width="5.21875" style="119" bestFit="1" customWidth="1"/>
    <col min="11266" max="11266" width="18.77734375" style="119" customWidth="1"/>
    <col min="11267" max="11267" width="24" style="119" customWidth="1"/>
    <col min="11268" max="11268" width="4.44140625" style="119" bestFit="1" customWidth="1"/>
    <col min="11269" max="11272" width="7" style="119" customWidth="1"/>
    <col min="11273" max="11278" width="9.33203125" style="119" customWidth="1"/>
    <col min="11279" max="11520" width="9" style="119"/>
    <col min="11521" max="11521" width="5.21875" style="119" bestFit="1" customWidth="1"/>
    <col min="11522" max="11522" width="18.77734375" style="119" customWidth="1"/>
    <col min="11523" max="11523" width="24" style="119" customWidth="1"/>
    <col min="11524" max="11524" width="4.44140625" style="119" bestFit="1" customWidth="1"/>
    <col min="11525" max="11528" width="7" style="119" customWidth="1"/>
    <col min="11529" max="11534" width="9.33203125" style="119" customWidth="1"/>
    <col min="11535" max="11776" width="9" style="119"/>
    <col min="11777" max="11777" width="5.21875" style="119" bestFit="1" customWidth="1"/>
    <col min="11778" max="11778" width="18.77734375" style="119" customWidth="1"/>
    <col min="11779" max="11779" width="24" style="119" customWidth="1"/>
    <col min="11780" max="11780" width="4.44140625" style="119" bestFit="1" customWidth="1"/>
    <col min="11781" max="11784" width="7" style="119" customWidth="1"/>
    <col min="11785" max="11790" width="9.33203125" style="119" customWidth="1"/>
    <col min="11791" max="12032" width="9" style="119"/>
    <col min="12033" max="12033" width="5.21875" style="119" bestFit="1" customWidth="1"/>
    <col min="12034" max="12034" width="18.77734375" style="119" customWidth="1"/>
    <col min="12035" max="12035" width="24" style="119" customWidth="1"/>
    <col min="12036" max="12036" width="4.44140625" style="119" bestFit="1" customWidth="1"/>
    <col min="12037" max="12040" width="7" style="119" customWidth="1"/>
    <col min="12041" max="12046" width="9.33203125" style="119" customWidth="1"/>
    <col min="12047" max="12288" width="9" style="119"/>
    <col min="12289" max="12289" width="5.21875" style="119" bestFit="1" customWidth="1"/>
    <col min="12290" max="12290" width="18.77734375" style="119" customWidth="1"/>
    <col min="12291" max="12291" width="24" style="119" customWidth="1"/>
    <col min="12292" max="12292" width="4.44140625" style="119" bestFit="1" customWidth="1"/>
    <col min="12293" max="12296" width="7" style="119" customWidth="1"/>
    <col min="12297" max="12302" width="9.33203125" style="119" customWidth="1"/>
    <col min="12303" max="12544" width="9" style="119"/>
    <col min="12545" max="12545" width="5.21875" style="119" bestFit="1" customWidth="1"/>
    <col min="12546" max="12546" width="18.77734375" style="119" customWidth="1"/>
    <col min="12547" max="12547" width="24" style="119" customWidth="1"/>
    <col min="12548" max="12548" width="4.44140625" style="119" bestFit="1" customWidth="1"/>
    <col min="12549" max="12552" width="7" style="119" customWidth="1"/>
    <col min="12553" max="12558" width="9.33203125" style="119" customWidth="1"/>
    <col min="12559" max="12800" width="9" style="119"/>
    <col min="12801" max="12801" width="5.21875" style="119" bestFit="1" customWidth="1"/>
    <col min="12802" max="12802" width="18.77734375" style="119" customWidth="1"/>
    <col min="12803" max="12803" width="24" style="119" customWidth="1"/>
    <col min="12804" max="12804" width="4.44140625" style="119" bestFit="1" customWidth="1"/>
    <col min="12805" max="12808" width="7" style="119" customWidth="1"/>
    <col min="12809" max="12814" width="9.33203125" style="119" customWidth="1"/>
    <col min="12815" max="13056" width="9" style="119"/>
    <col min="13057" max="13057" width="5.21875" style="119" bestFit="1" customWidth="1"/>
    <col min="13058" max="13058" width="18.77734375" style="119" customWidth="1"/>
    <col min="13059" max="13059" width="24" style="119" customWidth="1"/>
    <col min="13060" max="13060" width="4.44140625" style="119" bestFit="1" customWidth="1"/>
    <col min="13061" max="13064" width="7" style="119" customWidth="1"/>
    <col min="13065" max="13070" width="9.33203125" style="119" customWidth="1"/>
    <col min="13071" max="13312" width="9" style="119"/>
    <col min="13313" max="13313" width="5.21875" style="119" bestFit="1" customWidth="1"/>
    <col min="13314" max="13314" width="18.77734375" style="119" customWidth="1"/>
    <col min="13315" max="13315" width="24" style="119" customWidth="1"/>
    <col min="13316" max="13316" width="4.44140625" style="119" bestFit="1" customWidth="1"/>
    <col min="13317" max="13320" width="7" style="119" customWidth="1"/>
    <col min="13321" max="13326" width="9.33203125" style="119" customWidth="1"/>
    <col min="13327" max="13568" width="9" style="119"/>
    <col min="13569" max="13569" width="5.21875" style="119" bestFit="1" customWidth="1"/>
    <col min="13570" max="13570" width="18.77734375" style="119" customWidth="1"/>
    <col min="13571" max="13571" width="24" style="119" customWidth="1"/>
    <col min="13572" max="13572" width="4.44140625" style="119" bestFit="1" customWidth="1"/>
    <col min="13573" max="13576" width="7" style="119" customWidth="1"/>
    <col min="13577" max="13582" width="9.33203125" style="119" customWidth="1"/>
    <col min="13583" max="13824" width="9" style="119"/>
    <col min="13825" max="13825" width="5.21875" style="119" bestFit="1" customWidth="1"/>
    <col min="13826" max="13826" width="18.77734375" style="119" customWidth="1"/>
    <col min="13827" max="13827" width="24" style="119" customWidth="1"/>
    <col min="13828" max="13828" width="4.44140625" style="119" bestFit="1" customWidth="1"/>
    <col min="13829" max="13832" width="7" style="119" customWidth="1"/>
    <col min="13833" max="13838" width="9.33203125" style="119" customWidth="1"/>
    <col min="13839" max="14080" width="9" style="119"/>
    <col min="14081" max="14081" width="5.21875" style="119" bestFit="1" customWidth="1"/>
    <col min="14082" max="14082" width="18.77734375" style="119" customWidth="1"/>
    <col min="14083" max="14083" width="24" style="119" customWidth="1"/>
    <col min="14084" max="14084" width="4.44140625" style="119" bestFit="1" customWidth="1"/>
    <col min="14085" max="14088" width="7" style="119" customWidth="1"/>
    <col min="14089" max="14094" width="9.33203125" style="119" customWidth="1"/>
    <col min="14095" max="14336" width="9" style="119"/>
    <col min="14337" max="14337" width="5.21875" style="119" bestFit="1" customWidth="1"/>
    <col min="14338" max="14338" width="18.77734375" style="119" customWidth="1"/>
    <col min="14339" max="14339" width="24" style="119" customWidth="1"/>
    <col min="14340" max="14340" width="4.44140625" style="119" bestFit="1" customWidth="1"/>
    <col min="14341" max="14344" width="7" style="119" customWidth="1"/>
    <col min="14345" max="14350" width="9.33203125" style="119" customWidth="1"/>
    <col min="14351" max="14592" width="9" style="119"/>
    <col min="14593" max="14593" width="5.21875" style="119" bestFit="1" customWidth="1"/>
    <col min="14594" max="14594" width="18.77734375" style="119" customWidth="1"/>
    <col min="14595" max="14595" width="24" style="119" customWidth="1"/>
    <col min="14596" max="14596" width="4.44140625" style="119" bestFit="1" customWidth="1"/>
    <col min="14597" max="14600" width="7" style="119" customWidth="1"/>
    <col min="14601" max="14606" width="9.33203125" style="119" customWidth="1"/>
    <col min="14607" max="14848" width="9" style="119"/>
    <col min="14849" max="14849" width="5.21875" style="119" bestFit="1" customWidth="1"/>
    <col min="14850" max="14850" width="18.77734375" style="119" customWidth="1"/>
    <col min="14851" max="14851" width="24" style="119" customWidth="1"/>
    <col min="14852" max="14852" width="4.44140625" style="119" bestFit="1" customWidth="1"/>
    <col min="14853" max="14856" width="7" style="119" customWidth="1"/>
    <col min="14857" max="14862" width="9.33203125" style="119" customWidth="1"/>
    <col min="14863" max="15104" width="9" style="119"/>
    <col min="15105" max="15105" width="5.21875" style="119" bestFit="1" customWidth="1"/>
    <col min="15106" max="15106" width="18.77734375" style="119" customWidth="1"/>
    <col min="15107" max="15107" width="24" style="119" customWidth="1"/>
    <col min="15108" max="15108" width="4.44140625" style="119" bestFit="1" customWidth="1"/>
    <col min="15109" max="15112" width="7" style="119" customWidth="1"/>
    <col min="15113" max="15118" width="9.33203125" style="119" customWidth="1"/>
    <col min="15119" max="15360" width="9" style="119"/>
    <col min="15361" max="15361" width="5.21875" style="119" bestFit="1" customWidth="1"/>
    <col min="15362" max="15362" width="18.77734375" style="119" customWidth="1"/>
    <col min="15363" max="15363" width="24" style="119" customWidth="1"/>
    <col min="15364" max="15364" width="4.44140625" style="119" bestFit="1" customWidth="1"/>
    <col min="15365" max="15368" width="7" style="119" customWidth="1"/>
    <col min="15369" max="15374" width="9.33203125" style="119" customWidth="1"/>
    <col min="15375" max="15616" width="9" style="119"/>
    <col min="15617" max="15617" width="5.21875" style="119" bestFit="1" customWidth="1"/>
    <col min="15618" max="15618" width="18.77734375" style="119" customWidth="1"/>
    <col min="15619" max="15619" width="24" style="119" customWidth="1"/>
    <col min="15620" max="15620" width="4.44140625" style="119" bestFit="1" customWidth="1"/>
    <col min="15621" max="15624" width="7" style="119" customWidth="1"/>
    <col min="15625" max="15630" width="9.33203125" style="119" customWidth="1"/>
    <col min="15631" max="15872" width="9" style="119"/>
    <col min="15873" max="15873" width="5.21875" style="119" bestFit="1" customWidth="1"/>
    <col min="15874" max="15874" width="18.77734375" style="119" customWidth="1"/>
    <col min="15875" max="15875" width="24" style="119" customWidth="1"/>
    <col min="15876" max="15876" width="4.44140625" style="119" bestFit="1" customWidth="1"/>
    <col min="15877" max="15880" width="7" style="119" customWidth="1"/>
    <col min="15881" max="15886" width="9.33203125" style="119" customWidth="1"/>
    <col min="15887" max="16128" width="9" style="119"/>
    <col min="16129" max="16129" width="5.21875" style="119" bestFit="1" customWidth="1"/>
    <col min="16130" max="16130" width="18.77734375" style="119" customWidth="1"/>
    <col min="16131" max="16131" width="24" style="119" customWidth="1"/>
    <col min="16132" max="16132" width="4.44140625" style="119" bestFit="1" customWidth="1"/>
    <col min="16133" max="16136" width="7" style="119" customWidth="1"/>
    <col min="16137" max="16142" width="9.33203125" style="119" customWidth="1"/>
    <col min="16143" max="16384" width="9" style="119"/>
  </cols>
  <sheetData>
    <row r="1" spans="1:18" s="117" customFormat="1" ht="12" customHeight="1">
      <c r="A1" s="709" t="s">
        <v>286</v>
      </c>
      <c r="B1" s="709"/>
      <c r="C1" s="115" t="s">
        <v>123</v>
      </c>
      <c r="D1" s="116"/>
      <c r="E1" s="116"/>
      <c r="G1" s="116"/>
      <c r="H1" s="116"/>
      <c r="I1" s="118"/>
      <c r="K1" s="119"/>
      <c r="L1" s="120"/>
      <c r="M1" s="119"/>
      <c r="N1" s="119"/>
      <c r="O1" s="119"/>
      <c r="P1" s="119"/>
      <c r="Q1" s="119"/>
      <c r="R1" s="119"/>
    </row>
    <row r="2" spans="1:18" s="117" customFormat="1" ht="12" customHeight="1">
      <c r="A2" s="115"/>
      <c r="B2" s="115" t="s">
        <v>92</v>
      </c>
      <c r="C2" s="121" t="str">
        <f>表紙!A12</f>
        <v>大藪小学校屋内運動場空調設備設置工事</v>
      </c>
      <c r="D2" s="114"/>
      <c r="E2" s="116"/>
      <c r="G2" s="116"/>
      <c r="H2" s="116"/>
      <c r="I2" s="118"/>
      <c r="K2" s="119"/>
      <c r="L2" s="120"/>
      <c r="M2" s="119"/>
      <c r="N2" s="215" t="s">
        <v>127</v>
      </c>
      <c r="O2" s="119"/>
      <c r="P2" s="119"/>
      <c r="Q2" s="119"/>
      <c r="R2" s="119"/>
    </row>
    <row r="3" spans="1:18" s="117" customFormat="1" ht="12" customHeight="1">
      <c r="A3" s="713" t="s">
        <v>93</v>
      </c>
      <c r="B3" s="714"/>
      <c r="C3" s="719" t="s">
        <v>94</v>
      </c>
      <c r="D3" s="722" t="s">
        <v>95</v>
      </c>
      <c r="E3" s="152"/>
      <c r="F3" s="153" t="s">
        <v>96</v>
      </c>
      <c r="G3" s="153"/>
      <c r="H3" s="153"/>
      <c r="I3" s="154" t="s">
        <v>97</v>
      </c>
      <c r="J3" s="154" t="s">
        <v>98</v>
      </c>
      <c r="K3" s="155"/>
      <c r="L3" s="156"/>
      <c r="M3" s="155" t="s">
        <v>99</v>
      </c>
      <c r="N3" s="157"/>
      <c r="O3" s="158"/>
      <c r="P3" s="158"/>
      <c r="Q3" s="158"/>
      <c r="R3" s="158"/>
    </row>
    <row r="4" spans="1:18" s="117" customFormat="1" ht="12" customHeight="1">
      <c r="A4" s="715"/>
      <c r="B4" s="716"/>
      <c r="C4" s="720"/>
      <c r="D4" s="723"/>
      <c r="E4" s="159"/>
      <c r="F4" s="116" t="s">
        <v>100</v>
      </c>
      <c r="G4" s="115"/>
      <c r="H4" s="115"/>
      <c r="I4" s="160" t="s">
        <v>101</v>
      </c>
      <c r="J4" s="161"/>
      <c r="K4" s="162"/>
      <c r="L4" s="163"/>
      <c r="M4" s="162"/>
      <c r="N4" s="164"/>
      <c r="O4" s="158"/>
      <c r="P4" s="158"/>
      <c r="Q4" s="158"/>
      <c r="R4" s="158"/>
    </row>
    <row r="5" spans="1:18" s="117" customFormat="1" ht="12" customHeight="1">
      <c r="A5" s="717"/>
      <c r="B5" s="718"/>
      <c r="C5" s="721"/>
      <c r="D5" s="724"/>
      <c r="E5" s="165"/>
      <c r="F5" s="166"/>
      <c r="G5" s="166" t="s">
        <v>102</v>
      </c>
      <c r="H5" s="166"/>
      <c r="I5" s="166"/>
      <c r="J5" s="166"/>
      <c r="K5" s="166"/>
      <c r="L5" s="166" t="s">
        <v>103</v>
      </c>
      <c r="M5" s="166"/>
      <c r="N5" s="167"/>
      <c r="O5" s="158"/>
      <c r="P5" s="158"/>
      <c r="Q5" s="158"/>
      <c r="R5" s="158"/>
    </row>
    <row r="6" spans="1:18" s="117" customFormat="1" ht="12" customHeight="1">
      <c r="A6" s="168"/>
      <c r="B6" s="169"/>
      <c r="C6" s="170"/>
      <c r="D6" s="171"/>
      <c r="E6" s="172"/>
      <c r="F6" s="154"/>
      <c r="G6" s="154"/>
      <c r="H6" s="169"/>
      <c r="I6" s="154"/>
      <c r="J6" s="169"/>
      <c r="K6" s="173"/>
      <c r="L6" s="169"/>
      <c r="M6" s="169"/>
      <c r="N6" s="170"/>
      <c r="O6" s="158"/>
      <c r="P6" s="158"/>
      <c r="Q6" s="158"/>
      <c r="R6" s="158"/>
    </row>
    <row r="7" spans="1:18" s="117" customFormat="1" ht="12" customHeight="1">
      <c r="A7" s="174" t="s">
        <v>220</v>
      </c>
      <c r="B7" s="175" t="s">
        <v>253</v>
      </c>
      <c r="C7" s="710" t="s">
        <v>254</v>
      </c>
      <c r="D7" s="176">
        <v>1</v>
      </c>
      <c r="E7" s="159"/>
      <c r="F7" s="177">
        <v>0.81499999999999995</v>
      </c>
      <c r="G7" s="178">
        <v>1.7</v>
      </c>
      <c r="H7" s="179"/>
      <c r="I7" s="160">
        <v>85300</v>
      </c>
      <c r="J7" s="180">
        <f>D7*F7*G7*I7</f>
        <v>118183.15</v>
      </c>
      <c r="K7" s="161"/>
      <c r="L7" s="181">
        <f>J7*0.2</f>
        <v>23636.63</v>
      </c>
      <c r="M7" s="182">
        <f>(J7+L7)*D7</f>
        <v>141819.78</v>
      </c>
      <c r="N7" s="183"/>
      <c r="O7" s="158"/>
      <c r="P7" s="158"/>
      <c r="Q7" s="158"/>
      <c r="R7" s="158"/>
    </row>
    <row r="8" spans="1:18" s="117" customFormat="1" ht="12" customHeight="1">
      <c r="A8" s="174"/>
      <c r="B8" s="175"/>
      <c r="C8" s="711"/>
      <c r="D8" s="176"/>
      <c r="E8" s="159"/>
      <c r="F8" s="178"/>
      <c r="G8" s="178"/>
      <c r="H8" s="179"/>
      <c r="I8" s="160" t="s">
        <v>499</v>
      </c>
      <c r="J8" s="180"/>
      <c r="K8" s="161"/>
      <c r="L8" s="181"/>
      <c r="M8" s="182"/>
      <c r="N8" s="183"/>
      <c r="O8" s="158"/>
      <c r="P8" s="158"/>
      <c r="Q8" s="158"/>
      <c r="R8" s="158"/>
    </row>
    <row r="9" spans="1:18" s="117" customFormat="1" ht="12" customHeight="1">
      <c r="A9" s="174"/>
      <c r="B9" s="175"/>
      <c r="C9" s="712"/>
      <c r="D9" s="176"/>
      <c r="E9" s="159"/>
      <c r="F9" s="178"/>
      <c r="G9" s="178"/>
      <c r="H9" s="179"/>
      <c r="I9" s="160"/>
      <c r="J9" s="180"/>
      <c r="K9" s="161"/>
      <c r="L9" s="181"/>
      <c r="M9" s="182"/>
      <c r="N9" s="183"/>
      <c r="O9" s="158"/>
      <c r="P9" s="158"/>
      <c r="Q9" s="158"/>
      <c r="R9" s="158"/>
    </row>
    <row r="10" spans="1:18" s="117" customFormat="1" ht="12" customHeight="1">
      <c r="A10" s="174" t="s">
        <v>221</v>
      </c>
      <c r="B10" s="175" t="s">
        <v>253</v>
      </c>
      <c r="C10" s="710" t="s">
        <v>254</v>
      </c>
      <c r="D10" s="176">
        <v>1</v>
      </c>
      <c r="E10" s="159"/>
      <c r="F10" s="177">
        <v>0.81499999999999995</v>
      </c>
      <c r="G10" s="178">
        <v>1.7</v>
      </c>
      <c r="H10" s="179"/>
      <c r="I10" s="160">
        <v>85300</v>
      </c>
      <c r="J10" s="180">
        <f>D10*F10*G10*I10</f>
        <v>118183.15</v>
      </c>
      <c r="K10" s="161"/>
      <c r="L10" s="181">
        <f>J10*0.2</f>
        <v>23636.63</v>
      </c>
      <c r="M10" s="182">
        <f>(J10+L10)*D10</f>
        <v>141819.78</v>
      </c>
      <c r="N10" s="183"/>
      <c r="O10" s="158"/>
      <c r="P10" s="158"/>
      <c r="Q10" s="158"/>
      <c r="R10" s="158"/>
    </row>
    <row r="11" spans="1:18" s="117" customFormat="1" ht="12" customHeight="1">
      <c r="A11" s="174"/>
      <c r="B11" s="175"/>
      <c r="C11" s="711"/>
      <c r="D11" s="176"/>
      <c r="E11" s="159"/>
      <c r="F11" s="178"/>
      <c r="G11" s="178"/>
      <c r="H11" s="179"/>
      <c r="I11" s="160" t="s">
        <v>499</v>
      </c>
      <c r="J11" s="180"/>
      <c r="K11" s="161"/>
      <c r="L11" s="181"/>
      <c r="M11" s="182"/>
      <c r="N11" s="183"/>
      <c r="O11" s="158"/>
      <c r="P11" s="158"/>
      <c r="Q11" s="158"/>
      <c r="R11" s="158"/>
    </row>
    <row r="12" spans="1:18" s="117" customFormat="1" ht="12" customHeight="1">
      <c r="A12" s="174"/>
      <c r="B12" s="175"/>
      <c r="C12" s="712"/>
      <c r="D12" s="176"/>
      <c r="E12" s="159"/>
      <c r="F12" s="178"/>
      <c r="G12" s="178"/>
      <c r="H12" s="179"/>
      <c r="I12" s="160"/>
      <c r="J12" s="180"/>
      <c r="K12" s="161"/>
      <c r="L12" s="181"/>
      <c r="M12" s="182"/>
      <c r="N12" s="183"/>
      <c r="O12" s="158"/>
      <c r="P12" s="158"/>
      <c r="Q12" s="158"/>
      <c r="R12" s="158"/>
    </row>
    <row r="13" spans="1:18" s="117" customFormat="1" ht="12" customHeight="1">
      <c r="A13" s="174" t="s">
        <v>222</v>
      </c>
      <c r="B13" s="175" t="s">
        <v>253</v>
      </c>
      <c r="C13" s="710" t="s">
        <v>254</v>
      </c>
      <c r="D13" s="176">
        <v>1</v>
      </c>
      <c r="E13" s="159"/>
      <c r="F13" s="177">
        <v>0.81499999999999995</v>
      </c>
      <c r="G13" s="178">
        <v>1.7</v>
      </c>
      <c r="H13" s="179"/>
      <c r="I13" s="160">
        <v>85300</v>
      </c>
      <c r="J13" s="180">
        <f>D13*F13*G13*I13</f>
        <v>118183.15</v>
      </c>
      <c r="K13" s="161"/>
      <c r="L13" s="181">
        <f>J13*0.2</f>
        <v>23636.63</v>
      </c>
      <c r="M13" s="182">
        <f>(J13+L13)*D13</f>
        <v>141819.78</v>
      </c>
      <c r="N13" s="183"/>
      <c r="O13" s="158"/>
      <c r="P13" s="158"/>
      <c r="Q13" s="158"/>
      <c r="R13" s="158"/>
    </row>
    <row r="14" spans="1:18" s="117" customFormat="1" ht="12" customHeight="1">
      <c r="A14" s="174"/>
      <c r="B14" s="175"/>
      <c r="C14" s="711"/>
      <c r="D14" s="176"/>
      <c r="E14" s="159"/>
      <c r="F14" s="178"/>
      <c r="G14" s="178"/>
      <c r="H14" s="179"/>
      <c r="I14" s="160" t="s">
        <v>499</v>
      </c>
      <c r="J14" s="180"/>
      <c r="K14" s="161"/>
      <c r="L14" s="181"/>
      <c r="M14" s="182"/>
      <c r="N14" s="183"/>
      <c r="O14" s="158"/>
      <c r="P14" s="158"/>
      <c r="Q14" s="158"/>
      <c r="R14" s="158"/>
    </row>
    <row r="15" spans="1:18" s="117" customFormat="1" ht="12" customHeight="1">
      <c r="A15" s="174"/>
      <c r="B15" s="175"/>
      <c r="C15" s="712"/>
      <c r="D15" s="176"/>
      <c r="E15" s="159"/>
      <c r="F15" s="178"/>
      <c r="G15" s="178"/>
      <c r="H15" s="179"/>
      <c r="I15" s="160"/>
      <c r="J15" s="180"/>
      <c r="K15" s="161"/>
      <c r="L15" s="181"/>
      <c r="M15" s="182"/>
      <c r="N15" s="183"/>
      <c r="O15" s="158"/>
      <c r="P15" s="158"/>
      <c r="Q15" s="158"/>
      <c r="R15" s="158"/>
    </row>
    <row r="16" spans="1:18" s="117" customFormat="1" ht="12" customHeight="1">
      <c r="A16" s="174" t="s">
        <v>223</v>
      </c>
      <c r="B16" s="175" t="s">
        <v>253</v>
      </c>
      <c r="C16" s="710" t="s">
        <v>255</v>
      </c>
      <c r="D16" s="176">
        <v>1</v>
      </c>
      <c r="E16" s="159"/>
      <c r="F16" s="177">
        <v>0.55000000000000004</v>
      </c>
      <c r="G16" s="178">
        <v>1.7</v>
      </c>
      <c r="H16" s="179"/>
      <c r="I16" s="160">
        <v>85300</v>
      </c>
      <c r="J16" s="180">
        <f>D16*F16*G16*I16</f>
        <v>79755.5</v>
      </c>
      <c r="K16" s="161"/>
      <c r="L16" s="181">
        <f>J16*0.2</f>
        <v>15951.1</v>
      </c>
      <c r="M16" s="182">
        <f>(J16+L16)*D16</f>
        <v>95706.6</v>
      </c>
      <c r="N16" s="183"/>
      <c r="O16" s="158"/>
      <c r="P16" s="158"/>
      <c r="Q16" s="158"/>
      <c r="R16" s="158"/>
    </row>
    <row r="17" spans="1:18" s="117" customFormat="1" ht="12" customHeight="1">
      <c r="A17" s="174"/>
      <c r="B17" s="175"/>
      <c r="C17" s="711"/>
      <c r="D17" s="176"/>
      <c r="E17" s="159"/>
      <c r="F17" s="178"/>
      <c r="G17" s="178"/>
      <c r="H17" s="179"/>
      <c r="I17" s="160" t="s">
        <v>499</v>
      </c>
      <c r="J17" s="180"/>
      <c r="K17" s="161"/>
      <c r="L17" s="181"/>
      <c r="M17" s="182"/>
      <c r="N17" s="183"/>
      <c r="O17" s="158"/>
      <c r="P17" s="158"/>
      <c r="Q17" s="158"/>
      <c r="R17" s="158"/>
    </row>
    <row r="18" spans="1:18" s="117" customFormat="1" ht="12" customHeight="1">
      <c r="A18" s="174"/>
      <c r="B18" s="175"/>
      <c r="C18" s="712"/>
      <c r="D18" s="176"/>
      <c r="E18" s="159"/>
      <c r="F18" s="178"/>
      <c r="G18" s="178"/>
      <c r="H18" s="179"/>
      <c r="I18" s="160"/>
      <c r="J18" s="180"/>
      <c r="K18" s="161"/>
      <c r="L18" s="181"/>
      <c r="M18" s="182"/>
      <c r="N18" s="183"/>
      <c r="O18" s="158"/>
      <c r="P18" s="158"/>
      <c r="Q18" s="158"/>
      <c r="R18" s="158"/>
    </row>
    <row r="19" spans="1:18" s="117" customFormat="1" ht="12" customHeight="1">
      <c r="A19" s="174"/>
      <c r="B19" s="175"/>
      <c r="C19" s="710"/>
      <c r="D19" s="176"/>
      <c r="E19" s="159"/>
      <c r="F19" s="177"/>
      <c r="G19" s="178"/>
      <c r="H19" s="179"/>
      <c r="I19" s="160"/>
      <c r="J19" s="180"/>
      <c r="K19" s="161"/>
      <c r="L19" s="181"/>
      <c r="M19" s="182"/>
      <c r="N19" s="183"/>
      <c r="O19" s="158"/>
      <c r="P19" s="158"/>
      <c r="Q19" s="158"/>
      <c r="R19" s="158"/>
    </row>
    <row r="20" spans="1:18" s="117" customFormat="1" ht="12" customHeight="1">
      <c r="A20" s="174"/>
      <c r="B20" s="175"/>
      <c r="C20" s="711"/>
      <c r="D20" s="176"/>
      <c r="E20" s="159"/>
      <c r="F20" s="178"/>
      <c r="G20" s="178"/>
      <c r="H20" s="179"/>
      <c r="I20" s="160"/>
      <c r="J20" s="180"/>
      <c r="K20" s="161"/>
      <c r="L20" s="181"/>
      <c r="M20" s="182"/>
      <c r="N20" s="183"/>
      <c r="O20" s="158"/>
      <c r="P20" s="158"/>
      <c r="Q20" s="158"/>
      <c r="R20" s="158"/>
    </row>
    <row r="21" spans="1:18" s="117" customFormat="1" ht="12" customHeight="1">
      <c r="A21" s="174"/>
      <c r="B21" s="175"/>
      <c r="C21" s="712"/>
      <c r="D21" s="176"/>
      <c r="E21" s="159"/>
      <c r="F21" s="178"/>
      <c r="G21" s="178"/>
      <c r="H21" s="179"/>
      <c r="I21" s="160"/>
      <c r="J21" s="180"/>
      <c r="K21" s="161"/>
      <c r="L21" s="181"/>
      <c r="M21" s="182"/>
      <c r="N21" s="183"/>
      <c r="O21" s="158"/>
      <c r="P21" s="158"/>
      <c r="Q21" s="158"/>
      <c r="R21" s="158"/>
    </row>
    <row r="22" spans="1:18" s="117" customFormat="1" ht="12" customHeight="1">
      <c r="A22" s="174"/>
      <c r="B22" s="175"/>
      <c r="C22" s="710"/>
      <c r="D22" s="176"/>
      <c r="E22" s="159"/>
      <c r="F22" s="177"/>
      <c r="G22" s="178"/>
      <c r="H22" s="179"/>
      <c r="I22" s="160"/>
      <c r="J22" s="180"/>
      <c r="K22" s="161"/>
      <c r="L22" s="181"/>
      <c r="M22" s="182"/>
      <c r="N22" s="183"/>
      <c r="O22" s="158"/>
      <c r="P22" s="158"/>
      <c r="Q22" s="158"/>
      <c r="R22" s="158"/>
    </row>
    <row r="23" spans="1:18" s="117" customFormat="1" ht="12" customHeight="1">
      <c r="A23" s="174"/>
      <c r="B23" s="175"/>
      <c r="C23" s="711"/>
      <c r="D23" s="176"/>
      <c r="E23" s="159"/>
      <c r="F23" s="178"/>
      <c r="G23" s="178"/>
      <c r="H23" s="179"/>
      <c r="I23" s="160"/>
      <c r="J23" s="180"/>
      <c r="K23" s="161"/>
      <c r="L23" s="181"/>
      <c r="M23" s="182"/>
      <c r="N23" s="183"/>
      <c r="O23" s="158"/>
      <c r="P23" s="158"/>
      <c r="Q23" s="158"/>
      <c r="R23" s="158"/>
    </row>
    <row r="24" spans="1:18" s="117" customFormat="1" ht="12" customHeight="1">
      <c r="A24" s="174"/>
      <c r="B24" s="175"/>
      <c r="C24" s="712"/>
      <c r="D24" s="176"/>
      <c r="E24" s="159"/>
      <c r="F24" s="178"/>
      <c r="G24" s="178"/>
      <c r="H24" s="179"/>
      <c r="I24" s="160"/>
      <c r="J24" s="180"/>
      <c r="K24" s="161"/>
      <c r="L24" s="181"/>
      <c r="M24" s="182"/>
      <c r="N24" s="183"/>
      <c r="O24" s="158"/>
      <c r="P24" s="158"/>
      <c r="Q24" s="158"/>
      <c r="R24" s="158"/>
    </row>
    <row r="25" spans="1:18" s="117" customFormat="1" ht="12" customHeight="1">
      <c r="A25" s="174"/>
      <c r="B25" s="175"/>
      <c r="C25" s="710"/>
      <c r="D25" s="176"/>
      <c r="E25" s="159"/>
      <c r="F25" s="184"/>
      <c r="G25" s="178"/>
      <c r="H25" s="179"/>
      <c r="I25" s="160"/>
      <c r="J25" s="180"/>
      <c r="K25" s="161"/>
      <c r="L25" s="181"/>
      <c r="M25" s="182"/>
      <c r="N25" s="183"/>
      <c r="O25" s="158"/>
      <c r="P25" s="158"/>
      <c r="Q25" s="158"/>
      <c r="R25" s="158"/>
    </row>
    <row r="26" spans="1:18" s="117" customFormat="1" ht="12" customHeight="1">
      <c r="A26" s="174"/>
      <c r="B26" s="175"/>
      <c r="C26" s="711"/>
      <c r="D26" s="176"/>
      <c r="E26" s="159"/>
      <c r="F26" s="184"/>
      <c r="G26" s="179"/>
      <c r="H26" s="179"/>
      <c r="I26" s="160"/>
      <c r="J26" s="180"/>
      <c r="K26" s="161"/>
      <c r="L26" s="181"/>
      <c r="M26" s="182"/>
      <c r="N26" s="183"/>
      <c r="O26" s="158"/>
      <c r="P26" s="158"/>
      <c r="Q26" s="158"/>
      <c r="R26" s="158"/>
    </row>
    <row r="27" spans="1:18" s="117" customFormat="1" ht="12" customHeight="1">
      <c r="A27" s="174"/>
      <c r="B27" s="175"/>
      <c r="C27" s="712"/>
      <c r="D27" s="176"/>
      <c r="E27" s="159"/>
      <c r="F27" s="184"/>
      <c r="G27" s="179"/>
      <c r="H27" s="179"/>
      <c r="I27" s="160"/>
      <c r="J27" s="180"/>
      <c r="K27" s="161"/>
      <c r="L27" s="181"/>
      <c r="M27" s="182"/>
      <c r="N27" s="183"/>
      <c r="O27" s="158"/>
      <c r="P27" s="158"/>
      <c r="Q27" s="158"/>
      <c r="R27" s="158"/>
    </row>
    <row r="28" spans="1:18" s="117" customFormat="1" ht="12" customHeight="1">
      <c r="A28" s="174"/>
      <c r="B28" s="175"/>
      <c r="C28" s="710"/>
      <c r="D28" s="176"/>
      <c r="E28" s="159"/>
      <c r="F28" s="184"/>
      <c r="G28" s="179"/>
      <c r="H28" s="179"/>
      <c r="I28" s="160"/>
      <c r="J28" s="180"/>
      <c r="K28" s="161"/>
      <c r="L28" s="181"/>
      <c r="M28" s="182"/>
      <c r="N28" s="183"/>
      <c r="O28" s="158"/>
      <c r="P28" s="158"/>
      <c r="Q28" s="158"/>
      <c r="R28" s="158"/>
    </row>
    <row r="29" spans="1:18" s="117" customFormat="1" ht="12" customHeight="1">
      <c r="A29" s="174"/>
      <c r="B29" s="175"/>
      <c r="C29" s="711"/>
      <c r="D29" s="176"/>
      <c r="E29" s="159"/>
      <c r="F29" s="184"/>
      <c r="G29" s="179"/>
      <c r="H29" s="179"/>
      <c r="I29" s="160"/>
      <c r="J29" s="180"/>
      <c r="K29" s="161"/>
      <c r="L29" s="181"/>
      <c r="M29" s="182"/>
      <c r="N29" s="183"/>
      <c r="O29" s="158"/>
      <c r="P29" s="158"/>
      <c r="Q29" s="158"/>
      <c r="R29" s="158"/>
    </row>
    <row r="30" spans="1:18" s="117" customFormat="1" ht="12" customHeight="1">
      <c r="A30" s="174"/>
      <c r="B30" s="175"/>
      <c r="C30" s="712"/>
      <c r="D30" s="176"/>
      <c r="E30" s="159"/>
      <c r="F30" s="184"/>
      <c r="G30" s="179"/>
      <c r="H30" s="179"/>
      <c r="I30" s="160"/>
      <c r="J30" s="180"/>
      <c r="K30" s="161"/>
      <c r="L30" s="181"/>
      <c r="M30" s="182"/>
      <c r="N30" s="183"/>
      <c r="O30" s="158"/>
      <c r="P30" s="158"/>
      <c r="Q30" s="158"/>
      <c r="R30" s="158"/>
    </row>
    <row r="31" spans="1:18" s="117" customFormat="1" ht="12" customHeight="1">
      <c r="A31" s="174"/>
      <c r="B31" s="175"/>
      <c r="C31" s="710"/>
      <c r="D31" s="176"/>
      <c r="E31" s="159"/>
      <c r="F31" s="184"/>
      <c r="G31" s="179"/>
      <c r="H31" s="179"/>
      <c r="I31" s="160"/>
      <c r="J31" s="180"/>
      <c r="K31" s="161"/>
      <c r="L31" s="181"/>
      <c r="M31" s="182"/>
      <c r="N31" s="183"/>
      <c r="O31" s="158"/>
      <c r="P31" s="158"/>
      <c r="Q31" s="158"/>
      <c r="R31" s="158"/>
    </row>
    <row r="32" spans="1:18" s="117" customFormat="1" ht="12" customHeight="1">
      <c r="A32" s="174"/>
      <c r="B32" s="175"/>
      <c r="C32" s="711"/>
      <c r="D32" s="176"/>
      <c r="E32" s="159"/>
      <c r="F32" s="184"/>
      <c r="G32" s="179"/>
      <c r="H32" s="179"/>
      <c r="I32" s="160"/>
      <c r="J32" s="180"/>
      <c r="K32" s="161"/>
      <c r="L32" s="181"/>
      <c r="M32" s="182"/>
      <c r="N32" s="183"/>
      <c r="O32" s="158"/>
      <c r="P32" s="158"/>
      <c r="Q32" s="158"/>
      <c r="R32" s="158"/>
    </row>
    <row r="33" spans="1:18" s="117" customFormat="1" ht="12" customHeight="1">
      <c r="A33" s="174"/>
      <c r="B33" s="175"/>
      <c r="C33" s="712"/>
      <c r="D33" s="176"/>
      <c r="E33" s="159"/>
      <c r="F33" s="184"/>
      <c r="G33" s="179"/>
      <c r="H33" s="179"/>
      <c r="I33" s="160"/>
      <c r="J33" s="180"/>
      <c r="K33" s="161"/>
      <c r="L33" s="181"/>
      <c r="M33" s="182"/>
      <c r="N33" s="183"/>
      <c r="O33" s="158"/>
      <c r="P33" s="158"/>
      <c r="Q33" s="158"/>
      <c r="R33" s="158"/>
    </row>
    <row r="34" spans="1:18" s="117" customFormat="1" ht="12" customHeight="1">
      <c r="A34" s="174"/>
      <c r="B34" s="175"/>
      <c r="C34" s="710"/>
      <c r="D34" s="176"/>
      <c r="E34" s="159"/>
      <c r="F34" s="184"/>
      <c r="G34" s="179"/>
      <c r="H34" s="179"/>
      <c r="I34" s="160"/>
      <c r="J34" s="180"/>
      <c r="K34" s="161"/>
      <c r="L34" s="181"/>
      <c r="M34" s="182"/>
      <c r="N34" s="183"/>
      <c r="O34" s="158"/>
      <c r="P34" s="158"/>
      <c r="Q34" s="158"/>
      <c r="R34" s="158"/>
    </row>
    <row r="35" spans="1:18" s="117" customFormat="1" ht="12" customHeight="1">
      <c r="A35" s="174"/>
      <c r="B35" s="175"/>
      <c r="C35" s="711"/>
      <c r="D35" s="176"/>
      <c r="E35" s="159"/>
      <c r="F35" s="184"/>
      <c r="G35" s="179"/>
      <c r="H35" s="179"/>
      <c r="I35" s="160"/>
      <c r="J35" s="180"/>
      <c r="K35" s="161"/>
      <c r="L35" s="181"/>
      <c r="M35" s="182"/>
      <c r="N35" s="183"/>
      <c r="O35" s="158"/>
      <c r="P35" s="158"/>
      <c r="Q35" s="158"/>
      <c r="R35" s="158"/>
    </row>
    <row r="36" spans="1:18" s="117" customFormat="1" ht="12" customHeight="1">
      <c r="A36" s="174"/>
      <c r="B36" s="175"/>
      <c r="C36" s="712"/>
      <c r="D36" s="176"/>
      <c r="E36" s="159"/>
      <c r="F36" s="184"/>
      <c r="G36" s="179"/>
      <c r="H36" s="179"/>
      <c r="I36" s="160"/>
      <c r="J36" s="180"/>
      <c r="K36" s="161"/>
      <c r="L36" s="181"/>
      <c r="M36" s="182"/>
      <c r="N36" s="183"/>
      <c r="O36" s="158"/>
      <c r="P36" s="158"/>
      <c r="Q36" s="158"/>
      <c r="R36" s="158"/>
    </row>
    <row r="37" spans="1:18" s="117" customFormat="1" ht="12" customHeight="1">
      <c r="A37" s="174"/>
      <c r="B37" s="175"/>
      <c r="C37" s="710"/>
      <c r="D37" s="176"/>
      <c r="E37" s="159"/>
      <c r="F37" s="184"/>
      <c r="G37" s="179"/>
      <c r="H37" s="179"/>
      <c r="I37" s="160"/>
      <c r="J37" s="180"/>
      <c r="K37" s="161"/>
      <c r="L37" s="181"/>
      <c r="M37" s="182"/>
      <c r="N37" s="183"/>
      <c r="O37" s="158"/>
      <c r="P37" s="158"/>
      <c r="Q37" s="158"/>
      <c r="R37" s="158"/>
    </row>
    <row r="38" spans="1:18" s="117" customFormat="1" ht="12" customHeight="1">
      <c r="A38" s="174"/>
      <c r="B38" s="175"/>
      <c r="C38" s="711"/>
      <c r="D38" s="176"/>
      <c r="E38" s="159"/>
      <c r="F38" s="184"/>
      <c r="G38" s="179"/>
      <c r="H38" s="179"/>
      <c r="I38" s="160"/>
      <c r="J38" s="180"/>
      <c r="K38" s="161"/>
      <c r="L38" s="181"/>
      <c r="M38" s="182"/>
      <c r="N38" s="183"/>
      <c r="O38" s="158"/>
      <c r="P38" s="158"/>
      <c r="Q38" s="158"/>
      <c r="R38" s="158"/>
    </row>
    <row r="39" spans="1:18" s="117" customFormat="1" ht="12" customHeight="1">
      <c r="A39" s="174"/>
      <c r="B39" s="175"/>
      <c r="C39" s="712"/>
      <c r="D39" s="176"/>
      <c r="E39" s="159"/>
      <c r="F39" s="184"/>
      <c r="G39" s="179"/>
      <c r="H39" s="179"/>
      <c r="I39" s="160"/>
      <c r="J39" s="180"/>
      <c r="K39" s="161"/>
      <c r="L39" s="181"/>
      <c r="M39" s="182"/>
      <c r="N39" s="183"/>
      <c r="O39" s="158"/>
      <c r="P39" s="158"/>
      <c r="Q39" s="158"/>
      <c r="R39" s="158"/>
    </row>
    <row r="40" spans="1:18" s="117" customFormat="1" ht="12" customHeight="1">
      <c r="A40" s="174"/>
      <c r="B40" s="175"/>
      <c r="C40" s="710"/>
      <c r="D40" s="176"/>
      <c r="E40" s="159"/>
      <c r="F40" s="184"/>
      <c r="G40" s="179"/>
      <c r="H40" s="179"/>
      <c r="I40" s="160"/>
      <c r="J40" s="180"/>
      <c r="K40" s="161"/>
      <c r="L40" s="181"/>
      <c r="M40" s="182"/>
      <c r="N40" s="183"/>
      <c r="O40" s="158"/>
      <c r="P40" s="158"/>
      <c r="Q40" s="158"/>
      <c r="R40" s="158"/>
    </row>
    <row r="41" spans="1:18" s="117" customFormat="1" ht="12" customHeight="1">
      <c r="A41" s="174"/>
      <c r="B41" s="175"/>
      <c r="C41" s="711"/>
      <c r="D41" s="176"/>
      <c r="E41" s="159"/>
      <c r="F41" s="184"/>
      <c r="G41" s="179"/>
      <c r="H41" s="179"/>
      <c r="I41" s="160"/>
      <c r="J41" s="180"/>
      <c r="K41" s="161"/>
      <c r="L41" s="181"/>
      <c r="M41" s="182"/>
      <c r="N41" s="183"/>
      <c r="O41" s="158"/>
      <c r="P41" s="158"/>
      <c r="Q41" s="158"/>
      <c r="R41" s="158"/>
    </row>
    <row r="42" spans="1:18" s="117" customFormat="1" ht="12" customHeight="1">
      <c r="A42" s="174"/>
      <c r="B42" s="175"/>
      <c r="C42" s="710"/>
      <c r="D42" s="176"/>
      <c r="E42" s="159"/>
      <c r="F42" s="184"/>
      <c r="G42" s="179"/>
      <c r="H42" s="179"/>
      <c r="I42" s="160"/>
      <c r="J42" s="180"/>
      <c r="K42" s="161"/>
      <c r="L42" s="181"/>
      <c r="M42" s="182"/>
      <c r="N42" s="183"/>
      <c r="O42" s="158"/>
      <c r="P42" s="158"/>
      <c r="Q42" s="158"/>
      <c r="R42" s="158"/>
    </row>
    <row r="43" spans="1:18" s="117" customFormat="1" ht="12" customHeight="1">
      <c r="A43" s="174"/>
      <c r="B43" s="175"/>
      <c r="C43" s="711"/>
      <c r="D43" s="176"/>
      <c r="E43" s="159"/>
      <c r="F43" s="184"/>
      <c r="G43" s="179"/>
      <c r="H43" s="179"/>
      <c r="I43" s="160"/>
      <c r="J43" s="180"/>
      <c r="K43" s="161"/>
      <c r="L43" s="181"/>
      <c r="M43" s="182"/>
      <c r="N43" s="183"/>
      <c r="O43" s="158"/>
      <c r="P43" s="158"/>
      <c r="Q43" s="158"/>
      <c r="R43" s="158"/>
    </row>
    <row r="44" spans="1:18" s="117" customFormat="1" ht="12" customHeight="1">
      <c r="A44" s="174"/>
      <c r="B44" s="175"/>
      <c r="C44" s="712"/>
      <c r="D44" s="176"/>
      <c r="E44" s="159"/>
      <c r="F44" s="184"/>
      <c r="G44" s="179"/>
      <c r="H44" s="179"/>
      <c r="I44" s="160"/>
      <c r="J44" s="180"/>
      <c r="K44" s="161"/>
      <c r="L44" s="181"/>
      <c r="M44" s="182"/>
      <c r="N44" s="183"/>
      <c r="O44" s="158"/>
      <c r="P44" s="158"/>
      <c r="Q44" s="158"/>
      <c r="R44" s="158"/>
    </row>
    <row r="45" spans="1:18" s="117" customFormat="1" ht="12" customHeight="1">
      <c r="A45" s="185"/>
      <c r="B45" s="180"/>
      <c r="C45" s="186"/>
      <c r="D45" s="176"/>
      <c r="E45" s="159"/>
      <c r="F45" s="184"/>
      <c r="G45" s="179"/>
      <c r="H45" s="179"/>
      <c r="I45" s="160"/>
      <c r="J45" s="180"/>
      <c r="K45" s="161"/>
      <c r="L45" s="181"/>
      <c r="M45" s="182"/>
      <c r="N45" s="183"/>
      <c r="O45" s="158"/>
      <c r="P45" s="158"/>
      <c r="Q45" s="158"/>
      <c r="R45" s="158"/>
    </row>
    <row r="46" spans="1:18" s="117" customFormat="1" ht="12" customHeight="1">
      <c r="A46" s="187"/>
      <c r="B46" s="188"/>
      <c r="C46" s="189"/>
      <c r="D46" s="190"/>
      <c r="E46" s="191"/>
      <c r="F46" s="192"/>
      <c r="G46" s="193"/>
      <c r="H46" s="193"/>
      <c r="I46" s="194"/>
      <c r="J46" s="195"/>
      <c r="K46" s="196"/>
      <c r="L46" s="197"/>
      <c r="M46" s="198"/>
      <c r="N46" s="199"/>
      <c r="O46" s="158"/>
      <c r="P46" s="158"/>
      <c r="Q46" s="158"/>
      <c r="R46" s="158"/>
    </row>
    <row r="47" spans="1:18" s="117" customFormat="1" ht="12" customHeight="1">
      <c r="A47" s="713" t="s">
        <v>105</v>
      </c>
      <c r="B47" s="725"/>
      <c r="C47" s="725"/>
      <c r="D47" s="725"/>
      <c r="E47" s="152"/>
      <c r="F47" s="200"/>
      <c r="G47" s="201"/>
      <c r="H47" s="201"/>
      <c r="I47" s="154"/>
      <c r="J47" s="169"/>
      <c r="K47" s="202"/>
      <c r="L47" s="203" t="s">
        <v>99</v>
      </c>
      <c r="M47" s="204">
        <f>SUM(M6:M45)</f>
        <v>521165.93999999994</v>
      </c>
      <c r="N47" s="205"/>
      <c r="O47" s="158"/>
      <c r="P47" s="158"/>
      <c r="Q47" s="158"/>
      <c r="R47" s="158"/>
    </row>
    <row r="48" spans="1:18" s="117" customFormat="1" ht="12" customHeight="1">
      <c r="A48" s="717"/>
      <c r="B48" s="709"/>
      <c r="C48" s="709"/>
      <c r="D48" s="709"/>
      <c r="E48" s="206"/>
      <c r="F48" s="207"/>
      <c r="G48" s="208"/>
      <c r="H48" s="208"/>
      <c r="I48" s="166"/>
      <c r="J48" s="188"/>
      <c r="K48" s="209"/>
      <c r="L48" s="210" t="s">
        <v>104</v>
      </c>
      <c r="M48" s="211">
        <f>ROUNDDOWN(M47,-3)</f>
        <v>521000</v>
      </c>
      <c r="N48" s="212"/>
      <c r="O48" s="158"/>
      <c r="P48" s="158"/>
      <c r="Q48" s="158"/>
      <c r="R48" s="158"/>
    </row>
  </sheetData>
  <mergeCells count="18">
    <mergeCell ref="A47:D48"/>
    <mergeCell ref="C13:C15"/>
    <mergeCell ref="C16:C18"/>
    <mergeCell ref="C19:C21"/>
    <mergeCell ref="C22:C24"/>
    <mergeCell ref="C25:C27"/>
    <mergeCell ref="C28:C30"/>
    <mergeCell ref="C31:C33"/>
    <mergeCell ref="C34:C36"/>
    <mergeCell ref="C37:C39"/>
    <mergeCell ref="C40:C41"/>
    <mergeCell ref="C42:C44"/>
    <mergeCell ref="C10:C12"/>
    <mergeCell ref="A1:B1"/>
    <mergeCell ref="A3:B5"/>
    <mergeCell ref="C3:C5"/>
    <mergeCell ref="D3:D5"/>
    <mergeCell ref="C7:C9"/>
  </mergeCells>
  <phoneticPr fontId="48"/>
  <printOptions horizontalCentered="1" verticalCentered="1"/>
  <pageMargins left="0.31496062992125984" right="0.31496062992125984" top="0.59055118110236227" bottom="0.59055118110236227" header="0.51181102362204722" footer="0.51181102362204722"/>
  <pageSetup paperSize="9" scale="95" orientation="landscape" r:id="rId1"/>
  <headerFooter alignWithMargins="0"/>
  <drawing r:id="rId2"/>
  <extLst>
    <ext xmlns:x14="http://schemas.microsoft.com/office/spreadsheetml/2009/9/main" uri="{CCE6A557-97BC-4b89-ADB6-D9C93CAAB3DF}">
      <x14:dataValidations xmlns:xm="http://schemas.microsoft.com/office/excel/2006/main" disablePrompts="1" count="1">
        <x14:dataValidation imeMode="hiragana" allowBlank="1" showInputMessage="1" showErrorMessage="1" xr:uid="{141C2464-9CAD-4536-A274-000B4623E720}">
          <xm:sqref>E65531:E65533 JA65531:JA65533 SW65531:SW65533 ACS65531:ACS65533 AMO65531:AMO65533 AWK65531:AWK65533 BGG65531:BGG65533 BQC65531:BQC65533 BZY65531:BZY65533 CJU65531:CJU65533 CTQ65531:CTQ65533 DDM65531:DDM65533 DNI65531:DNI65533 DXE65531:DXE65533 EHA65531:EHA65533 EQW65531:EQW65533 FAS65531:FAS65533 FKO65531:FKO65533 FUK65531:FUK65533 GEG65531:GEG65533 GOC65531:GOC65533 GXY65531:GXY65533 HHU65531:HHU65533 HRQ65531:HRQ65533 IBM65531:IBM65533 ILI65531:ILI65533 IVE65531:IVE65533 JFA65531:JFA65533 JOW65531:JOW65533 JYS65531:JYS65533 KIO65531:KIO65533 KSK65531:KSK65533 LCG65531:LCG65533 LMC65531:LMC65533 LVY65531:LVY65533 MFU65531:MFU65533 MPQ65531:MPQ65533 MZM65531:MZM65533 NJI65531:NJI65533 NTE65531:NTE65533 ODA65531:ODA65533 OMW65531:OMW65533 OWS65531:OWS65533 PGO65531:PGO65533 PQK65531:PQK65533 QAG65531:QAG65533 QKC65531:QKC65533 QTY65531:QTY65533 RDU65531:RDU65533 RNQ65531:RNQ65533 RXM65531:RXM65533 SHI65531:SHI65533 SRE65531:SRE65533 TBA65531:TBA65533 TKW65531:TKW65533 TUS65531:TUS65533 UEO65531:UEO65533 UOK65531:UOK65533 UYG65531:UYG65533 VIC65531:VIC65533 VRY65531:VRY65533 WBU65531:WBU65533 WLQ65531:WLQ65533 WVM65531:WVM65533 E131067:E131069 JA131067:JA131069 SW131067:SW131069 ACS131067:ACS131069 AMO131067:AMO131069 AWK131067:AWK131069 BGG131067:BGG131069 BQC131067:BQC131069 BZY131067:BZY131069 CJU131067:CJU131069 CTQ131067:CTQ131069 DDM131067:DDM131069 DNI131067:DNI131069 DXE131067:DXE131069 EHA131067:EHA131069 EQW131067:EQW131069 FAS131067:FAS131069 FKO131067:FKO131069 FUK131067:FUK131069 GEG131067:GEG131069 GOC131067:GOC131069 GXY131067:GXY131069 HHU131067:HHU131069 HRQ131067:HRQ131069 IBM131067:IBM131069 ILI131067:ILI131069 IVE131067:IVE131069 JFA131067:JFA131069 JOW131067:JOW131069 JYS131067:JYS131069 KIO131067:KIO131069 KSK131067:KSK131069 LCG131067:LCG131069 LMC131067:LMC131069 LVY131067:LVY131069 MFU131067:MFU131069 MPQ131067:MPQ131069 MZM131067:MZM131069 NJI131067:NJI131069 NTE131067:NTE131069 ODA131067:ODA131069 OMW131067:OMW131069 OWS131067:OWS131069 PGO131067:PGO131069 PQK131067:PQK131069 QAG131067:QAG131069 QKC131067:QKC131069 QTY131067:QTY131069 RDU131067:RDU131069 RNQ131067:RNQ131069 RXM131067:RXM131069 SHI131067:SHI131069 SRE131067:SRE131069 TBA131067:TBA131069 TKW131067:TKW131069 TUS131067:TUS131069 UEO131067:UEO131069 UOK131067:UOK131069 UYG131067:UYG131069 VIC131067:VIC131069 VRY131067:VRY131069 WBU131067:WBU131069 WLQ131067:WLQ131069 WVM131067:WVM131069 E196603:E196605 JA196603:JA196605 SW196603:SW196605 ACS196603:ACS196605 AMO196603:AMO196605 AWK196603:AWK196605 BGG196603:BGG196605 BQC196603:BQC196605 BZY196603:BZY196605 CJU196603:CJU196605 CTQ196603:CTQ196605 DDM196603:DDM196605 DNI196603:DNI196605 DXE196603:DXE196605 EHA196603:EHA196605 EQW196603:EQW196605 FAS196603:FAS196605 FKO196603:FKO196605 FUK196603:FUK196605 GEG196603:GEG196605 GOC196603:GOC196605 GXY196603:GXY196605 HHU196603:HHU196605 HRQ196603:HRQ196605 IBM196603:IBM196605 ILI196603:ILI196605 IVE196603:IVE196605 JFA196603:JFA196605 JOW196603:JOW196605 JYS196603:JYS196605 KIO196603:KIO196605 KSK196603:KSK196605 LCG196603:LCG196605 LMC196603:LMC196605 LVY196603:LVY196605 MFU196603:MFU196605 MPQ196603:MPQ196605 MZM196603:MZM196605 NJI196603:NJI196605 NTE196603:NTE196605 ODA196603:ODA196605 OMW196603:OMW196605 OWS196603:OWS196605 PGO196603:PGO196605 PQK196603:PQK196605 QAG196603:QAG196605 QKC196603:QKC196605 QTY196603:QTY196605 RDU196603:RDU196605 RNQ196603:RNQ196605 RXM196603:RXM196605 SHI196603:SHI196605 SRE196603:SRE196605 TBA196603:TBA196605 TKW196603:TKW196605 TUS196603:TUS196605 UEO196603:UEO196605 UOK196603:UOK196605 UYG196603:UYG196605 VIC196603:VIC196605 VRY196603:VRY196605 WBU196603:WBU196605 WLQ196603:WLQ196605 WVM196603:WVM196605 E262139:E262141 JA262139:JA262141 SW262139:SW262141 ACS262139:ACS262141 AMO262139:AMO262141 AWK262139:AWK262141 BGG262139:BGG262141 BQC262139:BQC262141 BZY262139:BZY262141 CJU262139:CJU262141 CTQ262139:CTQ262141 DDM262139:DDM262141 DNI262139:DNI262141 DXE262139:DXE262141 EHA262139:EHA262141 EQW262139:EQW262141 FAS262139:FAS262141 FKO262139:FKO262141 FUK262139:FUK262141 GEG262139:GEG262141 GOC262139:GOC262141 GXY262139:GXY262141 HHU262139:HHU262141 HRQ262139:HRQ262141 IBM262139:IBM262141 ILI262139:ILI262141 IVE262139:IVE262141 JFA262139:JFA262141 JOW262139:JOW262141 JYS262139:JYS262141 KIO262139:KIO262141 KSK262139:KSK262141 LCG262139:LCG262141 LMC262139:LMC262141 LVY262139:LVY262141 MFU262139:MFU262141 MPQ262139:MPQ262141 MZM262139:MZM262141 NJI262139:NJI262141 NTE262139:NTE262141 ODA262139:ODA262141 OMW262139:OMW262141 OWS262139:OWS262141 PGO262139:PGO262141 PQK262139:PQK262141 QAG262139:QAG262141 QKC262139:QKC262141 QTY262139:QTY262141 RDU262139:RDU262141 RNQ262139:RNQ262141 RXM262139:RXM262141 SHI262139:SHI262141 SRE262139:SRE262141 TBA262139:TBA262141 TKW262139:TKW262141 TUS262139:TUS262141 UEO262139:UEO262141 UOK262139:UOK262141 UYG262139:UYG262141 VIC262139:VIC262141 VRY262139:VRY262141 WBU262139:WBU262141 WLQ262139:WLQ262141 WVM262139:WVM262141 E327675:E327677 JA327675:JA327677 SW327675:SW327677 ACS327675:ACS327677 AMO327675:AMO327677 AWK327675:AWK327677 BGG327675:BGG327677 BQC327675:BQC327677 BZY327675:BZY327677 CJU327675:CJU327677 CTQ327675:CTQ327677 DDM327675:DDM327677 DNI327675:DNI327677 DXE327675:DXE327677 EHA327675:EHA327677 EQW327675:EQW327677 FAS327675:FAS327677 FKO327675:FKO327677 FUK327675:FUK327677 GEG327675:GEG327677 GOC327675:GOC327677 GXY327675:GXY327677 HHU327675:HHU327677 HRQ327675:HRQ327677 IBM327675:IBM327677 ILI327675:ILI327677 IVE327675:IVE327677 JFA327675:JFA327677 JOW327675:JOW327677 JYS327675:JYS327677 KIO327675:KIO327677 KSK327675:KSK327677 LCG327675:LCG327677 LMC327675:LMC327677 LVY327675:LVY327677 MFU327675:MFU327677 MPQ327675:MPQ327677 MZM327675:MZM327677 NJI327675:NJI327677 NTE327675:NTE327677 ODA327675:ODA327677 OMW327675:OMW327677 OWS327675:OWS327677 PGO327675:PGO327677 PQK327675:PQK327677 QAG327675:QAG327677 QKC327675:QKC327677 QTY327675:QTY327677 RDU327675:RDU327677 RNQ327675:RNQ327677 RXM327675:RXM327677 SHI327675:SHI327677 SRE327675:SRE327677 TBA327675:TBA327677 TKW327675:TKW327677 TUS327675:TUS327677 UEO327675:UEO327677 UOK327675:UOK327677 UYG327675:UYG327677 VIC327675:VIC327677 VRY327675:VRY327677 WBU327675:WBU327677 WLQ327675:WLQ327677 WVM327675:WVM327677 E393211:E393213 JA393211:JA393213 SW393211:SW393213 ACS393211:ACS393213 AMO393211:AMO393213 AWK393211:AWK393213 BGG393211:BGG393213 BQC393211:BQC393213 BZY393211:BZY393213 CJU393211:CJU393213 CTQ393211:CTQ393213 DDM393211:DDM393213 DNI393211:DNI393213 DXE393211:DXE393213 EHA393211:EHA393213 EQW393211:EQW393213 FAS393211:FAS393213 FKO393211:FKO393213 FUK393211:FUK393213 GEG393211:GEG393213 GOC393211:GOC393213 GXY393211:GXY393213 HHU393211:HHU393213 HRQ393211:HRQ393213 IBM393211:IBM393213 ILI393211:ILI393213 IVE393211:IVE393213 JFA393211:JFA393213 JOW393211:JOW393213 JYS393211:JYS393213 KIO393211:KIO393213 KSK393211:KSK393213 LCG393211:LCG393213 LMC393211:LMC393213 LVY393211:LVY393213 MFU393211:MFU393213 MPQ393211:MPQ393213 MZM393211:MZM393213 NJI393211:NJI393213 NTE393211:NTE393213 ODA393211:ODA393213 OMW393211:OMW393213 OWS393211:OWS393213 PGO393211:PGO393213 PQK393211:PQK393213 QAG393211:QAG393213 QKC393211:QKC393213 QTY393211:QTY393213 RDU393211:RDU393213 RNQ393211:RNQ393213 RXM393211:RXM393213 SHI393211:SHI393213 SRE393211:SRE393213 TBA393211:TBA393213 TKW393211:TKW393213 TUS393211:TUS393213 UEO393211:UEO393213 UOK393211:UOK393213 UYG393211:UYG393213 VIC393211:VIC393213 VRY393211:VRY393213 WBU393211:WBU393213 WLQ393211:WLQ393213 WVM393211:WVM393213 E458747:E458749 JA458747:JA458749 SW458747:SW458749 ACS458747:ACS458749 AMO458747:AMO458749 AWK458747:AWK458749 BGG458747:BGG458749 BQC458747:BQC458749 BZY458747:BZY458749 CJU458747:CJU458749 CTQ458747:CTQ458749 DDM458747:DDM458749 DNI458747:DNI458749 DXE458747:DXE458749 EHA458747:EHA458749 EQW458747:EQW458749 FAS458747:FAS458749 FKO458747:FKO458749 FUK458747:FUK458749 GEG458747:GEG458749 GOC458747:GOC458749 GXY458747:GXY458749 HHU458747:HHU458749 HRQ458747:HRQ458749 IBM458747:IBM458749 ILI458747:ILI458749 IVE458747:IVE458749 JFA458747:JFA458749 JOW458747:JOW458749 JYS458747:JYS458749 KIO458747:KIO458749 KSK458747:KSK458749 LCG458747:LCG458749 LMC458747:LMC458749 LVY458747:LVY458749 MFU458747:MFU458749 MPQ458747:MPQ458749 MZM458747:MZM458749 NJI458747:NJI458749 NTE458747:NTE458749 ODA458747:ODA458749 OMW458747:OMW458749 OWS458747:OWS458749 PGO458747:PGO458749 PQK458747:PQK458749 QAG458747:QAG458749 QKC458747:QKC458749 QTY458747:QTY458749 RDU458747:RDU458749 RNQ458747:RNQ458749 RXM458747:RXM458749 SHI458747:SHI458749 SRE458747:SRE458749 TBA458747:TBA458749 TKW458747:TKW458749 TUS458747:TUS458749 UEO458747:UEO458749 UOK458747:UOK458749 UYG458747:UYG458749 VIC458747:VIC458749 VRY458747:VRY458749 WBU458747:WBU458749 WLQ458747:WLQ458749 WVM458747:WVM458749 E524283:E524285 JA524283:JA524285 SW524283:SW524285 ACS524283:ACS524285 AMO524283:AMO524285 AWK524283:AWK524285 BGG524283:BGG524285 BQC524283:BQC524285 BZY524283:BZY524285 CJU524283:CJU524285 CTQ524283:CTQ524285 DDM524283:DDM524285 DNI524283:DNI524285 DXE524283:DXE524285 EHA524283:EHA524285 EQW524283:EQW524285 FAS524283:FAS524285 FKO524283:FKO524285 FUK524283:FUK524285 GEG524283:GEG524285 GOC524283:GOC524285 GXY524283:GXY524285 HHU524283:HHU524285 HRQ524283:HRQ524285 IBM524283:IBM524285 ILI524283:ILI524285 IVE524283:IVE524285 JFA524283:JFA524285 JOW524283:JOW524285 JYS524283:JYS524285 KIO524283:KIO524285 KSK524283:KSK524285 LCG524283:LCG524285 LMC524283:LMC524285 LVY524283:LVY524285 MFU524283:MFU524285 MPQ524283:MPQ524285 MZM524283:MZM524285 NJI524283:NJI524285 NTE524283:NTE524285 ODA524283:ODA524285 OMW524283:OMW524285 OWS524283:OWS524285 PGO524283:PGO524285 PQK524283:PQK524285 QAG524283:QAG524285 QKC524283:QKC524285 QTY524283:QTY524285 RDU524283:RDU524285 RNQ524283:RNQ524285 RXM524283:RXM524285 SHI524283:SHI524285 SRE524283:SRE524285 TBA524283:TBA524285 TKW524283:TKW524285 TUS524283:TUS524285 UEO524283:UEO524285 UOK524283:UOK524285 UYG524283:UYG524285 VIC524283:VIC524285 VRY524283:VRY524285 WBU524283:WBU524285 WLQ524283:WLQ524285 WVM524283:WVM524285 E589819:E589821 JA589819:JA589821 SW589819:SW589821 ACS589819:ACS589821 AMO589819:AMO589821 AWK589819:AWK589821 BGG589819:BGG589821 BQC589819:BQC589821 BZY589819:BZY589821 CJU589819:CJU589821 CTQ589819:CTQ589821 DDM589819:DDM589821 DNI589819:DNI589821 DXE589819:DXE589821 EHA589819:EHA589821 EQW589819:EQW589821 FAS589819:FAS589821 FKO589819:FKO589821 FUK589819:FUK589821 GEG589819:GEG589821 GOC589819:GOC589821 GXY589819:GXY589821 HHU589819:HHU589821 HRQ589819:HRQ589821 IBM589819:IBM589821 ILI589819:ILI589821 IVE589819:IVE589821 JFA589819:JFA589821 JOW589819:JOW589821 JYS589819:JYS589821 KIO589819:KIO589821 KSK589819:KSK589821 LCG589819:LCG589821 LMC589819:LMC589821 LVY589819:LVY589821 MFU589819:MFU589821 MPQ589819:MPQ589821 MZM589819:MZM589821 NJI589819:NJI589821 NTE589819:NTE589821 ODA589819:ODA589821 OMW589819:OMW589821 OWS589819:OWS589821 PGO589819:PGO589821 PQK589819:PQK589821 QAG589819:QAG589821 QKC589819:QKC589821 QTY589819:QTY589821 RDU589819:RDU589821 RNQ589819:RNQ589821 RXM589819:RXM589821 SHI589819:SHI589821 SRE589819:SRE589821 TBA589819:TBA589821 TKW589819:TKW589821 TUS589819:TUS589821 UEO589819:UEO589821 UOK589819:UOK589821 UYG589819:UYG589821 VIC589819:VIC589821 VRY589819:VRY589821 WBU589819:WBU589821 WLQ589819:WLQ589821 WVM589819:WVM589821 E655355:E655357 JA655355:JA655357 SW655355:SW655357 ACS655355:ACS655357 AMO655355:AMO655357 AWK655355:AWK655357 BGG655355:BGG655357 BQC655355:BQC655357 BZY655355:BZY655357 CJU655355:CJU655357 CTQ655355:CTQ655357 DDM655355:DDM655357 DNI655355:DNI655357 DXE655355:DXE655357 EHA655355:EHA655357 EQW655355:EQW655357 FAS655355:FAS655357 FKO655355:FKO655357 FUK655355:FUK655357 GEG655355:GEG655357 GOC655355:GOC655357 GXY655355:GXY655357 HHU655355:HHU655357 HRQ655355:HRQ655357 IBM655355:IBM655357 ILI655355:ILI655357 IVE655355:IVE655357 JFA655355:JFA655357 JOW655355:JOW655357 JYS655355:JYS655357 KIO655355:KIO655357 KSK655355:KSK655357 LCG655355:LCG655357 LMC655355:LMC655357 LVY655355:LVY655357 MFU655355:MFU655357 MPQ655355:MPQ655357 MZM655355:MZM655357 NJI655355:NJI655357 NTE655355:NTE655357 ODA655355:ODA655357 OMW655355:OMW655357 OWS655355:OWS655357 PGO655355:PGO655357 PQK655355:PQK655357 QAG655355:QAG655357 QKC655355:QKC655357 QTY655355:QTY655357 RDU655355:RDU655357 RNQ655355:RNQ655357 RXM655355:RXM655357 SHI655355:SHI655357 SRE655355:SRE655357 TBA655355:TBA655357 TKW655355:TKW655357 TUS655355:TUS655357 UEO655355:UEO655357 UOK655355:UOK655357 UYG655355:UYG655357 VIC655355:VIC655357 VRY655355:VRY655357 WBU655355:WBU655357 WLQ655355:WLQ655357 WVM655355:WVM655357 E720891:E720893 JA720891:JA720893 SW720891:SW720893 ACS720891:ACS720893 AMO720891:AMO720893 AWK720891:AWK720893 BGG720891:BGG720893 BQC720891:BQC720893 BZY720891:BZY720893 CJU720891:CJU720893 CTQ720891:CTQ720893 DDM720891:DDM720893 DNI720891:DNI720893 DXE720891:DXE720893 EHA720891:EHA720893 EQW720891:EQW720893 FAS720891:FAS720893 FKO720891:FKO720893 FUK720891:FUK720893 GEG720891:GEG720893 GOC720891:GOC720893 GXY720891:GXY720893 HHU720891:HHU720893 HRQ720891:HRQ720893 IBM720891:IBM720893 ILI720891:ILI720893 IVE720891:IVE720893 JFA720891:JFA720893 JOW720891:JOW720893 JYS720891:JYS720893 KIO720891:KIO720893 KSK720891:KSK720893 LCG720891:LCG720893 LMC720891:LMC720893 LVY720891:LVY720893 MFU720891:MFU720893 MPQ720891:MPQ720893 MZM720891:MZM720893 NJI720891:NJI720893 NTE720891:NTE720893 ODA720891:ODA720893 OMW720891:OMW720893 OWS720891:OWS720893 PGO720891:PGO720893 PQK720891:PQK720893 QAG720891:QAG720893 QKC720891:QKC720893 QTY720891:QTY720893 RDU720891:RDU720893 RNQ720891:RNQ720893 RXM720891:RXM720893 SHI720891:SHI720893 SRE720891:SRE720893 TBA720891:TBA720893 TKW720891:TKW720893 TUS720891:TUS720893 UEO720891:UEO720893 UOK720891:UOK720893 UYG720891:UYG720893 VIC720891:VIC720893 VRY720891:VRY720893 WBU720891:WBU720893 WLQ720891:WLQ720893 WVM720891:WVM720893 E786427:E786429 JA786427:JA786429 SW786427:SW786429 ACS786427:ACS786429 AMO786427:AMO786429 AWK786427:AWK786429 BGG786427:BGG786429 BQC786427:BQC786429 BZY786427:BZY786429 CJU786427:CJU786429 CTQ786427:CTQ786429 DDM786427:DDM786429 DNI786427:DNI786429 DXE786427:DXE786429 EHA786427:EHA786429 EQW786427:EQW786429 FAS786427:FAS786429 FKO786427:FKO786429 FUK786427:FUK786429 GEG786427:GEG786429 GOC786427:GOC786429 GXY786427:GXY786429 HHU786427:HHU786429 HRQ786427:HRQ786429 IBM786427:IBM786429 ILI786427:ILI786429 IVE786427:IVE786429 JFA786427:JFA786429 JOW786427:JOW786429 JYS786427:JYS786429 KIO786427:KIO786429 KSK786427:KSK786429 LCG786427:LCG786429 LMC786427:LMC786429 LVY786427:LVY786429 MFU786427:MFU786429 MPQ786427:MPQ786429 MZM786427:MZM786429 NJI786427:NJI786429 NTE786427:NTE786429 ODA786427:ODA786429 OMW786427:OMW786429 OWS786427:OWS786429 PGO786427:PGO786429 PQK786427:PQK786429 QAG786427:QAG786429 QKC786427:QKC786429 QTY786427:QTY786429 RDU786427:RDU786429 RNQ786427:RNQ786429 RXM786427:RXM786429 SHI786427:SHI786429 SRE786427:SRE786429 TBA786427:TBA786429 TKW786427:TKW786429 TUS786427:TUS786429 UEO786427:UEO786429 UOK786427:UOK786429 UYG786427:UYG786429 VIC786427:VIC786429 VRY786427:VRY786429 WBU786427:WBU786429 WLQ786427:WLQ786429 WVM786427:WVM786429 E851963:E851965 JA851963:JA851965 SW851963:SW851965 ACS851963:ACS851965 AMO851963:AMO851965 AWK851963:AWK851965 BGG851963:BGG851965 BQC851963:BQC851965 BZY851963:BZY851965 CJU851963:CJU851965 CTQ851963:CTQ851965 DDM851963:DDM851965 DNI851963:DNI851965 DXE851963:DXE851965 EHA851963:EHA851965 EQW851963:EQW851965 FAS851963:FAS851965 FKO851963:FKO851965 FUK851963:FUK851965 GEG851963:GEG851965 GOC851963:GOC851965 GXY851963:GXY851965 HHU851963:HHU851965 HRQ851963:HRQ851965 IBM851963:IBM851965 ILI851963:ILI851965 IVE851963:IVE851965 JFA851963:JFA851965 JOW851963:JOW851965 JYS851963:JYS851965 KIO851963:KIO851965 KSK851963:KSK851965 LCG851963:LCG851965 LMC851963:LMC851965 LVY851963:LVY851965 MFU851963:MFU851965 MPQ851963:MPQ851965 MZM851963:MZM851965 NJI851963:NJI851965 NTE851963:NTE851965 ODA851963:ODA851965 OMW851963:OMW851965 OWS851963:OWS851965 PGO851963:PGO851965 PQK851963:PQK851965 QAG851963:QAG851965 QKC851963:QKC851965 QTY851963:QTY851965 RDU851963:RDU851965 RNQ851963:RNQ851965 RXM851963:RXM851965 SHI851963:SHI851965 SRE851963:SRE851965 TBA851963:TBA851965 TKW851963:TKW851965 TUS851963:TUS851965 UEO851963:UEO851965 UOK851963:UOK851965 UYG851963:UYG851965 VIC851963:VIC851965 VRY851963:VRY851965 WBU851963:WBU851965 WLQ851963:WLQ851965 WVM851963:WVM851965 E917499:E917501 JA917499:JA917501 SW917499:SW917501 ACS917499:ACS917501 AMO917499:AMO917501 AWK917499:AWK917501 BGG917499:BGG917501 BQC917499:BQC917501 BZY917499:BZY917501 CJU917499:CJU917501 CTQ917499:CTQ917501 DDM917499:DDM917501 DNI917499:DNI917501 DXE917499:DXE917501 EHA917499:EHA917501 EQW917499:EQW917501 FAS917499:FAS917501 FKO917499:FKO917501 FUK917499:FUK917501 GEG917499:GEG917501 GOC917499:GOC917501 GXY917499:GXY917501 HHU917499:HHU917501 HRQ917499:HRQ917501 IBM917499:IBM917501 ILI917499:ILI917501 IVE917499:IVE917501 JFA917499:JFA917501 JOW917499:JOW917501 JYS917499:JYS917501 KIO917499:KIO917501 KSK917499:KSK917501 LCG917499:LCG917501 LMC917499:LMC917501 LVY917499:LVY917501 MFU917499:MFU917501 MPQ917499:MPQ917501 MZM917499:MZM917501 NJI917499:NJI917501 NTE917499:NTE917501 ODA917499:ODA917501 OMW917499:OMW917501 OWS917499:OWS917501 PGO917499:PGO917501 PQK917499:PQK917501 QAG917499:QAG917501 QKC917499:QKC917501 QTY917499:QTY917501 RDU917499:RDU917501 RNQ917499:RNQ917501 RXM917499:RXM917501 SHI917499:SHI917501 SRE917499:SRE917501 TBA917499:TBA917501 TKW917499:TKW917501 TUS917499:TUS917501 UEO917499:UEO917501 UOK917499:UOK917501 UYG917499:UYG917501 VIC917499:VIC917501 VRY917499:VRY917501 WBU917499:WBU917501 WLQ917499:WLQ917501 WVM917499:WVM917501 E983035:E983037 JA983035:JA983037 SW983035:SW983037 ACS983035:ACS983037 AMO983035:AMO983037 AWK983035:AWK983037 BGG983035:BGG983037 BQC983035:BQC983037 BZY983035:BZY983037 CJU983035:CJU983037 CTQ983035:CTQ983037 DDM983035:DDM983037 DNI983035:DNI983037 DXE983035:DXE983037 EHA983035:EHA983037 EQW983035:EQW983037 FAS983035:FAS983037 FKO983035:FKO983037 FUK983035:FUK983037 GEG983035:GEG983037 GOC983035:GOC983037 GXY983035:GXY983037 HHU983035:HHU983037 HRQ983035:HRQ983037 IBM983035:IBM983037 ILI983035:ILI983037 IVE983035:IVE983037 JFA983035:JFA983037 JOW983035:JOW983037 JYS983035:JYS983037 KIO983035:KIO983037 KSK983035:KSK983037 LCG983035:LCG983037 LMC983035:LMC983037 LVY983035:LVY983037 MFU983035:MFU983037 MPQ983035:MPQ983037 MZM983035:MZM983037 NJI983035:NJI983037 NTE983035:NTE983037 ODA983035:ODA983037 OMW983035:OMW983037 OWS983035:OWS983037 PGO983035:PGO983037 PQK983035:PQK983037 QAG983035:QAG983037 QKC983035:QKC983037 QTY983035:QTY983037 RDU983035:RDU983037 RNQ983035:RNQ983037 RXM983035:RXM983037 SHI983035:SHI983037 SRE983035:SRE983037 TBA983035:TBA983037 TKW983035:TKW983037 TUS983035:TUS983037 UEO983035:UEO983037 UOK983035:UOK983037 UYG983035:UYG983037 VIC983035:VIC983037 VRY983035:VRY983037 WBU983035:WBU983037 WLQ983035:WLQ983037 WVM983035:WVM983037 C65531:C65533 IY65531:IY65533 SU65531:SU65533 ACQ65531:ACQ65533 AMM65531:AMM65533 AWI65531:AWI65533 BGE65531:BGE65533 BQA65531:BQA65533 BZW65531:BZW65533 CJS65531:CJS65533 CTO65531:CTO65533 DDK65531:DDK65533 DNG65531:DNG65533 DXC65531:DXC65533 EGY65531:EGY65533 EQU65531:EQU65533 FAQ65531:FAQ65533 FKM65531:FKM65533 FUI65531:FUI65533 GEE65531:GEE65533 GOA65531:GOA65533 GXW65531:GXW65533 HHS65531:HHS65533 HRO65531:HRO65533 IBK65531:IBK65533 ILG65531:ILG65533 IVC65531:IVC65533 JEY65531:JEY65533 JOU65531:JOU65533 JYQ65531:JYQ65533 KIM65531:KIM65533 KSI65531:KSI65533 LCE65531:LCE65533 LMA65531:LMA65533 LVW65531:LVW65533 MFS65531:MFS65533 MPO65531:MPO65533 MZK65531:MZK65533 NJG65531:NJG65533 NTC65531:NTC65533 OCY65531:OCY65533 OMU65531:OMU65533 OWQ65531:OWQ65533 PGM65531:PGM65533 PQI65531:PQI65533 QAE65531:QAE65533 QKA65531:QKA65533 QTW65531:QTW65533 RDS65531:RDS65533 RNO65531:RNO65533 RXK65531:RXK65533 SHG65531:SHG65533 SRC65531:SRC65533 TAY65531:TAY65533 TKU65531:TKU65533 TUQ65531:TUQ65533 UEM65531:UEM65533 UOI65531:UOI65533 UYE65531:UYE65533 VIA65531:VIA65533 VRW65531:VRW65533 WBS65531:WBS65533 WLO65531:WLO65533 WVK65531:WVK65533 C131067:C131069 IY131067:IY131069 SU131067:SU131069 ACQ131067:ACQ131069 AMM131067:AMM131069 AWI131067:AWI131069 BGE131067:BGE131069 BQA131067:BQA131069 BZW131067:BZW131069 CJS131067:CJS131069 CTO131067:CTO131069 DDK131067:DDK131069 DNG131067:DNG131069 DXC131067:DXC131069 EGY131067:EGY131069 EQU131067:EQU131069 FAQ131067:FAQ131069 FKM131067:FKM131069 FUI131067:FUI131069 GEE131067:GEE131069 GOA131067:GOA131069 GXW131067:GXW131069 HHS131067:HHS131069 HRO131067:HRO131069 IBK131067:IBK131069 ILG131067:ILG131069 IVC131067:IVC131069 JEY131067:JEY131069 JOU131067:JOU131069 JYQ131067:JYQ131069 KIM131067:KIM131069 KSI131067:KSI131069 LCE131067:LCE131069 LMA131067:LMA131069 LVW131067:LVW131069 MFS131067:MFS131069 MPO131067:MPO131069 MZK131067:MZK131069 NJG131067:NJG131069 NTC131067:NTC131069 OCY131067:OCY131069 OMU131067:OMU131069 OWQ131067:OWQ131069 PGM131067:PGM131069 PQI131067:PQI131069 QAE131067:QAE131069 QKA131067:QKA131069 QTW131067:QTW131069 RDS131067:RDS131069 RNO131067:RNO131069 RXK131067:RXK131069 SHG131067:SHG131069 SRC131067:SRC131069 TAY131067:TAY131069 TKU131067:TKU131069 TUQ131067:TUQ131069 UEM131067:UEM131069 UOI131067:UOI131069 UYE131067:UYE131069 VIA131067:VIA131069 VRW131067:VRW131069 WBS131067:WBS131069 WLO131067:WLO131069 WVK131067:WVK131069 C196603:C196605 IY196603:IY196605 SU196603:SU196605 ACQ196603:ACQ196605 AMM196603:AMM196605 AWI196603:AWI196605 BGE196603:BGE196605 BQA196603:BQA196605 BZW196603:BZW196605 CJS196603:CJS196605 CTO196603:CTO196605 DDK196603:DDK196605 DNG196603:DNG196605 DXC196603:DXC196605 EGY196603:EGY196605 EQU196603:EQU196605 FAQ196603:FAQ196605 FKM196603:FKM196605 FUI196603:FUI196605 GEE196603:GEE196605 GOA196603:GOA196605 GXW196603:GXW196605 HHS196603:HHS196605 HRO196603:HRO196605 IBK196603:IBK196605 ILG196603:ILG196605 IVC196603:IVC196605 JEY196603:JEY196605 JOU196603:JOU196605 JYQ196603:JYQ196605 KIM196603:KIM196605 KSI196603:KSI196605 LCE196603:LCE196605 LMA196603:LMA196605 LVW196603:LVW196605 MFS196603:MFS196605 MPO196603:MPO196605 MZK196603:MZK196605 NJG196603:NJG196605 NTC196603:NTC196605 OCY196603:OCY196605 OMU196603:OMU196605 OWQ196603:OWQ196605 PGM196603:PGM196605 PQI196603:PQI196605 QAE196603:QAE196605 QKA196603:QKA196605 QTW196603:QTW196605 RDS196603:RDS196605 RNO196603:RNO196605 RXK196603:RXK196605 SHG196603:SHG196605 SRC196603:SRC196605 TAY196603:TAY196605 TKU196603:TKU196605 TUQ196603:TUQ196605 UEM196603:UEM196605 UOI196603:UOI196605 UYE196603:UYE196605 VIA196603:VIA196605 VRW196603:VRW196605 WBS196603:WBS196605 WLO196603:WLO196605 WVK196603:WVK196605 C262139:C262141 IY262139:IY262141 SU262139:SU262141 ACQ262139:ACQ262141 AMM262139:AMM262141 AWI262139:AWI262141 BGE262139:BGE262141 BQA262139:BQA262141 BZW262139:BZW262141 CJS262139:CJS262141 CTO262139:CTO262141 DDK262139:DDK262141 DNG262139:DNG262141 DXC262139:DXC262141 EGY262139:EGY262141 EQU262139:EQU262141 FAQ262139:FAQ262141 FKM262139:FKM262141 FUI262139:FUI262141 GEE262139:GEE262141 GOA262139:GOA262141 GXW262139:GXW262141 HHS262139:HHS262141 HRO262139:HRO262141 IBK262139:IBK262141 ILG262139:ILG262141 IVC262139:IVC262141 JEY262139:JEY262141 JOU262139:JOU262141 JYQ262139:JYQ262141 KIM262139:KIM262141 KSI262139:KSI262141 LCE262139:LCE262141 LMA262139:LMA262141 LVW262139:LVW262141 MFS262139:MFS262141 MPO262139:MPO262141 MZK262139:MZK262141 NJG262139:NJG262141 NTC262139:NTC262141 OCY262139:OCY262141 OMU262139:OMU262141 OWQ262139:OWQ262141 PGM262139:PGM262141 PQI262139:PQI262141 QAE262139:QAE262141 QKA262139:QKA262141 QTW262139:QTW262141 RDS262139:RDS262141 RNO262139:RNO262141 RXK262139:RXK262141 SHG262139:SHG262141 SRC262139:SRC262141 TAY262139:TAY262141 TKU262139:TKU262141 TUQ262139:TUQ262141 UEM262139:UEM262141 UOI262139:UOI262141 UYE262139:UYE262141 VIA262139:VIA262141 VRW262139:VRW262141 WBS262139:WBS262141 WLO262139:WLO262141 WVK262139:WVK262141 C327675:C327677 IY327675:IY327677 SU327675:SU327677 ACQ327675:ACQ327677 AMM327675:AMM327677 AWI327675:AWI327677 BGE327675:BGE327677 BQA327675:BQA327677 BZW327675:BZW327677 CJS327675:CJS327677 CTO327675:CTO327677 DDK327675:DDK327677 DNG327675:DNG327677 DXC327675:DXC327677 EGY327675:EGY327677 EQU327675:EQU327677 FAQ327675:FAQ327677 FKM327675:FKM327677 FUI327675:FUI327677 GEE327675:GEE327677 GOA327675:GOA327677 GXW327675:GXW327677 HHS327675:HHS327677 HRO327675:HRO327677 IBK327675:IBK327677 ILG327675:ILG327677 IVC327675:IVC327677 JEY327675:JEY327677 JOU327675:JOU327677 JYQ327675:JYQ327677 KIM327675:KIM327677 KSI327675:KSI327677 LCE327675:LCE327677 LMA327675:LMA327677 LVW327675:LVW327677 MFS327675:MFS327677 MPO327675:MPO327677 MZK327675:MZK327677 NJG327675:NJG327677 NTC327675:NTC327677 OCY327675:OCY327677 OMU327675:OMU327677 OWQ327675:OWQ327677 PGM327675:PGM327677 PQI327675:PQI327677 QAE327675:QAE327677 QKA327675:QKA327677 QTW327675:QTW327677 RDS327675:RDS327677 RNO327675:RNO327677 RXK327675:RXK327677 SHG327675:SHG327677 SRC327675:SRC327677 TAY327675:TAY327677 TKU327675:TKU327677 TUQ327675:TUQ327677 UEM327675:UEM327677 UOI327675:UOI327677 UYE327675:UYE327677 VIA327675:VIA327677 VRW327675:VRW327677 WBS327675:WBS327677 WLO327675:WLO327677 WVK327675:WVK327677 C393211:C393213 IY393211:IY393213 SU393211:SU393213 ACQ393211:ACQ393213 AMM393211:AMM393213 AWI393211:AWI393213 BGE393211:BGE393213 BQA393211:BQA393213 BZW393211:BZW393213 CJS393211:CJS393213 CTO393211:CTO393213 DDK393211:DDK393213 DNG393211:DNG393213 DXC393211:DXC393213 EGY393211:EGY393213 EQU393211:EQU393213 FAQ393211:FAQ393213 FKM393211:FKM393213 FUI393211:FUI393213 GEE393211:GEE393213 GOA393211:GOA393213 GXW393211:GXW393213 HHS393211:HHS393213 HRO393211:HRO393213 IBK393211:IBK393213 ILG393211:ILG393213 IVC393211:IVC393213 JEY393211:JEY393213 JOU393211:JOU393213 JYQ393211:JYQ393213 KIM393211:KIM393213 KSI393211:KSI393213 LCE393211:LCE393213 LMA393211:LMA393213 LVW393211:LVW393213 MFS393211:MFS393213 MPO393211:MPO393213 MZK393211:MZK393213 NJG393211:NJG393213 NTC393211:NTC393213 OCY393211:OCY393213 OMU393211:OMU393213 OWQ393211:OWQ393213 PGM393211:PGM393213 PQI393211:PQI393213 QAE393211:QAE393213 QKA393211:QKA393213 QTW393211:QTW393213 RDS393211:RDS393213 RNO393211:RNO393213 RXK393211:RXK393213 SHG393211:SHG393213 SRC393211:SRC393213 TAY393211:TAY393213 TKU393211:TKU393213 TUQ393211:TUQ393213 UEM393211:UEM393213 UOI393211:UOI393213 UYE393211:UYE393213 VIA393211:VIA393213 VRW393211:VRW393213 WBS393211:WBS393213 WLO393211:WLO393213 WVK393211:WVK393213 C458747:C458749 IY458747:IY458749 SU458747:SU458749 ACQ458747:ACQ458749 AMM458747:AMM458749 AWI458747:AWI458749 BGE458747:BGE458749 BQA458747:BQA458749 BZW458747:BZW458749 CJS458747:CJS458749 CTO458747:CTO458749 DDK458747:DDK458749 DNG458747:DNG458749 DXC458747:DXC458749 EGY458747:EGY458749 EQU458747:EQU458749 FAQ458747:FAQ458749 FKM458747:FKM458749 FUI458747:FUI458749 GEE458747:GEE458749 GOA458747:GOA458749 GXW458747:GXW458749 HHS458747:HHS458749 HRO458747:HRO458749 IBK458747:IBK458749 ILG458747:ILG458749 IVC458747:IVC458749 JEY458747:JEY458749 JOU458747:JOU458749 JYQ458747:JYQ458749 KIM458747:KIM458749 KSI458747:KSI458749 LCE458747:LCE458749 LMA458747:LMA458749 LVW458747:LVW458749 MFS458747:MFS458749 MPO458747:MPO458749 MZK458747:MZK458749 NJG458747:NJG458749 NTC458747:NTC458749 OCY458747:OCY458749 OMU458747:OMU458749 OWQ458747:OWQ458749 PGM458747:PGM458749 PQI458747:PQI458749 QAE458747:QAE458749 QKA458747:QKA458749 QTW458747:QTW458749 RDS458747:RDS458749 RNO458747:RNO458749 RXK458747:RXK458749 SHG458747:SHG458749 SRC458747:SRC458749 TAY458747:TAY458749 TKU458747:TKU458749 TUQ458747:TUQ458749 UEM458747:UEM458749 UOI458747:UOI458749 UYE458747:UYE458749 VIA458747:VIA458749 VRW458747:VRW458749 WBS458747:WBS458749 WLO458747:WLO458749 WVK458747:WVK458749 C524283:C524285 IY524283:IY524285 SU524283:SU524285 ACQ524283:ACQ524285 AMM524283:AMM524285 AWI524283:AWI524285 BGE524283:BGE524285 BQA524283:BQA524285 BZW524283:BZW524285 CJS524283:CJS524285 CTO524283:CTO524285 DDK524283:DDK524285 DNG524283:DNG524285 DXC524283:DXC524285 EGY524283:EGY524285 EQU524283:EQU524285 FAQ524283:FAQ524285 FKM524283:FKM524285 FUI524283:FUI524285 GEE524283:GEE524285 GOA524283:GOA524285 GXW524283:GXW524285 HHS524283:HHS524285 HRO524283:HRO524285 IBK524283:IBK524285 ILG524283:ILG524285 IVC524283:IVC524285 JEY524283:JEY524285 JOU524283:JOU524285 JYQ524283:JYQ524285 KIM524283:KIM524285 KSI524283:KSI524285 LCE524283:LCE524285 LMA524283:LMA524285 LVW524283:LVW524285 MFS524283:MFS524285 MPO524283:MPO524285 MZK524283:MZK524285 NJG524283:NJG524285 NTC524283:NTC524285 OCY524283:OCY524285 OMU524283:OMU524285 OWQ524283:OWQ524285 PGM524283:PGM524285 PQI524283:PQI524285 QAE524283:QAE524285 QKA524283:QKA524285 QTW524283:QTW524285 RDS524283:RDS524285 RNO524283:RNO524285 RXK524283:RXK524285 SHG524283:SHG524285 SRC524283:SRC524285 TAY524283:TAY524285 TKU524283:TKU524285 TUQ524283:TUQ524285 UEM524283:UEM524285 UOI524283:UOI524285 UYE524283:UYE524285 VIA524283:VIA524285 VRW524283:VRW524285 WBS524283:WBS524285 WLO524283:WLO524285 WVK524283:WVK524285 C589819:C589821 IY589819:IY589821 SU589819:SU589821 ACQ589819:ACQ589821 AMM589819:AMM589821 AWI589819:AWI589821 BGE589819:BGE589821 BQA589819:BQA589821 BZW589819:BZW589821 CJS589819:CJS589821 CTO589819:CTO589821 DDK589819:DDK589821 DNG589819:DNG589821 DXC589819:DXC589821 EGY589819:EGY589821 EQU589819:EQU589821 FAQ589819:FAQ589821 FKM589819:FKM589821 FUI589819:FUI589821 GEE589819:GEE589821 GOA589819:GOA589821 GXW589819:GXW589821 HHS589819:HHS589821 HRO589819:HRO589821 IBK589819:IBK589821 ILG589819:ILG589821 IVC589819:IVC589821 JEY589819:JEY589821 JOU589819:JOU589821 JYQ589819:JYQ589821 KIM589819:KIM589821 KSI589819:KSI589821 LCE589819:LCE589821 LMA589819:LMA589821 LVW589819:LVW589821 MFS589819:MFS589821 MPO589819:MPO589821 MZK589819:MZK589821 NJG589819:NJG589821 NTC589819:NTC589821 OCY589819:OCY589821 OMU589819:OMU589821 OWQ589819:OWQ589821 PGM589819:PGM589821 PQI589819:PQI589821 QAE589819:QAE589821 QKA589819:QKA589821 QTW589819:QTW589821 RDS589819:RDS589821 RNO589819:RNO589821 RXK589819:RXK589821 SHG589819:SHG589821 SRC589819:SRC589821 TAY589819:TAY589821 TKU589819:TKU589821 TUQ589819:TUQ589821 UEM589819:UEM589821 UOI589819:UOI589821 UYE589819:UYE589821 VIA589819:VIA589821 VRW589819:VRW589821 WBS589819:WBS589821 WLO589819:WLO589821 WVK589819:WVK589821 C655355:C655357 IY655355:IY655357 SU655355:SU655357 ACQ655355:ACQ655357 AMM655355:AMM655357 AWI655355:AWI655357 BGE655355:BGE655357 BQA655355:BQA655357 BZW655355:BZW655357 CJS655355:CJS655357 CTO655355:CTO655357 DDK655355:DDK655357 DNG655355:DNG655357 DXC655355:DXC655357 EGY655355:EGY655357 EQU655355:EQU655357 FAQ655355:FAQ655357 FKM655355:FKM655357 FUI655355:FUI655357 GEE655355:GEE655357 GOA655355:GOA655357 GXW655355:GXW655357 HHS655355:HHS655357 HRO655355:HRO655357 IBK655355:IBK655357 ILG655355:ILG655357 IVC655355:IVC655357 JEY655355:JEY655357 JOU655355:JOU655357 JYQ655355:JYQ655357 KIM655355:KIM655357 KSI655355:KSI655357 LCE655355:LCE655357 LMA655355:LMA655357 LVW655355:LVW655357 MFS655355:MFS655357 MPO655355:MPO655357 MZK655355:MZK655357 NJG655355:NJG655357 NTC655355:NTC655357 OCY655355:OCY655357 OMU655355:OMU655357 OWQ655355:OWQ655357 PGM655355:PGM655357 PQI655355:PQI655357 QAE655355:QAE655357 QKA655355:QKA655357 QTW655355:QTW655357 RDS655355:RDS655357 RNO655355:RNO655357 RXK655355:RXK655357 SHG655355:SHG655357 SRC655355:SRC655357 TAY655355:TAY655357 TKU655355:TKU655357 TUQ655355:TUQ655357 UEM655355:UEM655357 UOI655355:UOI655357 UYE655355:UYE655357 VIA655355:VIA655357 VRW655355:VRW655357 WBS655355:WBS655357 WLO655355:WLO655357 WVK655355:WVK655357 C720891:C720893 IY720891:IY720893 SU720891:SU720893 ACQ720891:ACQ720893 AMM720891:AMM720893 AWI720891:AWI720893 BGE720891:BGE720893 BQA720891:BQA720893 BZW720891:BZW720893 CJS720891:CJS720893 CTO720891:CTO720893 DDK720891:DDK720893 DNG720891:DNG720893 DXC720891:DXC720893 EGY720891:EGY720893 EQU720891:EQU720893 FAQ720891:FAQ720893 FKM720891:FKM720893 FUI720891:FUI720893 GEE720891:GEE720893 GOA720891:GOA720893 GXW720891:GXW720893 HHS720891:HHS720893 HRO720891:HRO720893 IBK720891:IBK720893 ILG720891:ILG720893 IVC720891:IVC720893 JEY720891:JEY720893 JOU720891:JOU720893 JYQ720891:JYQ720893 KIM720891:KIM720893 KSI720891:KSI720893 LCE720891:LCE720893 LMA720891:LMA720893 LVW720891:LVW720893 MFS720891:MFS720893 MPO720891:MPO720893 MZK720891:MZK720893 NJG720891:NJG720893 NTC720891:NTC720893 OCY720891:OCY720893 OMU720891:OMU720893 OWQ720891:OWQ720893 PGM720891:PGM720893 PQI720891:PQI720893 QAE720891:QAE720893 QKA720891:QKA720893 QTW720891:QTW720893 RDS720891:RDS720893 RNO720891:RNO720893 RXK720891:RXK720893 SHG720891:SHG720893 SRC720891:SRC720893 TAY720891:TAY720893 TKU720891:TKU720893 TUQ720891:TUQ720893 UEM720891:UEM720893 UOI720891:UOI720893 UYE720891:UYE720893 VIA720891:VIA720893 VRW720891:VRW720893 WBS720891:WBS720893 WLO720891:WLO720893 WVK720891:WVK720893 C786427:C786429 IY786427:IY786429 SU786427:SU786429 ACQ786427:ACQ786429 AMM786427:AMM786429 AWI786427:AWI786429 BGE786427:BGE786429 BQA786427:BQA786429 BZW786427:BZW786429 CJS786427:CJS786429 CTO786427:CTO786429 DDK786427:DDK786429 DNG786427:DNG786429 DXC786427:DXC786429 EGY786427:EGY786429 EQU786427:EQU786429 FAQ786427:FAQ786429 FKM786427:FKM786429 FUI786427:FUI786429 GEE786427:GEE786429 GOA786427:GOA786429 GXW786427:GXW786429 HHS786427:HHS786429 HRO786427:HRO786429 IBK786427:IBK786429 ILG786427:ILG786429 IVC786427:IVC786429 JEY786427:JEY786429 JOU786427:JOU786429 JYQ786427:JYQ786429 KIM786427:KIM786429 KSI786427:KSI786429 LCE786427:LCE786429 LMA786427:LMA786429 LVW786427:LVW786429 MFS786427:MFS786429 MPO786427:MPO786429 MZK786427:MZK786429 NJG786427:NJG786429 NTC786427:NTC786429 OCY786427:OCY786429 OMU786427:OMU786429 OWQ786427:OWQ786429 PGM786427:PGM786429 PQI786427:PQI786429 QAE786427:QAE786429 QKA786427:QKA786429 QTW786427:QTW786429 RDS786427:RDS786429 RNO786427:RNO786429 RXK786427:RXK786429 SHG786427:SHG786429 SRC786427:SRC786429 TAY786427:TAY786429 TKU786427:TKU786429 TUQ786427:TUQ786429 UEM786427:UEM786429 UOI786427:UOI786429 UYE786427:UYE786429 VIA786427:VIA786429 VRW786427:VRW786429 WBS786427:WBS786429 WLO786427:WLO786429 WVK786427:WVK786429 C851963:C851965 IY851963:IY851965 SU851963:SU851965 ACQ851963:ACQ851965 AMM851963:AMM851965 AWI851963:AWI851965 BGE851963:BGE851965 BQA851963:BQA851965 BZW851963:BZW851965 CJS851963:CJS851965 CTO851963:CTO851965 DDK851963:DDK851965 DNG851963:DNG851965 DXC851963:DXC851965 EGY851963:EGY851965 EQU851963:EQU851965 FAQ851963:FAQ851965 FKM851963:FKM851965 FUI851963:FUI851965 GEE851963:GEE851965 GOA851963:GOA851965 GXW851963:GXW851965 HHS851963:HHS851965 HRO851963:HRO851965 IBK851963:IBK851965 ILG851963:ILG851965 IVC851963:IVC851965 JEY851963:JEY851965 JOU851963:JOU851965 JYQ851963:JYQ851965 KIM851963:KIM851965 KSI851963:KSI851965 LCE851963:LCE851965 LMA851963:LMA851965 LVW851963:LVW851965 MFS851963:MFS851965 MPO851963:MPO851965 MZK851963:MZK851965 NJG851963:NJG851965 NTC851963:NTC851965 OCY851963:OCY851965 OMU851963:OMU851965 OWQ851963:OWQ851965 PGM851963:PGM851965 PQI851963:PQI851965 QAE851963:QAE851965 QKA851963:QKA851965 QTW851963:QTW851965 RDS851963:RDS851965 RNO851963:RNO851965 RXK851963:RXK851965 SHG851963:SHG851965 SRC851963:SRC851965 TAY851963:TAY851965 TKU851963:TKU851965 TUQ851963:TUQ851965 UEM851963:UEM851965 UOI851963:UOI851965 UYE851963:UYE851965 VIA851963:VIA851965 VRW851963:VRW851965 WBS851963:WBS851965 WLO851963:WLO851965 WVK851963:WVK851965 C917499:C917501 IY917499:IY917501 SU917499:SU917501 ACQ917499:ACQ917501 AMM917499:AMM917501 AWI917499:AWI917501 BGE917499:BGE917501 BQA917499:BQA917501 BZW917499:BZW917501 CJS917499:CJS917501 CTO917499:CTO917501 DDK917499:DDK917501 DNG917499:DNG917501 DXC917499:DXC917501 EGY917499:EGY917501 EQU917499:EQU917501 FAQ917499:FAQ917501 FKM917499:FKM917501 FUI917499:FUI917501 GEE917499:GEE917501 GOA917499:GOA917501 GXW917499:GXW917501 HHS917499:HHS917501 HRO917499:HRO917501 IBK917499:IBK917501 ILG917499:ILG917501 IVC917499:IVC917501 JEY917499:JEY917501 JOU917499:JOU917501 JYQ917499:JYQ917501 KIM917499:KIM917501 KSI917499:KSI917501 LCE917499:LCE917501 LMA917499:LMA917501 LVW917499:LVW917501 MFS917499:MFS917501 MPO917499:MPO917501 MZK917499:MZK917501 NJG917499:NJG917501 NTC917499:NTC917501 OCY917499:OCY917501 OMU917499:OMU917501 OWQ917499:OWQ917501 PGM917499:PGM917501 PQI917499:PQI917501 QAE917499:QAE917501 QKA917499:QKA917501 QTW917499:QTW917501 RDS917499:RDS917501 RNO917499:RNO917501 RXK917499:RXK917501 SHG917499:SHG917501 SRC917499:SRC917501 TAY917499:TAY917501 TKU917499:TKU917501 TUQ917499:TUQ917501 UEM917499:UEM917501 UOI917499:UOI917501 UYE917499:UYE917501 VIA917499:VIA917501 VRW917499:VRW917501 WBS917499:WBS917501 WLO917499:WLO917501 WVK917499:WVK917501 C983035:C983037 IY983035:IY983037 SU983035:SU983037 ACQ983035:ACQ983037 AMM983035:AMM983037 AWI983035:AWI983037 BGE983035:BGE983037 BQA983035:BQA983037 BZW983035:BZW983037 CJS983035:CJS983037 CTO983035:CTO983037 DDK983035:DDK983037 DNG983035:DNG983037 DXC983035:DXC983037 EGY983035:EGY983037 EQU983035:EQU983037 FAQ983035:FAQ983037 FKM983035:FKM983037 FUI983035:FUI983037 GEE983035:GEE983037 GOA983035:GOA983037 GXW983035:GXW983037 HHS983035:HHS983037 HRO983035:HRO983037 IBK983035:IBK983037 ILG983035:ILG983037 IVC983035:IVC983037 JEY983035:JEY983037 JOU983035:JOU983037 JYQ983035:JYQ983037 KIM983035:KIM983037 KSI983035:KSI983037 LCE983035:LCE983037 LMA983035:LMA983037 LVW983035:LVW983037 MFS983035:MFS983037 MPO983035:MPO983037 MZK983035:MZK983037 NJG983035:NJG983037 NTC983035:NTC983037 OCY983035:OCY983037 OMU983035:OMU983037 OWQ983035:OWQ983037 PGM983035:PGM983037 PQI983035:PQI983037 QAE983035:QAE983037 QKA983035:QKA983037 QTW983035:QTW983037 RDS983035:RDS983037 RNO983035:RNO983037 RXK983035:RXK983037 SHG983035:SHG983037 SRC983035:SRC983037 TAY983035:TAY983037 TKU983035:TKU983037 TUQ983035:TUQ983037 UEM983035:UEM983037 UOI983035:UOI983037 UYE983035:UYE983037 VIA983035:VIA983037 VRW983035:VRW983037 WBS983035:WBS983037 WLO983035:WLO983037 WVK983035:WVK983037 C65555:C65557 IY65555:IY65557 SU65555:SU65557 ACQ65555:ACQ65557 AMM65555:AMM65557 AWI65555:AWI65557 BGE65555:BGE65557 BQA65555:BQA65557 BZW65555:BZW65557 CJS65555:CJS65557 CTO65555:CTO65557 DDK65555:DDK65557 DNG65555:DNG65557 DXC65555:DXC65557 EGY65555:EGY65557 EQU65555:EQU65557 FAQ65555:FAQ65557 FKM65555:FKM65557 FUI65555:FUI65557 GEE65555:GEE65557 GOA65555:GOA65557 GXW65555:GXW65557 HHS65555:HHS65557 HRO65555:HRO65557 IBK65555:IBK65557 ILG65555:ILG65557 IVC65555:IVC65557 JEY65555:JEY65557 JOU65555:JOU65557 JYQ65555:JYQ65557 KIM65555:KIM65557 KSI65555:KSI65557 LCE65555:LCE65557 LMA65555:LMA65557 LVW65555:LVW65557 MFS65555:MFS65557 MPO65555:MPO65557 MZK65555:MZK65557 NJG65555:NJG65557 NTC65555:NTC65557 OCY65555:OCY65557 OMU65555:OMU65557 OWQ65555:OWQ65557 PGM65555:PGM65557 PQI65555:PQI65557 QAE65555:QAE65557 QKA65555:QKA65557 QTW65555:QTW65557 RDS65555:RDS65557 RNO65555:RNO65557 RXK65555:RXK65557 SHG65555:SHG65557 SRC65555:SRC65557 TAY65555:TAY65557 TKU65555:TKU65557 TUQ65555:TUQ65557 UEM65555:UEM65557 UOI65555:UOI65557 UYE65555:UYE65557 VIA65555:VIA65557 VRW65555:VRW65557 WBS65555:WBS65557 WLO65555:WLO65557 WVK65555:WVK65557 C131091:C131093 IY131091:IY131093 SU131091:SU131093 ACQ131091:ACQ131093 AMM131091:AMM131093 AWI131091:AWI131093 BGE131091:BGE131093 BQA131091:BQA131093 BZW131091:BZW131093 CJS131091:CJS131093 CTO131091:CTO131093 DDK131091:DDK131093 DNG131091:DNG131093 DXC131091:DXC131093 EGY131091:EGY131093 EQU131091:EQU131093 FAQ131091:FAQ131093 FKM131091:FKM131093 FUI131091:FUI131093 GEE131091:GEE131093 GOA131091:GOA131093 GXW131091:GXW131093 HHS131091:HHS131093 HRO131091:HRO131093 IBK131091:IBK131093 ILG131091:ILG131093 IVC131091:IVC131093 JEY131091:JEY131093 JOU131091:JOU131093 JYQ131091:JYQ131093 KIM131091:KIM131093 KSI131091:KSI131093 LCE131091:LCE131093 LMA131091:LMA131093 LVW131091:LVW131093 MFS131091:MFS131093 MPO131091:MPO131093 MZK131091:MZK131093 NJG131091:NJG131093 NTC131091:NTC131093 OCY131091:OCY131093 OMU131091:OMU131093 OWQ131091:OWQ131093 PGM131091:PGM131093 PQI131091:PQI131093 QAE131091:QAE131093 QKA131091:QKA131093 QTW131091:QTW131093 RDS131091:RDS131093 RNO131091:RNO131093 RXK131091:RXK131093 SHG131091:SHG131093 SRC131091:SRC131093 TAY131091:TAY131093 TKU131091:TKU131093 TUQ131091:TUQ131093 UEM131091:UEM131093 UOI131091:UOI131093 UYE131091:UYE131093 VIA131091:VIA131093 VRW131091:VRW131093 WBS131091:WBS131093 WLO131091:WLO131093 WVK131091:WVK131093 C196627:C196629 IY196627:IY196629 SU196627:SU196629 ACQ196627:ACQ196629 AMM196627:AMM196629 AWI196627:AWI196629 BGE196627:BGE196629 BQA196627:BQA196629 BZW196627:BZW196629 CJS196627:CJS196629 CTO196627:CTO196629 DDK196627:DDK196629 DNG196627:DNG196629 DXC196627:DXC196629 EGY196627:EGY196629 EQU196627:EQU196629 FAQ196627:FAQ196629 FKM196627:FKM196629 FUI196627:FUI196629 GEE196627:GEE196629 GOA196627:GOA196629 GXW196627:GXW196629 HHS196627:HHS196629 HRO196627:HRO196629 IBK196627:IBK196629 ILG196627:ILG196629 IVC196627:IVC196629 JEY196627:JEY196629 JOU196627:JOU196629 JYQ196627:JYQ196629 KIM196627:KIM196629 KSI196627:KSI196629 LCE196627:LCE196629 LMA196627:LMA196629 LVW196627:LVW196629 MFS196627:MFS196629 MPO196627:MPO196629 MZK196627:MZK196629 NJG196627:NJG196629 NTC196627:NTC196629 OCY196627:OCY196629 OMU196627:OMU196629 OWQ196627:OWQ196629 PGM196627:PGM196629 PQI196627:PQI196629 QAE196627:QAE196629 QKA196627:QKA196629 QTW196627:QTW196629 RDS196627:RDS196629 RNO196627:RNO196629 RXK196627:RXK196629 SHG196627:SHG196629 SRC196627:SRC196629 TAY196627:TAY196629 TKU196627:TKU196629 TUQ196627:TUQ196629 UEM196627:UEM196629 UOI196627:UOI196629 UYE196627:UYE196629 VIA196627:VIA196629 VRW196627:VRW196629 WBS196627:WBS196629 WLO196627:WLO196629 WVK196627:WVK196629 C262163:C262165 IY262163:IY262165 SU262163:SU262165 ACQ262163:ACQ262165 AMM262163:AMM262165 AWI262163:AWI262165 BGE262163:BGE262165 BQA262163:BQA262165 BZW262163:BZW262165 CJS262163:CJS262165 CTO262163:CTO262165 DDK262163:DDK262165 DNG262163:DNG262165 DXC262163:DXC262165 EGY262163:EGY262165 EQU262163:EQU262165 FAQ262163:FAQ262165 FKM262163:FKM262165 FUI262163:FUI262165 GEE262163:GEE262165 GOA262163:GOA262165 GXW262163:GXW262165 HHS262163:HHS262165 HRO262163:HRO262165 IBK262163:IBK262165 ILG262163:ILG262165 IVC262163:IVC262165 JEY262163:JEY262165 JOU262163:JOU262165 JYQ262163:JYQ262165 KIM262163:KIM262165 KSI262163:KSI262165 LCE262163:LCE262165 LMA262163:LMA262165 LVW262163:LVW262165 MFS262163:MFS262165 MPO262163:MPO262165 MZK262163:MZK262165 NJG262163:NJG262165 NTC262163:NTC262165 OCY262163:OCY262165 OMU262163:OMU262165 OWQ262163:OWQ262165 PGM262163:PGM262165 PQI262163:PQI262165 QAE262163:QAE262165 QKA262163:QKA262165 QTW262163:QTW262165 RDS262163:RDS262165 RNO262163:RNO262165 RXK262163:RXK262165 SHG262163:SHG262165 SRC262163:SRC262165 TAY262163:TAY262165 TKU262163:TKU262165 TUQ262163:TUQ262165 UEM262163:UEM262165 UOI262163:UOI262165 UYE262163:UYE262165 VIA262163:VIA262165 VRW262163:VRW262165 WBS262163:WBS262165 WLO262163:WLO262165 WVK262163:WVK262165 C327699:C327701 IY327699:IY327701 SU327699:SU327701 ACQ327699:ACQ327701 AMM327699:AMM327701 AWI327699:AWI327701 BGE327699:BGE327701 BQA327699:BQA327701 BZW327699:BZW327701 CJS327699:CJS327701 CTO327699:CTO327701 DDK327699:DDK327701 DNG327699:DNG327701 DXC327699:DXC327701 EGY327699:EGY327701 EQU327699:EQU327701 FAQ327699:FAQ327701 FKM327699:FKM327701 FUI327699:FUI327701 GEE327699:GEE327701 GOA327699:GOA327701 GXW327699:GXW327701 HHS327699:HHS327701 HRO327699:HRO327701 IBK327699:IBK327701 ILG327699:ILG327701 IVC327699:IVC327701 JEY327699:JEY327701 JOU327699:JOU327701 JYQ327699:JYQ327701 KIM327699:KIM327701 KSI327699:KSI327701 LCE327699:LCE327701 LMA327699:LMA327701 LVW327699:LVW327701 MFS327699:MFS327701 MPO327699:MPO327701 MZK327699:MZK327701 NJG327699:NJG327701 NTC327699:NTC327701 OCY327699:OCY327701 OMU327699:OMU327701 OWQ327699:OWQ327701 PGM327699:PGM327701 PQI327699:PQI327701 QAE327699:QAE327701 QKA327699:QKA327701 QTW327699:QTW327701 RDS327699:RDS327701 RNO327699:RNO327701 RXK327699:RXK327701 SHG327699:SHG327701 SRC327699:SRC327701 TAY327699:TAY327701 TKU327699:TKU327701 TUQ327699:TUQ327701 UEM327699:UEM327701 UOI327699:UOI327701 UYE327699:UYE327701 VIA327699:VIA327701 VRW327699:VRW327701 WBS327699:WBS327701 WLO327699:WLO327701 WVK327699:WVK327701 C393235:C393237 IY393235:IY393237 SU393235:SU393237 ACQ393235:ACQ393237 AMM393235:AMM393237 AWI393235:AWI393237 BGE393235:BGE393237 BQA393235:BQA393237 BZW393235:BZW393237 CJS393235:CJS393237 CTO393235:CTO393237 DDK393235:DDK393237 DNG393235:DNG393237 DXC393235:DXC393237 EGY393235:EGY393237 EQU393235:EQU393237 FAQ393235:FAQ393237 FKM393235:FKM393237 FUI393235:FUI393237 GEE393235:GEE393237 GOA393235:GOA393237 GXW393235:GXW393237 HHS393235:HHS393237 HRO393235:HRO393237 IBK393235:IBK393237 ILG393235:ILG393237 IVC393235:IVC393237 JEY393235:JEY393237 JOU393235:JOU393237 JYQ393235:JYQ393237 KIM393235:KIM393237 KSI393235:KSI393237 LCE393235:LCE393237 LMA393235:LMA393237 LVW393235:LVW393237 MFS393235:MFS393237 MPO393235:MPO393237 MZK393235:MZK393237 NJG393235:NJG393237 NTC393235:NTC393237 OCY393235:OCY393237 OMU393235:OMU393237 OWQ393235:OWQ393237 PGM393235:PGM393237 PQI393235:PQI393237 QAE393235:QAE393237 QKA393235:QKA393237 QTW393235:QTW393237 RDS393235:RDS393237 RNO393235:RNO393237 RXK393235:RXK393237 SHG393235:SHG393237 SRC393235:SRC393237 TAY393235:TAY393237 TKU393235:TKU393237 TUQ393235:TUQ393237 UEM393235:UEM393237 UOI393235:UOI393237 UYE393235:UYE393237 VIA393235:VIA393237 VRW393235:VRW393237 WBS393235:WBS393237 WLO393235:WLO393237 WVK393235:WVK393237 C458771:C458773 IY458771:IY458773 SU458771:SU458773 ACQ458771:ACQ458773 AMM458771:AMM458773 AWI458771:AWI458773 BGE458771:BGE458773 BQA458771:BQA458773 BZW458771:BZW458773 CJS458771:CJS458773 CTO458771:CTO458773 DDK458771:DDK458773 DNG458771:DNG458773 DXC458771:DXC458773 EGY458771:EGY458773 EQU458771:EQU458773 FAQ458771:FAQ458773 FKM458771:FKM458773 FUI458771:FUI458773 GEE458771:GEE458773 GOA458771:GOA458773 GXW458771:GXW458773 HHS458771:HHS458773 HRO458771:HRO458773 IBK458771:IBK458773 ILG458771:ILG458773 IVC458771:IVC458773 JEY458771:JEY458773 JOU458771:JOU458773 JYQ458771:JYQ458773 KIM458771:KIM458773 KSI458771:KSI458773 LCE458771:LCE458773 LMA458771:LMA458773 LVW458771:LVW458773 MFS458771:MFS458773 MPO458771:MPO458773 MZK458771:MZK458773 NJG458771:NJG458773 NTC458771:NTC458773 OCY458771:OCY458773 OMU458771:OMU458773 OWQ458771:OWQ458773 PGM458771:PGM458773 PQI458771:PQI458773 QAE458771:QAE458773 QKA458771:QKA458773 QTW458771:QTW458773 RDS458771:RDS458773 RNO458771:RNO458773 RXK458771:RXK458773 SHG458771:SHG458773 SRC458771:SRC458773 TAY458771:TAY458773 TKU458771:TKU458773 TUQ458771:TUQ458773 UEM458771:UEM458773 UOI458771:UOI458773 UYE458771:UYE458773 VIA458771:VIA458773 VRW458771:VRW458773 WBS458771:WBS458773 WLO458771:WLO458773 WVK458771:WVK458773 C524307:C524309 IY524307:IY524309 SU524307:SU524309 ACQ524307:ACQ524309 AMM524307:AMM524309 AWI524307:AWI524309 BGE524307:BGE524309 BQA524307:BQA524309 BZW524307:BZW524309 CJS524307:CJS524309 CTO524307:CTO524309 DDK524307:DDK524309 DNG524307:DNG524309 DXC524307:DXC524309 EGY524307:EGY524309 EQU524307:EQU524309 FAQ524307:FAQ524309 FKM524307:FKM524309 FUI524307:FUI524309 GEE524307:GEE524309 GOA524307:GOA524309 GXW524307:GXW524309 HHS524307:HHS524309 HRO524307:HRO524309 IBK524307:IBK524309 ILG524307:ILG524309 IVC524307:IVC524309 JEY524307:JEY524309 JOU524307:JOU524309 JYQ524307:JYQ524309 KIM524307:KIM524309 KSI524307:KSI524309 LCE524307:LCE524309 LMA524307:LMA524309 LVW524307:LVW524309 MFS524307:MFS524309 MPO524307:MPO524309 MZK524307:MZK524309 NJG524307:NJG524309 NTC524307:NTC524309 OCY524307:OCY524309 OMU524307:OMU524309 OWQ524307:OWQ524309 PGM524307:PGM524309 PQI524307:PQI524309 QAE524307:QAE524309 QKA524307:QKA524309 QTW524307:QTW524309 RDS524307:RDS524309 RNO524307:RNO524309 RXK524307:RXK524309 SHG524307:SHG524309 SRC524307:SRC524309 TAY524307:TAY524309 TKU524307:TKU524309 TUQ524307:TUQ524309 UEM524307:UEM524309 UOI524307:UOI524309 UYE524307:UYE524309 VIA524307:VIA524309 VRW524307:VRW524309 WBS524307:WBS524309 WLO524307:WLO524309 WVK524307:WVK524309 C589843:C589845 IY589843:IY589845 SU589843:SU589845 ACQ589843:ACQ589845 AMM589843:AMM589845 AWI589843:AWI589845 BGE589843:BGE589845 BQA589843:BQA589845 BZW589843:BZW589845 CJS589843:CJS589845 CTO589843:CTO589845 DDK589843:DDK589845 DNG589843:DNG589845 DXC589843:DXC589845 EGY589843:EGY589845 EQU589843:EQU589845 FAQ589843:FAQ589845 FKM589843:FKM589845 FUI589843:FUI589845 GEE589843:GEE589845 GOA589843:GOA589845 GXW589843:GXW589845 HHS589843:HHS589845 HRO589843:HRO589845 IBK589843:IBK589845 ILG589843:ILG589845 IVC589843:IVC589845 JEY589843:JEY589845 JOU589843:JOU589845 JYQ589843:JYQ589845 KIM589843:KIM589845 KSI589843:KSI589845 LCE589843:LCE589845 LMA589843:LMA589845 LVW589843:LVW589845 MFS589843:MFS589845 MPO589843:MPO589845 MZK589843:MZK589845 NJG589843:NJG589845 NTC589843:NTC589845 OCY589843:OCY589845 OMU589843:OMU589845 OWQ589843:OWQ589845 PGM589843:PGM589845 PQI589843:PQI589845 QAE589843:QAE589845 QKA589843:QKA589845 QTW589843:QTW589845 RDS589843:RDS589845 RNO589843:RNO589845 RXK589843:RXK589845 SHG589843:SHG589845 SRC589843:SRC589845 TAY589843:TAY589845 TKU589843:TKU589845 TUQ589843:TUQ589845 UEM589843:UEM589845 UOI589843:UOI589845 UYE589843:UYE589845 VIA589843:VIA589845 VRW589843:VRW589845 WBS589843:WBS589845 WLO589843:WLO589845 WVK589843:WVK589845 C655379:C655381 IY655379:IY655381 SU655379:SU655381 ACQ655379:ACQ655381 AMM655379:AMM655381 AWI655379:AWI655381 BGE655379:BGE655381 BQA655379:BQA655381 BZW655379:BZW655381 CJS655379:CJS655381 CTO655379:CTO655381 DDK655379:DDK655381 DNG655379:DNG655381 DXC655379:DXC655381 EGY655379:EGY655381 EQU655379:EQU655381 FAQ655379:FAQ655381 FKM655379:FKM655381 FUI655379:FUI655381 GEE655379:GEE655381 GOA655379:GOA655381 GXW655379:GXW655381 HHS655379:HHS655381 HRO655379:HRO655381 IBK655379:IBK655381 ILG655379:ILG655381 IVC655379:IVC655381 JEY655379:JEY655381 JOU655379:JOU655381 JYQ655379:JYQ655381 KIM655379:KIM655381 KSI655379:KSI655381 LCE655379:LCE655381 LMA655379:LMA655381 LVW655379:LVW655381 MFS655379:MFS655381 MPO655379:MPO655381 MZK655379:MZK655381 NJG655379:NJG655381 NTC655379:NTC655381 OCY655379:OCY655381 OMU655379:OMU655381 OWQ655379:OWQ655381 PGM655379:PGM655381 PQI655379:PQI655381 QAE655379:QAE655381 QKA655379:QKA655381 QTW655379:QTW655381 RDS655379:RDS655381 RNO655379:RNO655381 RXK655379:RXK655381 SHG655379:SHG655381 SRC655379:SRC655381 TAY655379:TAY655381 TKU655379:TKU655381 TUQ655379:TUQ655381 UEM655379:UEM655381 UOI655379:UOI655381 UYE655379:UYE655381 VIA655379:VIA655381 VRW655379:VRW655381 WBS655379:WBS655381 WLO655379:WLO655381 WVK655379:WVK655381 C720915:C720917 IY720915:IY720917 SU720915:SU720917 ACQ720915:ACQ720917 AMM720915:AMM720917 AWI720915:AWI720917 BGE720915:BGE720917 BQA720915:BQA720917 BZW720915:BZW720917 CJS720915:CJS720917 CTO720915:CTO720917 DDK720915:DDK720917 DNG720915:DNG720917 DXC720915:DXC720917 EGY720915:EGY720917 EQU720915:EQU720917 FAQ720915:FAQ720917 FKM720915:FKM720917 FUI720915:FUI720917 GEE720915:GEE720917 GOA720915:GOA720917 GXW720915:GXW720917 HHS720915:HHS720917 HRO720915:HRO720917 IBK720915:IBK720917 ILG720915:ILG720917 IVC720915:IVC720917 JEY720915:JEY720917 JOU720915:JOU720917 JYQ720915:JYQ720917 KIM720915:KIM720917 KSI720915:KSI720917 LCE720915:LCE720917 LMA720915:LMA720917 LVW720915:LVW720917 MFS720915:MFS720917 MPO720915:MPO720917 MZK720915:MZK720917 NJG720915:NJG720917 NTC720915:NTC720917 OCY720915:OCY720917 OMU720915:OMU720917 OWQ720915:OWQ720917 PGM720915:PGM720917 PQI720915:PQI720917 QAE720915:QAE720917 QKA720915:QKA720917 QTW720915:QTW720917 RDS720915:RDS720917 RNO720915:RNO720917 RXK720915:RXK720917 SHG720915:SHG720917 SRC720915:SRC720917 TAY720915:TAY720917 TKU720915:TKU720917 TUQ720915:TUQ720917 UEM720915:UEM720917 UOI720915:UOI720917 UYE720915:UYE720917 VIA720915:VIA720917 VRW720915:VRW720917 WBS720915:WBS720917 WLO720915:WLO720917 WVK720915:WVK720917 C786451:C786453 IY786451:IY786453 SU786451:SU786453 ACQ786451:ACQ786453 AMM786451:AMM786453 AWI786451:AWI786453 BGE786451:BGE786453 BQA786451:BQA786453 BZW786451:BZW786453 CJS786451:CJS786453 CTO786451:CTO786453 DDK786451:DDK786453 DNG786451:DNG786453 DXC786451:DXC786453 EGY786451:EGY786453 EQU786451:EQU786453 FAQ786451:FAQ786453 FKM786451:FKM786453 FUI786451:FUI786453 GEE786451:GEE786453 GOA786451:GOA786453 GXW786451:GXW786453 HHS786451:HHS786453 HRO786451:HRO786453 IBK786451:IBK786453 ILG786451:ILG786453 IVC786451:IVC786453 JEY786451:JEY786453 JOU786451:JOU786453 JYQ786451:JYQ786453 KIM786451:KIM786453 KSI786451:KSI786453 LCE786451:LCE786453 LMA786451:LMA786453 LVW786451:LVW786453 MFS786451:MFS786453 MPO786451:MPO786453 MZK786451:MZK786453 NJG786451:NJG786453 NTC786451:NTC786453 OCY786451:OCY786453 OMU786451:OMU786453 OWQ786451:OWQ786453 PGM786451:PGM786453 PQI786451:PQI786453 QAE786451:QAE786453 QKA786451:QKA786453 QTW786451:QTW786453 RDS786451:RDS786453 RNO786451:RNO786453 RXK786451:RXK786453 SHG786451:SHG786453 SRC786451:SRC786453 TAY786451:TAY786453 TKU786451:TKU786453 TUQ786451:TUQ786453 UEM786451:UEM786453 UOI786451:UOI786453 UYE786451:UYE786453 VIA786451:VIA786453 VRW786451:VRW786453 WBS786451:WBS786453 WLO786451:WLO786453 WVK786451:WVK786453 C851987:C851989 IY851987:IY851989 SU851987:SU851989 ACQ851987:ACQ851989 AMM851987:AMM851989 AWI851987:AWI851989 BGE851987:BGE851989 BQA851987:BQA851989 BZW851987:BZW851989 CJS851987:CJS851989 CTO851987:CTO851989 DDK851987:DDK851989 DNG851987:DNG851989 DXC851987:DXC851989 EGY851987:EGY851989 EQU851987:EQU851989 FAQ851987:FAQ851989 FKM851987:FKM851989 FUI851987:FUI851989 GEE851987:GEE851989 GOA851987:GOA851989 GXW851987:GXW851989 HHS851987:HHS851989 HRO851987:HRO851989 IBK851987:IBK851989 ILG851987:ILG851989 IVC851987:IVC851989 JEY851987:JEY851989 JOU851987:JOU851989 JYQ851987:JYQ851989 KIM851987:KIM851989 KSI851987:KSI851989 LCE851987:LCE851989 LMA851987:LMA851989 LVW851987:LVW851989 MFS851987:MFS851989 MPO851987:MPO851989 MZK851987:MZK851989 NJG851987:NJG851989 NTC851987:NTC851989 OCY851987:OCY851989 OMU851987:OMU851989 OWQ851987:OWQ851989 PGM851987:PGM851989 PQI851987:PQI851989 QAE851987:QAE851989 QKA851987:QKA851989 QTW851987:QTW851989 RDS851987:RDS851989 RNO851987:RNO851989 RXK851987:RXK851989 SHG851987:SHG851989 SRC851987:SRC851989 TAY851987:TAY851989 TKU851987:TKU851989 TUQ851987:TUQ851989 UEM851987:UEM851989 UOI851987:UOI851989 UYE851987:UYE851989 VIA851987:VIA851989 VRW851987:VRW851989 WBS851987:WBS851989 WLO851987:WLO851989 WVK851987:WVK851989 C917523:C917525 IY917523:IY917525 SU917523:SU917525 ACQ917523:ACQ917525 AMM917523:AMM917525 AWI917523:AWI917525 BGE917523:BGE917525 BQA917523:BQA917525 BZW917523:BZW917525 CJS917523:CJS917525 CTO917523:CTO917525 DDK917523:DDK917525 DNG917523:DNG917525 DXC917523:DXC917525 EGY917523:EGY917525 EQU917523:EQU917525 FAQ917523:FAQ917525 FKM917523:FKM917525 FUI917523:FUI917525 GEE917523:GEE917525 GOA917523:GOA917525 GXW917523:GXW917525 HHS917523:HHS917525 HRO917523:HRO917525 IBK917523:IBK917525 ILG917523:ILG917525 IVC917523:IVC917525 JEY917523:JEY917525 JOU917523:JOU917525 JYQ917523:JYQ917525 KIM917523:KIM917525 KSI917523:KSI917525 LCE917523:LCE917525 LMA917523:LMA917525 LVW917523:LVW917525 MFS917523:MFS917525 MPO917523:MPO917525 MZK917523:MZK917525 NJG917523:NJG917525 NTC917523:NTC917525 OCY917523:OCY917525 OMU917523:OMU917525 OWQ917523:OWQ917525 PGM917523:PGM917525 PQI917523:PQI917525 QAE917523:QAE917525 QKA917523:QKA917525 QTW917523:QTW917525 RDS917523:RDS917525 RNO917523:RNO917525 RXK917523:RXK917525 SHG917523:SHG917525 SRC917523:SRC917525 TAY917523:TAY917525 TKU917523:TKU917525 TUQ917523:TUQ917525 UEM917523:UEM917525 UOI917523:UOI917525 UYE917523:UYE917525 VIA917523:VIA917525 VRW917523:VRW917525 WBS917523:WBS917525 WLO917523:WLO917525 WVK917523:WVK917525 C983059:C983061 IY983059:IY983061 SU983059:SU983061 ACQ983059:ACQ983061 AMM983059:AMM983061 AWI983059:AWI983061 BGE983059:BGE983061 BQA983059:BQA983061 BZW983059:BZW983061 CJS983059:CJS983061 CTO983059:CTO983061 DDK983059:DDK983061 DNG983059:DNG983061 DXC983059:DXC983061 EGY983059:EGY983061 EQU983059:EQU983061 FAQ983059:FAQ983061 FKM983059:FKM983061 FUI983059:FUI983061 GEE983059:GEE983061 GOA983059:GOA983061 GXW983059:GXW983061 HHS983059:HHS983061 HRO983059:HRO983061 IBK983059:IBK983061 ILG983059:ILG983061 IVC983059:IVC983061 JEY983059:JEY983061 JOU983059:JOU983061 JYQ983059:JYQ983061 KIM983059:KIM983061 KSI983059:KSI983061 LCE983059:LCE983061 LMA983059:LMA983061 LVW983059:LVW983061 MFS983059:MFS983061 MPO983059:MPO983061 MZK983059:MZK983061 NJG983059:NJG983061 NTC983059:NTC983061 OCY983059:OCY983061 OMU983059:OMU983061 OWQ983059:OWQ983061 PGM983059:PGM983061 PQI983059:PQI983061 QAE983059:QAE983061 QKA983059:QKA983061 QTW983059:QTW983061 RDS983059:RDS983061 RNO983059:RNO983061 RXK983059:RXK983061 SHG983059:SHG983061 SRC983059:SRC983061 TAY983059:TAY983061 TKU983059:TKU983061 TUQ983059:TUQ983061 UEM983059:UEM983061 UOI983059:UOI983061 UYE983059:UYE983061 VIA983059:VIA983061 VRW983059:VRW983061 WBS983059:WBS983061 WLO983059:WLO983061 WVK983059:WVK983061 B65533 IX65533 ST65533 ACP65533 AML65533 AWH65533 BGD65533 BPZ65533 BZV65533 CJR65533 CTN65533 DDJ65533 DNF65533 DXB65533 EGX65533 EQT65533 FAP65533 FKL65533 FUH65533 GED65533 GNZ65533 GXV65533 HHR65533 HRN65533 IBJ65533 ILF65533 IVB65533 JEX65533 JOT65533 JYP65533 KIL65533 KSH65533 LCD65533 LLZ65533 LVV65533 MFR65533 MPN65533 MZJ65533 NJF65533 NTB65533 OCX65533 OMT65533 OWP65533 PGL65533 PQH65533 QAD65533 QJZ65533 QTV65533 RDR65533 RNN65533 RXJ65533 SHF65533 SRB65533 TAX65533 TKT65533 TUP65533 UEL65533 UOH65533 UYD65533 VHZ65533 VRV65533 WBR65533 WLN65533 WVJ65533 B131069 IX131069 ST131069 ACP131069 AML131069 AWH131069 BGD131069 BPZ131069 BZV131069 CJR131069 CTN131069 DDJ131069 DNF131069 DXB131069 EGX131069 EQT131069 FAP131069 FKL131069 FUH131069 GED131069 GNZ131069 GXV131069 HHR131069 HRN131069 IBJ131069 ILF131069 IVB131069 JEX131069 JOT131069 JYP131069 KIL131069 KSH131069 LCD131069 LLZ131069 LVV131069 MFR131069 MPN131069 MZJ131069 NJF131069 NTB131069 OCX131069 OMT131069 OWP131069 PGL131069 PQH131069 QAD131069 QJZ131069 QTV131069 RDR131069 RNN131069 RXJ131069 SHF131069 SRB131069 TAX131069 TKT131069 TUP131069 UEL131069 UOH131069 UYD131069 VHZ131069 VRV131069 WBR131069 WLN131069 WVJ131069 B196605 IX196605 ST196605 ACP196605 AML196605 AWH196605 BGD196605 BPZ196605 BZV196605 CJR196605 CTN196605 DDJ196605 DNF196605 DXB196605 EGX196605 EQT196605 FAP196605 FKL196605 FUH196605 GED196605 GNZ196605 GXV196605 HHR196605 HRN196605 IBJ196605 ILF196605 IVB196605 JEX196605 JOT196605 JYP196605 KIL196605 KSH196605 LCD196605 LLZ196605 LVV196605 MFR196605 MPN196605 MZJ196605 NJF196605 NTB196605 OCX196605 OMT196605 OWP196605 PGL196605 PQH196605 QAD196605 QJZ196605 QTV196605 RDR196605 RNN196605 RXJ196605 SHF196605 SRB196605 TAX196605 TKT196605 TUP196605 UEL196605 UOH196605 UYD196605 VHZ196605 VRV196605 WBR196605 WLN196605 WVJ196605 B262141 IX262141 ST262141 ACP262141 AML262141 AWH262141 BGD262141 BPZ262141 BZV262141 CJR262141 CTN262141 DDJ262141 DNF262141 DXB262141 EGX262141 EQT262141 FAP262141 FKL262141 FUH262141 GED262141 GNZ262141 GXV262141 HHR262141 HRN262141 IBJ262141 ILF262141 IVB262141 JEX262141 JOT262141 JYP262141 KIL262141 KSH262141 LCD262141 LLZ262141 LVV262141 MFR262141 MPN262141 MZJ262141 NJF262141 NTB262141 OCX262141 OMT262141 OWP262141 PGL262141 PQH262141 QAD262141 QJZ262141 QTV262141 RDR262141 RNN262141 RXJ262141 SHF262141 SRB262141 TAX262141 TKT262141 TUP262141 UEL262141 UOH262141 UYD262141 VHZ262141 VRV262141 WBR262141 WLN262141 WVJ262141 B327677 IX327677 ST327677 ACP327677 AML327677 AWH327677 BGD327677 BPZ327677 BZV327677 CJR327677 CTN327677 DDJ327677 DNF327677 DXB327677 EGX327677 EQT327677 FAP327677 FKL327677 FUH327677 GED327677 GNZ327677 GXV327677 HHR327677 HRN327677 IBJ327677 ILF327677 IVB327677 JEX327677 JOT327677 JYP327677 KIL327677 KSH327677 LCD327677 LLZ327677 LVV327677 MFR327677 MPN327677 MZJ327677 NJF327677 NTB327677 OCX327677 OMT327677 OWP327677 PGL327677 PQH327677 QAD327677 QJZ327677 QTV327677 RDR327677 RNN327677 RXJ327677 SHF327677 SRB327677 TAX327677 TKT327677 TUP327677 UEL327677 UOH327677 UYD327677 VHZ327677 VRV327677 WBR327677 WLN327677 WVJ327677 B393213 IX393213 ST393213 ACP393213 AML393213 AWH393213 BGD393213 BPZ393213 BZV393213 CJR393213 CTN393213 DDJ393213 DNF393213 DXB393213 EGX393213 EQT393213 FAP393213 FKL393213 FUH393213 GED393213 GNZ393213 GXV393213 HHR393213 HRN393213 IBJ393213 ILF393213 IVB393213 JEX393213 JOT393213 JYP393213 KIL393213 KSH393213 LCD393213 LLZ393213 LVV393213 MFR393213 MPN393213 MZJ393213 NJF393213 NTB393213 OCX393213 OMT393213 OWP393213 PGL393213 PQH393213 QAD393213 QJZ393213 QTV393213 RDR393213 RNN393213 RXJ393213 SHF393213 SRB393213 TAX393213 TKT393213 TUP393213 UEL393213 UOH393213 UYD393213 VHZ393213 VRV393213 WBR393213 WLN393213 WVJ393213 B458749 IX458749 ST458749 ACP458749 AML458749 AWH458749 BGD458749 BPZ458749 BZV458749 CJR458749 CTN458749 DDJ458749 DNF458749 DXB458749 EGX458749 EQT458749 FAP458749 FKL458749 FUH458749 GED458749 GNZ458749 GXV458749 HHR458749 HRN458749 IBJ458749 ILF458749 IVB458749 JEX458749 JOT458749 JYP458749 KIL458749 KSH458749 LCD458749 LLZ458749 LVV458749 MFR458749 MPN458749 MZJ458749 NJF458749 NTB458749 OCX458749 OMT458749 OWP458749 PGL458749 PQH458749 QAD458749 QJZ458749 QTV458749 RDR458749 RNN458749 RXJ458749 SHF458749 SRB458749 TAX458749 TKT458749 TUP458749 UEL458749 UOH458749 UYD458749 VHZ458749 VRV458749 WBR458749 WLN458749 WVJ458749 B524285 IX524285 ST524285 ACP524285 AML524285 AWH524285 BGD524285 BPZ524285 BZV524285 CJR524285 CTN524285 DDJ524285 DNF524285 DXB524285 EGX524285 EQT524285 FAP524285 FKL524285 FUH524285 GED524285 GNZ524285 GXV524285 HHR524285 HRN524285 IBJ524285 ILF524285 IVB524285 JEX524285 JOT524285 JYP524285 KIL524285 KSH524285 LCD524285 LLZ524285 LVV524285 MFR524285 MPN524285 MZJ524285 NJF524285 NTB524285 OCX524285 OMT524285 OWP524285 PGL524285 PQH524285 QAD524285 QJZ524285 QTV524285 RDR524285 RNN524285 RXJ524285 SHF524285 SRB524285 TAX524285 TKT524285 TUP524285 UEL524285 UOH524285 UYD524285 VHZ524285 VRV524285 WBR524285 WLN524285 WVJ524285 B589821 IX589821 ST589821 ACP589821 AML589821 AWH589821 BGD589821 BPZ589821 BZV589821 CJR589821 CTN589821 DDJ589821 DNF589821 DXB589821 EGX589821 EQT589821 FAP589821 FKL589821 FUH589821 GED589821 GNZ589821 GXV589821 HHR589821 HRN589821 IBJ589821 ILF589821 IVB589821 JEX589821 JOT589821 JYP589821 KIL589821 KSH589821 LCD589821 LLZ589821 LVV589821 MFR589821 MPN589821 MZJ589821 NJF589821 NTB589821 OCX589821 OMT589821 OWP589821 PGL589821 PQH589821 QAD589821 QJZ589821 QTV589821 RDR589821 RNN589821 RXJ589821 SHF589821 SRB589821 TAX589821 TKT589821 TUP589821 UEL589821 UOH589821 UYD589821 VHZ589821 VRV589821 WBR589821 WLN589821 WVJ589821 B655357 IX655357 ST655357 ACP655357 AML655357 AWH655357 BGD655357 BPZ655357 BZV655357 CJR655357 CTN655357 DDJ655357 DNF655357 DXB655357 EGX655357 EQT655357 FAP655357 FKL655357 FUH655357 GED655357 GNZ655357 GXV655357 HHR655357 HRN655357 IBJ655357 ILF655357 IVB655357 JEX655357 JOT655357 JYP655357 KIL655357 KSH655357 LCD655357 LLZ655357 LVV655357 MFR655357 MPN655357 MZJ655357 NJF655357 NTB655357 OCX655357 OMT655357 OWP655357 PGL655357 PQH655357 QAD655357 QJZ655357 QTV655357 RDR655357 RNN655357 RXJ655357 SHF655357 SRB655357 TAX655357 TKT655357 TUP655357 UEL655357 UOH655357 UYD655357 VHZ655357 VRV655357 WBR655357 WLN655357 WVJ655357 B720893 IX720893 ST720893 ACP720893 AML720893 AWH720893 BGD720893 BPZ720893 BZV720893 CJR720893 CTN720893 DDJ720893 DNF720893 DXB720893 EGX720893 EQT720893 FAP720893 FKL720893 FUH720893 GED720893 GNZ720893 GXV720893 HHR720893 HRN720893 IBJ720893 ILF720893 IVB720893 JEX720893 JOT720893 JYP720893 KIL720893 KSH720893 LCD720893 LLZ720893 LVV720893 MFR720893 MPN720893 MZJ720893 NJF720893 NTB720893 OCX720893 OMT720893 OWP720893 PGL720893 PQH720893 QAD720893 QJZ720893 QTV720893 RDR720893 RNN720893 RXJ720893 SHF720893 SRB720893 TAX720893 TKT720893 TUP720893 UEL720893 UOH720893 UYD720893 VHZ720893 VRV720893 WBR720893 WLN720893 WVJ720893 B786429 IX786429 ST786429 ACP786429 AML786429 AWH786429 BGD786429 BPZ786429 BZV786429 CJR786429 CTN786429 DDJ786429 DNF786429 DXB786429 EGX786429 EQT786429 FAP786429 FKL786429 FUH786429 GED786429 GNZ786429 GXV786429 HHR786429 HRN786429 IBJ786429 ILF786429 IVB786429 JEX786429 JOT786429 JYP786429 KIL786429 KSH786429 LCD786429 LLZ786429 LVV786429 MFR786429 MPN786429 MZJ786429 NJF786429 NTB786429 OCX786429 OMT786429 OWP786429 PGL786429 PQH786429 QAD786429 QJZ786429 QTV786429 RDR786429 RNN786429 RXJ786429 SHF786429 SRB786429 TAX786429 TKT786429 TUP786429 UEL786429 UOH786429 UYD786429 VHZ786429 VRV786429 WBR786429 WLN786429 WVJ786429 B851965 IX851965 ST851965 ACP851965 AML851965 AWH851965 BGD851965 BPZ851965 BZV851965 CJR851965 CTN851965 DDJ851965 DNF851965 DXB851965 EGX851965 EQT851965 FAP851965 FKL851965 FUH851965 GED851965 GNZ851965 GXV851965 HHR851965 HRN851965 IBJ851965 ILF851965 IVB851965 JEX851965 JOT851965 JYP851965 KIL851965 KSH851965 LCD851965 LLZ851965 LVV851965 MFR851965 MPN851965 MZJ851965 NJF851965 NTB851965 OCX851965 OMT851965 OWP851965 PGL851965 PQH851965 QAD851965 QJZ851965 QTV851965 RDR851965 RNN851965 RXJ851965 SHF851965 SRB851965 TAX851965 TKT851965 TUP851965 UEL851965 UOH851965 UYD851965 VHZ851965 VRV851965 WBR851965 WLN851965 WVJ851965 B917501 IX917501 ST917501 ACP917501 AML917501 AWH917501 BGD917501 BPZ917501 BZV917501 CJR917501 CTN917501 DDJ917501 DNF917501 DXB917501 EGX917501 EQT917501 FAP917501 FKL917501 FUH917501 GED917501 GNZ917501 GXV917501 HHR917501 HRN917501 IBJ917501 ILF917501 IVB917501 JEX917501 JOT917501 JYP917501 KIL917501 KSH917501 LCD917501 LLZ917501 LVV917501 MFR917501 MPN917501 MZJ917501 NJF917501 NTB917501 OCX917501 OMT917501 OWP917501 PGL917501 PQH917501 QAD917501 QJZ917501 QTV917501 RDR917501 RNN917501 RXJ917501 SHF917501 SRB917501 TAX917501 TKT917501 TUP917501 UEL917501 UOH917501 UYD917501 VHZ917501 VRV917501 WBR917501 WLN917501 WVJ917501 B983037 IX983037 ST983037 ACP983037 AML983037 AWH983037 BGD983037 BPZ983037 BZV983037 CJR983037 CTN983037 DDJ983037 DNF983037 DXB983037 EGX983037 EQT983037 FAP983037 FKL983037 FUH983037 GED983037 GNZ983037 GXV983037 HHR983037 HRN983037 IBJ983037 ILF983037 IVB983037 JEX983037 JOT983037 JYP983037 KIL983037 KSH983037 LCD983037 LLZ983037 LVV983037 MFR983037 MPN983037 MZJ983037 NJF983037 NTB983037 OCX983037 OMT983037 OWP983037 PGL983037 PQH983037 QAD983037 QJZ983037 QTV983037 RDR983037 RNN983037 RXJ983037 SHF983037 SRB983037 TAX983037 TKT983037 TUP983037 UEL983037 UOH983037 UYD983037 VHZ983037 VRV983037 WBR983037 WLN983037 WVJ983037 B65557 IX65557 ST65557 ACP65557 AML65557 AWH65557 BGD65557 BPZ65557 BZV65557 CJR65557 CTN65557 DDJ65557 DNF65557 DXB65557 EGX65557 EQT65557 FAP65557 FKL65557 FUH65557 GED65557 GNZ65557 GXV65557 HHR65557 HRN65557 IBJ65557 ILF65557 IVB65557 JEX65557 JOT65557 JYP65557 KIL65557 KSH65557 LCD65557 LLZ65557 LVV65557 MFR65557 MPN65557 MZJ65557 NJF65557 NTB65557 OCX65557 OMT65557 OWP65557 PGL65557 PQH65557 QAD65557 QJZ65557 QTV65557 RDR65557 RNN65557 RXJ65557 SHF65557 SRB65557 TAX65557 TKT65557 TUP65557 UEL65557 UOH65557 UYD65557 VHZ65557 VRV65557 WBR65557 WLN65557 WVJ65557 B131093 IX131093 ST131093 ACP131093 AML131093 AWH131093 BGD131093 BPZ131093 BZV131093 CJR131093 CTN131093 DDJ131093 DNF131093 DXB131093 EGX131093 EQT131093 FAP131093 FKL131093 FUH131093 GED131093 GNZ131093 GXV131093 HHR131093 HRN131093 IBJ131093 ILF131093 IVB131093 JEX131093 JOT131093 JYP131093 KIL131093 KSH131093 LCD131093 LLZ131093 LVV131093 MFR131093 MPN131093 MZJ131093 NJF131093 NTB131093 OCX131093 OMT131093 OWP131093 PGL131093 PQH131093 QAD131093 QJZ131093 QTV131093 RDR131093 RNN131093 RXJ131093 SHF131093 SRB131093 TAX131093 TKT131093 TUP131093 UEL131093 UOH131093 UYD131093 VHZ131093 VRV131093 WBR131093 WLN131093 WVJ131093 B196629 IX196629 ST196629 ACP196629 AML196629 AWH196629 BGD196629 BPZ196629 BZV196629 CJR196629 CTN196629 DDJ196629 DNF196629 DXB196629 EGX196629 EQT196629 FAP196629 FKL196629 FUH196629 GED196629 GNZ196629 GXV196629 HHR196629 HRN196629 IBJ196629 ILF196629 IVB196629 JEX196629 JOT196629 JYP196629 KIL196629 KSH196629 LCD196629 LLZ196629 LVV196629 MFR196629 MPN196629 MZJ196629 NJF196629 NTB196629 OCX196629 OMT196629 OWP196629 PGL196629 PQH196629 QAD196629 QJZ196629 QTV196629 RDR196629 RNN196629 RXJ196629 SHF196629 SRB196629 TAX196629 TKT196629 TUP196629 UEL196629 UOH196629 UYD196629 VHZ196629 VRV196629 WBR196629 WLN196629 WVJ196629 B262165 IX262165 ST262165 ACP262165 AML262165 AWH262165 BGD262165 BPZ262165 BZV262165 CJR262165 CTN262165 DDJ262165 DNF262165 DXB262165 EGX262165 EQT262165 FAP262165 FKL262165 FUH262165 GED262165 GNZ262165 GXV262165 HHR262165 HRN262165 IBJ262165 ILF262165 IVB262165 JEX262165 JOT262165 JYP262165 KIL262165 KSH262165 LCD262165 LLZ262165 LVV262165 MFR262165 MPN262165 MZJ262165 NJF262165 NTB262165 OCX262165 OMT262165 OWP262165 PGL262165 PQH262165 QAD262165 QJZ262165 QTV262165 RDR262165 RNN262165 RXJ262165 SHF262165 SRB262165 TAX262165 TKT262165 TUP262165 UEL262165 UOH262165 UYD262165 VHZ262165 VRV262165 WBR262165 WLN262165 WVJ262165 B327701 IX327701 ST327701 ACP327701 AML327701 AWH327701 BGD327701 BPZ327701 BZV327701 CJR327701 CTN327701 DDJ327701 DNF327701 DXB327701 EGX327701 EQT327701 FAP327701 FKL327701 FUH327701 GED327701 GNZ327701 GXV327701 HHR327701 HRN327701 IBJ327701 ILF327701 IVB327701 JEX327701 JOT327701 JYP327701 KIL327701 KSH327701 LCD327701 LLZ327701 LVV327701 MFR327701 MPN327701 MZJ327701 NJF327701 NTB327701 OCX327701 OMT327701 OWP327701 PGL327701 PQH327701 QAD327701 QJZ327701 QTV327701 RDR327701 RNN327701 RXJ327701 SHF327701 SRB327701 TAX327701 TKT327701 TUP327701 UEL327701 UOH327701 UYD327701 VHZ327701 VRV327701 WBR327701 WLN327701 WVJ327701 B393237 IX393237 ST393237 ACP393237 AML393237 AWH393237 BGD393237 BPZ393237 BZV393237 CJR393237 CTN393237 DDJ393237 DNF393237 DXB393237 EGX393237 EQT393237 FAP393237 FKL393237 FUH393237 GED393237 GNZ393237 GXV393237 HHR393237 HRN393237 IBJ393237 ILF393237 IVB393237 JEX393237 JOT393237 JYP393237 KIL393237 KSH393237 LCD393237 LLZ393237 LVV393237 MFR393237 MPN393237 MZJ393237 NJF393237 NTB393237 OCX393237 OMT393237 OWP393237 PGL393237 PQH393237 QAD393237 QJZ393237 QTV393237 RDR393237 RNN393237 RXJ393237 SHF393237 SRB393237 TAX393237 TKT393237 TUP393237 UEL393237 UOH393237 UYD393237 VHZ393237 VRV393237 WBR393237 WLN393237 WVJ393237 B458773 IX458773 ST458773 ACP458773 AML458773 AWH458773 BGD458773 BPZ458773 BZV458773 CJR458773 CTN458773 DDJ458773 DNF458773 DXB458773 EGX458773 EQT458773 FAP458773 FKL458773 FUH458773 GED458773 GNZ458773 GXV458773 HHR458773 HRN458773 IBJ458773 ILF458773 IVB458773 JEX458773 JOT458773 JYP458773 KIL458773 KSH458773 LCD458773 LLZ458773 LVV458773 MFR458773 MPN458773 MZJ458773 NJF458773 NTB458773 OCX458773 OMT458773 OWP458773 PGL458773 PQH458773 QAD458773 QJZ458773 QTV458773 RDR458773 RNN458773 RXJ458773 SHF458773 SRB458773 TAX458773 TKT458773 TUP458773 UEL458773 UOH458773 UYD458773 VHZ458773 VRV458773 WBR458773 WLN458773 WVJ458773 B524309 IX524309 ST524309 ACP524309 AML524309 AWH524309 BGD524309 BPZ524309 BZV524309 CJR524309 CTN524309 DDJ524309 DNF524309 DXB524309 EGX524309 EQT524309 FAP524309 FKL524309 FUH524309 GED524309 GNZ524309 GXV524309 HHR524309 HRN524309 IBJ524309 ILF524309 IVB524309 JEX524309 JOT524309 JYP524309 KIL524309 KSH524309 LCD524309 LLZ524309 LVV524309 MFR524309 MPN524309 MZJ524309 NJF524309 NTB524309 OCX524309 OMT524309 OWP524309 PGL524309 PQH524309 QAD524309 QJZ524309 QTV524309 RDR524309 RNN524309 RXJ524309 SHF524309 SRB524309 TAX524309 TKT524309 TUP524309 UEL524309 UOH524309 UYD524309 VHZ524309 VRV524309 WBR524309 WLN524309 WVJ524309 B589845 IX589845 ST589845 ACP589845 AML589845 AWH589845 BGD589845 BPZ589845 BZV589845 CJR589845 CTN589845 DDJ589845 DNF589845 DXB589845 EGX589845 EQT589845 FAP589845 FKL589845 FUH589845 GED589845 GNZ589845 GXV589845 HHR589845 HRN589845 IBJ589845 ILF589845 IVB589845 JEX589845 JOT589845 JYP589845 KIL589845 KSH589845 LCD589845 LLZ589845 LVV589845 MFR589845 MPN589845 MZJ589845 NJF589845 NTB589845 OCX589845 OMT589845 OWP589845 PGL589845 PQH589845 QAD589845 QJZ589845 QTV589845 RDR589845 RNN589845 RXJ589845 SHF589845 SRB589845 TAX589845 TKT589845 TUP589845 UEL589845 UOH589845 UYD589845 VHZ589845 VRV589845 WBR589845 WLN589845 WVJ589845 B655381 IX655381 ST655381 ACP655381 AML655381 AWH655381 BGD655381 BPZ655381 BZV655381 CJR655381 CTN655381 DDJ655381 DNF655381 DXB655381 EGX655381 EQT655381 FAP655381 FKL655381 FUH655381 GED655381 GNZ655381 GXV655381 HHR655381 HRN655381 IBJ655381 ILF655381 IVB655381 JEX655381 JOT655381 JYP655381 KIL655381 KSH655381 LCD655381 LLZ655381 LVV655381 MFR655381 MPN655381 MZJ655381 NJF655381 NTB655381 OCX655381 OMT655381 OWP655381 PGL655381 PQH655381 QAD655381 QJZ655381 QTV655381 RDR655381 RNN655381 RXJ655381 SHF655381 SRB655381 TAX655381 TKT655381 TUP655381 UEL655381 UOH655381 UYD655381 VHZ655381 VRV655381 WBR655381 WLN655381 WVJ655381 B720917 IX720917 ST720917 ACP720917 AML720917 AWH720917 BGD720917 BPZ720917 BZV720917 CJR720917 CTN720917 DDJ720917 DNF720917 DXB720917 EGX720917 EQT720917 FAP720917 FKL720917 FUH720917 GED720917 GNZ720917 GXV720917 HHR720917 HRN720917 IBJ720917 ILF720917 IVB720917 JEX720917 JOT720917 JYP720917 KIL720917 KSH720917 LCD720917 LLZ720917 LVV720917 MFR720917 MPN720917 MZJ720917 NJF720917 NTB720917 OCX720917 OMT720917 OWP720917 PGL720917 PQH720917 QAD720917 QJZ720917 QTV720917 RDR720917 RNN720917 RXJ720917 SHF720917 SRB720917 TAX720917 TKT720917 TUP720917 UEL720917 UOH720917 UYD720917 VHZ720917 VRV720917 WBR720917 WLN720917 WVJ720917 B786453 IX786453 ST786453 ACP786453 AML786453 AWH786453 BGD786453 BPZ786453 BZV786453 CJR786453 CTN786453 DDJ786453 DNF786453 DXB786453 EGX786453 EQT786453 FAP786453 FKL786453 FUH786453 GED786453 GNZ786453 GXV786453 HHR786453 HRN786453 IBJ786453 ILF786453 IVB786453 JEX786453 JOT786453 JYP786453 KIL786453 KSH786453 LCD786453 LLZ786453 LVV786453 MFR786453 MPN786453 MZJ786453 NJF786453 NTB786453 OCX786453 OMT786453 OWP786453 PGL786453 PQH786453 QAD786453 QJZ786453 QTV786453 RDR786453 RNN786453 RXJ786453 SHF786453 SRB786453 TAX786453 TKT786453 TUP786453 UEL786453 UOH786453 UYD786453 VHZ786453 VRV786453 WBR786453 WLN786453 WVJ786453 B851989 IX851989 ST851989 ACP851989 AML851989 AWH851989 BGD851989 BPZ851989 BZV851989 CJR851989 CTN851989 DDJ851989 DNF851989 DXB851989 EGX851989 EQT851989 FAP851989 FKL851989 FUH851989 GED851989 GNZ851989 GXV851989 HHR851989 HRN851989 IBJ851989 ILF851989 IVB851989 JEX851989 JOT851989 JYP851989 KIL851989 KSH851989 LCD851989 LLZ851989 LVV851989 MFR851989 MPN851989 MZJ851989 NJF851989 NTB851989 OCX851989 OMT851989 OWP851989 PGL851989 PQH851989 QAD851989 QJZ851989 QTV851989 RDR851989 RNN851989 RXJ851989 SHF851989 SRB851989 TAX851989 TKT851989 TUP851989 UEL851989 UOH851989 UYD851989 VHZ851989 VRV851989 WBR851989 WLN851989 WVJ851989 B917525 IX917525 ST917525 ACP917525 AML917525 AWH917525 BGD917525 BPZ917525 BZV917525 CJR917525 CTN917525 DDJ917525 DNF917525 DXB917525 EGX917525 EQT917525 FAP917525 FKL917525 FUH917525 GED917525 GNZ917525 GXV917525 HHR917525 HRN917525 IBJ917525 ILF917525 IVB917525 JEX917525 JOT917525 JYP917525 KIL917525 KSH917525 LCD917525 LLZ917525 LVV917525 MFR917525 MPN917525 MZJ917525 NJF917525 NTB917525 OCX917525 OMT917525 OWP917525 PGL917525 PQH917525 QAD917525 QJZ917525 QTV917525 RDR917525 RNN917525 RXJ917525 SHF917525 SRB917525 TAX917525 TKT917525 TUP917525 UEL917525 UOH917525 UYD917525 VHZ917525 VRV917525 WBR917525 WLN917525 WVJ917525 B983061 IX983061 ST983061 ACP983061 AML983061 AWH983061 BGD983061 BPZ983061 BZV983061 CJR983061 CTN983061 DDJ983061 DNF983061 DXB983061 EGX983061 EQT983061 FAP983061 FKL983061 FUH983061 GED983061 GNZ983061 GXV983061 HHR983061 HRN983061 IBJ983061 ILF983061 IVB983061 JEX983061 JOT983061 JYP983061 KIL983061 KSH983061 LCD983061 LLZ983061 LVV983061 MFR983061 MPN983061 MZJ983061 NJF983061 NTB983061 OCX983061 OMT983061 OWP983061 PGL983061 PQH983061 QAD983061 QJZ983061 QTV983061 RDR983061 RNN983061 RXJ983061 SHF983061 SRB983061 TAX983061 TKT983061 TUP983061 UEL983061 UOH983061 UYD983061 VHZ983061 VRV983061 WBR983061 WLN983061 WVJ983061 E65555:E65557 JA65555:JA65557 SW65555:SW65557 ACS65555:ACS65557 AMO65555:AMO65557 AWK65555:AWK65557 BGG65555:BGG65557 BQC65555:BQC65557 BZY65555:BZY65557 CJU65555:CJU65557 CTQ65555:CTQ65557 DDM65555:DDM65557 DNI65555:DNI65557 DXE65555:DXE65557 EHA65555:EHA65557 EQW65555:EQW65557 FAS65555:FAS65557 FKO65555:FKO65557 FUK65555:FUK65557 GEG65555:GEG65557 GOC65555:GOC65557 GXY65555:GXY65557 HHU65555:HHU65557 HRQ65555:HRQ65557 IBM65555:IBM65557 ILI65555:ILI65557 IVE65555:IVE65557 JFA65555:JFA65557 JOW65555:JOW65557 JYS65555:JYS65557 KIO65555:KIO65557 KSK65555:KSK65557 LCG65555:LCG65557 LMC65555:LMC65557 LVY65555:LVY65557 MFU65555:MFU65557 MPQ65555:MPQ65557 MZM65555:MZM65557 NJI65555:NJI65557 NTE65555:NTE65557 ODA65555:ODA65557 OMW65555:OMW65557 OWS65555:OWS65557 PGO65555:PGO65557 PQK65555:PQK65557 QAG65555:QAG65557 QKC65555:QKC65557 QTY65555:QTY65557 RDU65555:RDU65557 RNQ65555:RNQ65557 RXM65555:RXM65557 SHI65555:SHI65557 SRE65555:SRE65557 TBA65555:TBA65557 TKW65555:TKW65557 TUS65555:TUS65557 UEO65555:UEO65557 UOK65555:UOK65557 UYG65555:UYG65557 VIC65555:VIC65557 VRY65555:VRY65557 WBU65555:WBU65557 WLQ65555:WLQ65557 WVM65555:WVM65557 E131091:E131093 JA131091:JA131093 SW131091:SW131093 ACS131091:ACS131093 AMO131091:AMO131093 AWK131091:AWK131093 BGG131091:BGG131093 BQC131091:BQC131093 BZY131091:BZY131093 CJU131091:CJU131093 CTQ131091:CTQ131093 DDM131091:DDM131093 DNI131091:DNI131093 DXE131091:DXE131093 EHA131091:EHA131093 EQW131091:EQW131093 FAS131091:FAS131093 FKO131091:FKO131093 FUK131091:FUK131093 GEG131091:GEG131093 GOC131091:GOC131093 GXY131091:GXY131093 HHU131091:HHU131093 HRQ131091:HRQ131093 IBM131091:IBM131093 ILI131091:ILI131093 IVE131091:IVE131093 JFA131091:JFA131093 JOW131091:JOW131093 JYS131091:JYS131093 KIO131091:KIO131093 KSK131091:KSK131093 LCG131091:LCG131093 LMC131091:LMC131093 LVY131091:LVY131093 MFU131091:MFU131093 MPQ131091:MPQ131093 MZM131091:MZM131093 NJI131091:NJI131093 NTE131091:NTE131093 ODA131091:ODA131093 OMW131091:OMW131093 OWS131091:OWS131093 PGO131091:PGO131093 PQK131091:PQK131093 QAG131091:QAG131093 QKC131091:QKC131093 QTY131091:QTY131093 RDU131091:RDU131093 RNQ131091:RNQ131093 RXM131091:RXM131093 SHI131091:SHI131093 SRE131091:SRE131093 TBA131091:TBA131093 TKW131091:TKW131093 TUS131091:TUS131093 UEO131091:UEO131093 UOK131091:UOK131093 UYG131091:UYG131093 VIC131091:VIC131093 VRY131091:VRY131093 WBU131091:WBU131093 WLQ131091:WLQ131093 WVM131091:WVM131093 E196627:E196629 JA196627:JA196629 SW196627:SW196629 ACS196627:ACS196629 AMO196627:AMO196629 AWK196627:AWK196629 BGG196627:BGG196629 BQC196627:BQC196629 BZY196627:BZY196629 CJU196627:CJU196629 CTQ196627:CTQ196629 DDM196627:DDM196629 DNI196627:DNI196629 DXE196627:DXE196629 EHA196627:EHA196629 EQW196627:EQW196629 FAS196627:FAS196629 FKO196627:FKO196629 FUK196627:FUK196629 GEG196627:GEG196629 GOC196627:GOC196629 GXY196627:GXY196629 HHU196627:HHU196629 HRQ196627:HRQ196629 IBM196627:IBM196629 ILI196627:ILI196629 IVE196627:IVE196629 JFA196627:JFA196629 JOW196627:JOW196629 JYS196627:JYS196629 KIO196627:KIO196629 KSK196627:KSK196629 LCG196627:LCG196629 LMC196627:LMC196629 LVY196627:LVY196629 MFU196627:MFU196629 MPQ196627:MPQ196629 MZM196627:MZM196629 NJI196627:NJI196629 NTE196627:NTE196629 ODA196627:ODA196629 OMW196627:OMW196629 OWS196627:OWS196629 PGO196627:PGO196629 PQK196627:PQK196629 QAG196627:QAG196629 QKC196627:QKC196629 QTY196627:QTY196629 RDU196627:RDU196629 RNQ196627:RNQ196629 RXM196627:RXM196629 SHI196627:SHI196629 SRE196627:SRE196629 TBA196627:TBA196629 TKW196627:TKW196629 TUS196627:TUS196629 UEO196627:UEO196629 UOK196627:UOK196629 UYG196627:UYG196629 VIC196627:VIC196629 VRY196627:VRY196629 WBU196627:WBU196629 WLQ196627:WLQ196629 WVM196627:WVM196629 E262163:E262165 JA262163:JA262165 SW262163:SW262165 ACS262163:ACS262165 AMO262163:AMO262165 AWK262163:AWK262165 BGG262163:BGG262165 BQC262163:BQC262165 BZY262163:BZY262165 CJU262163:CJU262165 CTQ262163:CTQ262165 DDM262163:DDM262165 DNI262163:DNI262165 DXE262163:DXE262165 EHA262163:EHA262165 EQW262163:EQW262165 FAS262163:FAS262165 FKO262163:FKO262165 FUK262163:FUK262165 GEG262163:GEG262165 GOC262163:GOC262165 GXY262163:GXY262165 HHU262163:HHU262165 HRQ262163:HRQ262165 IBM262163:IBM262165 ILI262163:ILI262165 IVE262163:IVE262165 JFA262163:JFA262165 JOW262163:JOW262165 JYS262163:JYS262165 KIO262163:KIO262165 KSK262163:KSK262165 LCG262163:LCG262165 LMC262163:LMC262165 LVY262163:LVY262165 MFU262163:MFU262165 MPQ262163:MPQ262165 MZM262163:MZM262165 NJI262163:NJI262165 NTE262163:NTE262165 ODA262163:ODA262165 OMW262163:OMW262165 OWS262163:OWS262165 PGO262163:PGO262165 PQK262163:PQK262165 QAG262163:QAG262165 QKC262163:QKC262165 QTY262163:QTY262165 RDU262163:RDU262165 RNQ262163:RNQ262165 RXM262163:RXM262165 SHI262163:SHI262165 SRE262163:SRE262165 TBA262163:TBA262165 TKW262163:TKW262165 TUS262163:TUS262165 UEO262163:UEO262165 UOK262163:UOK262165 UYG262163:UYG262165 VIC262163:VIC262165 VRY262163:VRY262165 WBU262163:WBU262165 WLQ262163:WLQ262165 WVM262163:WVM262165 E327699:E327701 JA327699:JA327701 SW327699:SW327701 ACS327699:ACS327701 AMO327699:AMO327701 AWK327699:AWK327701 BGG327699:BGG327701 BQC327699:BQC327701 BZY327699:BZY327701 CJU327699:CJU327701 CTQ327699:CTQ327701 DDM327699:DDM327701 DNI327699:DNI327701 DXE327699:DXE327701 EHA327699:EHA327701 EQW327699:EQW327701 FAS327699:FAS327701 FKO327699:FKO327701 FUK327699:FUK327701 GEG327699:GEG327701 GOC327699:GOC327701 GXY327699:GXY327701 HHU327699:HHU327701 HRQ327699:HRQ327701 IBM327699:IBM327701 ILI327699:ILI327701 IVE327699:IVE327701 JFA327699:JFA327701 JOW327699:JOW327701 JYS327699:JYS327701 KIO327699:KIO327701 KSK327699:KSK327701 LCG327699:LCG327701 LMC327699:LMC327701 LVY327699:LVY327701 MFU327699:MFU327701 MPQ327699:MPQ327701 MZM327699:MZM327701 NJI327699:NJI327701 NTE327699:NTE327701 ODA327699:ODA327701 OMW327699:OMW327701 OWS327699:OWS327701 PGO327699:PGO327701 PQK327699:PQK327701 QAG327699:QAG327701 QKC327699:QKC327701 QTY327699:QTY327701 RDU327699:RDU327701 RNQ327699:RNQ327701 RXM327699:RXM327701 SHI327699:SHI327701 SRE327699:SRE327701 TBA327699:TBA327701 TKW327699:TKW327701 TUS327699:TUS327701 UEO327699:UEO327701 UOK327699:UOK327701 UYG327699:UYG327701 VIC327699:VIC327701 VRY327699:VRY327701 WBU327699:WBU327701 WLQ327699:WLQ327701 WVM327699:WVM327701 E393235:E393237 JA393235:JA393237 SW393235:SW393237 ACS393235:ACS393237 AMO393235:AMO393237 AWK393235:AWK393237 BGG393235:BGG393237 BQC393235:BQC393237 BZY393235:BZY393237 CJU393235:CJU393237 CTQ393235:CTQ393237 DDM393235:DDM393237 DNI393235:DNI393237 DXE393235:DXE393237 EHA393235:EHA393237 EQW393235:EQW393237 FAS393235:FAS393237 FKO393235:FKO393237 FUK393235:FUK393237 GEG393235:GEG393237 GOC393235:GOC393237 GXY393235:GXY393237 HHU393235:HHU393237 HRQ393235:HRQ393237 IBM393235:IBM393237 ILI393235:ILI393237 IVE393235:IVE393237 JFA393235:JFA393237 JOW393235:JOW393237 JYS393235:JYS393237 KIO393235:KIO393237 KSK393235:KSK393237 LCG393235:LCG393237 LMC393235:LMC393237 LVY393235:LVY393237 MFU393235:MFU393237 MPQ393235:MPQ393237 MZM393235:MZM393237 NJI393235:NJI393237 NTE393235:NTE393237 ODA393235:ODA393237 OMW393235:OMW393237 OWS393235:OWS393237 PGO393235:PGO393237 PQK393235:PQK393237 QAG393235:QAG393237 QKC393235:QKC393237 QTY393235:QTY393237 RDU393235:RDU393237 RNQ393235:RNQ393237 RXM393235:RXM393237 SHI393235:SHI393237 SRE393235:SRE393237 TBA393235:TBA393237 TKW393235:TKW393237 TUS393235:TUS393237 UEO393235:UEO393237 UOK393235:UOK393237 UYG393235:UYG393237 VIC393235:VIC393237 VRY393235:VRY393237 WBU393235:WBU393237 WLQ393235:WLQ393237 WVM393235:WVM393237 E458771:E458773 JA458771:JA458773 SW458771:SW458773 ACS458771:ACS458773 AMO458771:AMO458773 AWK458771:AWK458773 BGG458771:BGG458773 BQC458771:BQC458773 BZY458771:BZY458773 CJU458771:CJU458773 CTQ458771:CTQ458773 DDM458771:DDM458773 DNI458771:DNI458773 DXE458771:DXE458773 EHA458771:EHA458773 EQW458771:EQW458773 FAS458771:FAS458773 FKO458771:FKO458773 FUK458771:FUK458773 GEG458771:GEG458773 GOC458771:GOC458773 GXY458771:GXY458773 HHU458771:HHU458773 HRQ458771:HRQ458773 IBM458771:IBM458773 ILI458771:ILI458773 IVE458771:IVE458773 JFA458771:JFA458773 JOW458771:JOW458773 JYS458771:JYS458773 KIO458771:KIO458773 KSK458771:KSK458773 LCG458771:LCG458773 LMC458771:LMC458773 LVY458771:LVY458773 MFU458771:MFU458773 MPQ458771:MPQ458773 MZM458771:MZM458773 NJI458771:NJI458773 NTE458771:NTE458773 ODA458771:ODA458773 OMW458771:OMW458773 OWS458771:OWS458773 PGO458771:PGO458773 PQK458771:PQK458773 QAG458771:QAG458773 QKC458771:QKC458773 QTY458771:QTY458773 RDU458771:RDU458773 RNQ458771:RNQ458773 RXM458771:RXM458773 SHI458771:SHI458773 SRE458771:SRE458773 TBA458771:TBA458773 TKW458771:TKW458773 TUS458771:TUS458773 UEO458771:UEO458773 UOK458771:UOK458773 UYG458771:UYG458773 VIC458771:VIC458773 VRY458771:VRY458773 WBU458771:WBU458773 WLQ458771:WLQ458773 WVM458771:WVM458773 E524307:E524309 JA524307:JA524309 SW524307:SW524309 ACS524307:ACS524309 AMO524307:AMO524309 AWK524307:AWK524309 BGG524307:BGG524309 BQC524307:BQC524309 BZY524307:BZY524309 CJU524307:CJU524309 CTQ524307:CTQ524309 DDM524307:DDM524309 DNI524307:DNI524309 DXE524307:DXE524309 EHA524307:EHA524309 EQW524307:EQW524309 FAS524307:FAS524309 FKO524307:FKO524309 FUK524307:FUK524309 GEG524307:GEG524309 GOC524307:GOC524309 GXY524307:GXY524309 HHU524307:HHU524309 HRQ524307:HRQ524309 IBM524307:IBM524309 ILI524307:ILI524309 IVE524307:IVE524309 JFA524307:JFA524309 JOW524307:JOW524309 JYS524307:JYS524309 KIO524307:KIO524309 KSK524307:KSK524309 LCG524307:LCG524309 LMC524307:LMC524309 LVY524307:LVY524309 MFU524307:MFU524309 MPQ524307:MPQ524309 MZM524307:MZM524309 NJI524307:NJI524309 NTE524307:NTE524309 ODA524307:ODA524309 OMW524307:OMW524309 OWS524307:OWS524309 PGO524307:PGO524309 PQK524307:PQK524309 QAG524307:QAG524309 QKC524307:QKC524309 QTY524307:QTY524309 RDU524307:RDU524309 RNQ524307:RNQ524309 RXM524307:RXM524309 SHI524307:SHI524309 SRE524307:SRE524309 TBA524307:TBA524309 TKW524307:TKW524309 TUS524307:TUS524309 UEO524307:UEO524309 UOK524307:UOK524309 UYG524307:UYG524309 VIC524307:VIC524309 VRY524307:VRY524309 WBU524307:WBU524309 WLQ524307:WLQ524309 WVM524307:WVM524309 E589843:E589845 JA589843:JA589845 SW589843:SW589845 ACS589843:ACS589845 AMO589843:AMO589845 AWK589843:AWK589845 BGG589843:BGG589845 BQC589843:BQC589845 BZY589843:BZY589845 CJU589843:CJU589845 CTQ589843:CTQ589845 DDM589843:DDM589845 DNI589843:DNI589845 DXE589843:DXE589845 EHA589843:EHA589845 EQW589843:EQW589845 FAS589843:FAS589845 FKO589843:FKO589845 FUK589843:FUK589845 GEG589843:GEG589845 GOC589843:GOC589845 GXY589843:GXY589845 HHU589843:HHU589845 HRQ589843:HRQ589845 IBM589843:IBM589845 ILI589843:ILI589845 IVE589843:IVE589845 JFA589843:JFA589845 JOW589843:JOW589845 JYS589843:JYS589845 KIO589843:KIO589845 KSK589843:KSK589845 LCG589843:LCG589845 LMC589843:LMC589845 LVY589843:LVY589845 MFU589843:MFU589845 MPQ589843:MPQ589845 MZM589843:MZM589845 NJI589843:NJI589845 NTE589843:NTE589845 ODA589843:ODA589845 OMW589843:OMW589845 OWS589843:OWS589845 PGO589843:PGO589845 PQK589843:PQK589845 QAG589843:QAG589845 QKC589843:QKC589845 QTY589843:QTY589845 RDU589843:RDU589845 RNQ589843:RNQ589845 RXM589843:RXM589845 SHI589843:SHI589845 SRE589843:SRE589845 TBA589843:TBA589845 TKW589843:TKW589845 TUS589843:TUS589845 UEO589843:UEO589845 UOK589843:UOK589845 UYG589843:UYG589845 VIC589843:VIC589845 VRY589843:VRY589845 WBU589843:WBU589845 WLQ589843:WLQ589845 WVM589843:WVM589845 E655379:E655381 JA655379:JA655381 SW655379:SW655381 ACS655379:ACS655381 AMO655379:AMO655381 AWK655379:AWK655381 BGG655379:BGG655381 BQC655379:BQC655381 BZY655379:BZY655381 CJU655379:CJU655381 CTQ655379:CTQ655381 DDM655379:DDM655381 DNI655379:DNI655381 DXE655379:DXE655381 EHA655379:EHA655381 EQW655379:EQW655381 FAS655379:FAS655381 FKO655379:FKO655381 FUK655379:FUK655381 GEG655379:GEG655381 GOC655379:GOC655381 GXY655379:GXY655381 HHU655379:HHU655381 HRQ655379:HRQ655381 IBM655379:IBM655381 ILI655379:ILI655381 IVE655379:IVE655381 JFA655379:JFA655381 JOW655379:JOW655381 JYS655379:JYS655381 KIO655379:KIO655381 KSK655379:KSK655381 LCG655379:LCG655381 LMC655379:LMC655381 LVY655379:LVY655381 MFU655379:MFU655381 MPQ655379:MPQ655381 MZM655379:MZM655381 NJI655379:NJI655381 NTE655379:NTE655381 ODA655379:ODA655381 OMW655379:OMW655381 OWS655379:OWS655381 PGO655379:PGO655381 PQK655379:PQK655381 QAG655379:QAG655381 QKC655379:QKC655381 QTY655379:QTY655381 RDU655379:RDU655381 RNQ655379:RNQ655381 RXM655379:RXM655381 SHI655379:SHI655381 SRE655379:SRE655381 TBA655379:TBA655381 TKW655379:TKW655381 TUS655379:TUS655381 UEO655379:UEO655381 UOK655379:UOK655381 UYG655379:UYG655381 VIC655379:VIC655381 VRY655379:VRY655381 WBU655379:WBU655381 WLQ655379:WLQ655381 WVM655379:WVM655381 E720915:E720917 JA720915:JA720917 SW720915:SW720917 ACS720915:ACS720917 AMO720915:AMO720917 AWK720915:AWK720917 BGG720915:BGG720917 BQC720915:BQC720917 BZY720915:BZY720917 CJU720915:CJU720917 CTQ720915:CTQ720917 DDM720915:DDM720917 DNI720915:DNI720917 DXE720915:DXE720917 EHA720915:EHA720917 EQW720915:EQW720917 FAS720915:FAS720917 FKO720915:FKO720917 FUK720915:FUK720917 GEG720915:GEG720917 GOC720915:GOC720917 GXY720915:GXY720917 HHU720915:HHU720917 HRQ720915:HRQ720917 IBM720915:IBM720917 ILI720915:ILI720917 IVE720915:IVE720917 JFA720915:JFA720917 JOW720915:JOW720917 JYS720915:JYS720917 KIO720915:KIO720917 KSK720915:KSK720917 LCG720915:LCG720917 LMC720915:LMC720917 LVY720915:LVY720917 MFU720915:MFU720917 MPQ720915:MPQ720917 MZM720915:MZM720917 NJI720915:NJI720917 NTE720915:NTE720917 ODA720915:ODA720917 OMW720915:OMW720917 OWS720915:OWS720917 PGO720915:PGO720917 PQK720915:PQK720917 QAG720915:QAG720917 QKC720915:QKC720917 QTY720915:QTY720917 RDU720915:RDU720917 RNQ720915:RNQ720917 RXM720915:RXM720917 SHI720915:SHI720917 SRE720915:SRE720917 TBA720915:TBA720917 TKW720915:TKW720917 TUS720915:TUS720917 UEO720915:UEO720917 UOK720915:UOK720917 UYG720915:UYG720917 VIC720915:VIC720917 VRY720915:VRY720917 WBU720915:WBU720917 WLQ720915:WLQ720917 WVM720915:WVM720917 E786451:E786453 JA786451:JA786453 SW786451:SW786453 ACS786451:ACS786453 AMO786451:AMO786453 AWK786451:AWK786453 BGG786451:BGG786453 BQC786451:BQC786453 BZY786451:BZY786453 CJU786451:CJU786453 CTQ786451:CTQ786453 DDM786451:DDM786453 DNI786451:DNI786453 DXE786451:DXE786453 EHA786451:EHA786453 EQW786451:EQW786453 FAS786451:FAS786453 FKO786451:FKO786453 FUK786451:FUK786453 GEG786451:GEG786453 GOC786451:GOC786453 GXY786451:GXY786453 HHU786451:HHU786453 HRQ786451:HRQ786453 IBM786451:IBM786453 ILI786451:ILI786453 IVE786451:IVE786453 JFA786451:JFA786453 JOW786451:JOW786453 JYS786451:JYS786453 KIO786451:KIO786453 KSK786451:KSK786453 LCG786451:LCG786453 LMC786451:LMC786453 LVY786451:LVY786453 MFU786451:MFU786453 MPQ786451:MPQ786453 MZM786451:MZM786453 NJI786451:NJI786453 NTE786451:NTE786453 ODA786451:ODA786453 OMW786451:OMW786453 OWS786451:OWS786453 PGO786451:PGO786453 PQK786451:PQK786453 QAG786451:QAG786453 QKC786451:QKC786453 QTY786451:QTY786453 RDU786451:RDU786453 RNQ786451:RNQ786453 RXM786451:RXM786453 SHI786451:SHI786453 SRE786451:SRE786453 TBA786451:TBA786453 TKW786451:TKW786453 TUS786451:TUS786453 UEO786451:UEO786453 UOK786451:UOK786453 UYG786451:UYG786453 VIC786451:VIC786453 VRY786451:VRY786453 WBU786451:WBU786453 WLQ786451:WLQ786453 WVM786451:WVM786453 E851987:E851989 JA851987:JA851989 SW851987:SW851989 ACS851987:ACS851989 AMO851987:AMO851989 AWK851987:AWK851989 BGG851987:BGG851989 BQC851987:BQC851989 BZY851987:BZY851989 CJU851987:CJU851989 CTQ851987:CTQ851989 DDM851987:DDM851989 DNI851987:DNI851989 DXE851987:DXE851989 EHA851987:EHA851989 EQW851987:EQW851989 FAS851987:FAS851989 FKO851987:FKO851989 FUK851987:FUK851989 GEG851987:GEG851989 GOC851987:GOC851989 GXY851987:GXY851989 HHU851987:HHU851989 HRQ851987:HRQ851989 IBM851987:IBM851989 ILI851987:ILI851989 IVE851987:IVE851989 JFA851987:JFA851989 JOW851987:JOW851989 JYS851987:JYS851989 KIO851987:KIO851989 KSK851987:KSK851989 LCG851987:LCG851989 LMC851987:LMC851989 LVY851987:LVY851989 MFU851987:MFU851989 MPQ851987:MPQ851989 MZM851987:MZM851989 NJI851987:NJI851989 NTE851987:NTE851989 ODA851987:ODA851989 OMW851987:OMW851989 OWS851987:OWS851989 PGO851987:PGO851989 PQK851987:PQK851989 QAG851987:QAG851989 QKC851987:QKC851989 QTY851987:QTY851989 RDU851987:RDU851989 RNQ851987:RNQ851989 RXM851987:RXM851989 SHI851987:SHI851989 SRE851987:SRE851989 TBA851987:TBA851989 TKW851987:TKW851989 TUS851987:TUS851989 UEO851987:UEO851989 UOK851987:UOK851989 UYG851987:UYG851989 VIC851987:VIC851989 VRY851987:VRY851989 WBU851987:WBU851989 WLQ851987:WLQ851989 WVM851987:WVM851989 E917523:E917525 JA917523:JA917525 SW917523:SW917525 ACS917523:ACS917525 AMO917523:AMO917525 AWK917523:AWK917525 BGG917523:BGG917525 BQC917523:BQC917525 BZY917523:BZY917525 CJU917523:CJU917525 CTQ917523:CTQ917525 DDM917523:DDM917525 DNI917523:DNI917525 DXE917523:DXE917525 EHA917523:EHA917525 EQW917523:EQW917525 FAS917523:FAS917525 FKO917523:FKO917525 FUK917523:FUK917525 GEG917523:GEG917525 GOC917523:GOC917525 GXY917523:GXY917525 HHU917523:HHU917525 HRQ917523:HRQ917525 IBM917523:IBM917525 ILI917523:ILI917525 IVE917523:IVE917525 JFA917523:JFA917525 JOW917523:JOW917525 JYS917523:JYS917525 KIO917523:KIO917525 KSK917523:KSK917525 LCG917523:LCG917525 LMC917523:LMC917525 LVY917523:LVY917525 MFU917523:MFU917525 MPQ917523:MPQ917525 MZM917523:MZM917525 NJI917523:NJI917525 NTE917523:NTE917525 ODA917523:ODA917525 OMW917523:OMW917525 OWS917523:OWS917525 PGO917523:PGO917525 PQK917523:PQK917525 QAG917523:QAG917525 QKC917523:QKC917525 QTY917523:QTY917525 RDU917523:RDU917525 RNQ917523:RNQ917525 RXM917523:RXM917525 SHI917523:SHI917525 SRE917523:SRE917525 TBA917523:TBA917525 TKW917523:TKW917525 TUS917523:TUS917525 UEO917523:UEO917525 UOK917523:UOK917525 UYG917523:UYG917525 VIC917523:VIC917525 VRY917523:VRY917525 WBU917523:WBU917525 WLQ917523:WLQ917525 WVM917523:WVM917525 E983059:E983061 JA983059:JA983061 SW983059:SW983061 ACS983059:ACS983061 AMO983059:AMO983061 AWK983059:AWK983061 BGG983059:BGG983061 BQC983059:BQC983061 BZY983059:BZY983061 CJU983059:CJU983061 CTQ983059:CTQ983061 DDM983059:DDM983061 DNI983059:DNI983061 DXE983059:DXE983061 EHA983059:EHA983061 EQW983059:EQW983061 FAS983059:FAS983061 FKO983059:FKO983061 FUK983059:FUK983061 GEG983059:GEG983061 GOC983059:GOC983061 GXY983059:GXY983061 HHU983059:HHU983061 HRQ983059:HRQ983061 IBM983059:IBM983061 ILI983059:ILI983061 IVE983059:IVE983061 JFA983059:JFA983061 JOW983059:JOW983061 JYS983059:JYS983061 KIO983059:KIO983061 KSK983059:KSK983061 LCG983059:LCG983061 LMC983059:LMC983061 LVY983059:LVY983061 MFU983059:MFU983061 MPQ983059:MPQ983061 MZM983059:MZM983061 NJI983059:NJI983061 NTE983059:NTE983061 ODA983059:ODA983061 OMW983059:OMW983061 OWS983059:OWS983061 PGO983059:PGO983061 PQK983059:PQK983061 QAG983059:QAG983061 QKC983059:QKC983061 QTY983059:QTY983061 RDU983059:RDU983061 RNQ983059:RNQ983061 RXM983059:RXM983061 SHI983059:SHI983061 SRE983059:SRE983061 TBA983059:TBA983061 TKW983059:TKW983061 TUS983059:TUS983061 UEO983059:UEO983061 UOK983059:UOK983061 UYG983059:UYG983061 VIC983059:VIC983061 VRY983059:VRY983061 WBU983059:WBU983061 WLQ983059:WLQ983061 WVM983059:WVM983061 E3:E5 JA3:JA5 SW3:SW5 ACS3:ACS5 AMO3:AMO5 AWK3:AWK5 BGG3:BGG5 BQC3:BQC5 BZY3:BZY5 CJU3:CJU5 CTQ3:CTQ5 DDM3:DDM5 DNI3:DNI5 DXE3:DXE5 EHA3:EHA5 EQW3:EQW5 FAS3:FAS5 FKO3:FKO5 FUK3:FUK5 GEG3:GEG5 GOC3:GOC5 GXY3:GXY5 HHU3:HHU5 HRQ3:HRQ5 IBM3:IBM5 ILI3:ILI5 IVE3:IVE5 JFA3:JFA5 JOW3:JOW5 JYS3:JYS5 KIO3:KIO5 KSK3:KSK5 LCG3:LCG5 LMC3:LMC5 LVY3:LVY5 MFU3:MFU5 MPQ3:MPQ5 MZM3:MZM5 NJI3:NJI5 NTE3:NTE5 ODA3:ODA5 OMW3:OMW5 OWS3:OWS5 PGO3:PGO5 PQK3:PQK5 QAG3:QAG5 QKC3:QKC5 QTY3:QTY5 RDU3:RDU5 RNQ3:RNQ5 RXM3:RXM5 SHI3:SHI5 SRE3:SRE5 TBA3:TBA5 TKW3:TKW5 TUS3:TUS5 UEO3:UEO5 UOK3:UOK5 UYG3:UYG5 VIC3:VIC5 VRY3:VRY5 WBU3:WBU5 WLQ3:WLQ5 WVM3:WVM5 E65482:E65484 JA65482:JA65484 SW65482:SW65484 ACS65482:ACS65484 AMO65482:AMO65484 AWK65482:AWK65484 BGG65482:BGG65484 BQC65482:BQC65484 BZY65482:BZY65484 CJU65482:CJU65484 CTQ65482:CTQ65484 DDM65482:DDM65484 DNI65482:DNI65484 DXE65482:DXE65484 EHA65482:EHA65484 EQW65482:EQW65484 FAS65482:FAS65484 FKO65482:FKO65484 FUK65482:FUK65484 GEG65482:GEG65484 GOC65482:GOC65484 GXY65482:GXY65484 HHU65482:HHU65484 HRQ65482:HRQ65484 IBM65482:IBM65484 ILI65482:ILI65484 IVE65482:IVE65484 JFA65482:JFA65484 JOW65482:JOW65484 JYS65482:JYS65484 KIO65482:KIO65484 KSK65482:KSK65484 LCG65482:LCG65484 LMC65482:LMC65484 LVY65482:LVY65484 MFU65482:MFU65484 MPQ65482:MPQ65484 MZM65482:MZM65484 NJI65482:NJI65484 NTE65482:NTE65484 ODA65482:ODA65484 OMW65482:OMW65484 OWS65482:OWS65484 PGO65482:PGO65484 PQK65482:PQK65484 QAG65482:QAG65484 QKC65482:QKC65484 QTY65482:QTY65484 RDU65482:RDU65484 RNQ65482:RNQ65484 RXM65482:RXM65484 SHI65482:SHI65484 SRE65482:SRE65484 TBA65482:TBA65484 TKW65482:TKW65484 TUS65482:TUS65484 UEO65482:UEO65484 UOK65482:UOK65484 UYG65482:UYG65484 VIC65482:VIC65484 VRY65482:VRY65484 WBU65482:WBU65484 WLQ65482:WLQ65484 WVM65482:WVM65484 E131018:E131020 JA131018:JA131020 SW131018:SW131020 ACS131018:ACS131020 AMO131018:AMO131020 AWK131018:AWK131020 BGG131018:BGG131020 BQC131018:BQC131020 BZY131018:BZY131020 CJU131018:CJU131020 CTQ131018:CTQ131020 DDM131018:DDM131020 DNI131018:DNI131020 DXE131018:DXE131020 EHA131018:EHA131020 EQW131018:EQW131020 FAS131018:FAS131020 FKO131018:FKO131020 FUK131018:FUK131020 GEG131018:GEG131020 GOC131018:GOC131020 GXY131018:GXY131020 HHU131018:HHU131020 HRQ131018:HRQ131020 IBM131018:IBM131020 ILI131018:ILI131020 IVE131018:IVE131020 JFA131018:JFA131020 JOW131018:JOW131020 JYS131018:JYS131020 KIO131018:KIO131020 KSK131018:KSK131020 LCG131018:LCG131020 LMC131018:LMC131020 LVY131018:LVY131020 MFU131018:MFU131020 MPQ131018:MPQ131020 MZM131018:MZM131020 NJI131018:NJI131020 NTE131018:NTE131020 ODA131018:ODA131020 OMW131018:OMW131020 OWS131018:OWS131020 PGO131018:PGO131020 PQK131018:PQK131020 QAG131018:QAG131020 QKC131018:QKC131020 QTY131018:QTY131020 RDU131018:RDU131020 RNQ131018:RNQ131020 RXM131018:RXM131020 SHI131018:SHI131020 SRE131018:SRE131020 TBA131018:TBA131020 TKW131018:TKW131020 TUS131018:TUS131020 UEO131018:UEO131020 UOK131018:UOK131020 UYG131018:UYG131020 VIC131018:VIC131020 VRY131018:VRY131020 WBU131018:WBU131020 WLQ131018:WLQ131020 WVM131018:WVM131020 E196554:E196556 JA196554:JA196556 SW196554:SW196556 ACS196554:ACS196556 AMO196554:AMO196556 AWK196554:AWK196556 BGG196554:BGG196556 BQC196554:BQC196556 BZY196554:BZY196556 CJU196554:CJU196556 CTQ196554:CTQ196556 DDM196554:DDM196556 DNI196554:DNI196556 DXE196554:DXE196556 EHA196554:EHA196556 EQW196554:EQW196556 FAS196554:FAS196556 FKO196554:FKO196556 FUK196554:FUK196556 GEG196554:GEG196556 GOC196554:GOC196556 GXY196554:GXY196556 HHU196554:HHU196556 HRQ196554:HRQ196556 IBM196554:IBM196556 ILI196554:ILI196556 IVE196554:IVE196556 JFA196554:JFA196556 JOW196554:JOW196556 JYS196554:JYS196556 KIO196554:KIO196556 KSK196554:KSK196556 LCG196554:LCG196556 LMC196554:LMC196556 LVY196554:LVY196556 MFU196554:MFU196556 MPQ196554:MPQ196556 MZM196554:MZM196556 NJI196554:NJI196556 NTE196554:NTE196556 ODA196554:ODA196556 OMW196554:OMW196556 OWS196554:OWS196556 PGO196554:PGO196556 PQK196554:PQK196556 QAG196554:QAG196556 QKC196554:QKC196556 QTY196554:QTY196556 RDU196554:RDU196556 RNQ196554:RNQ196556 RXM196554:RXM196556 SHI196554:SHI196556 SRE196554:SRE196556 TBA196554:TBA196556 TKW196554:TKW196556 TUS196554:TUS196556 UEO196554:UEO196556 UOK196554:UOK196556 UYG196554:UYG196556 VIC196554:VIC196556 VRY196554:VRY196556 WBU196554:WBU196556 WLQ196554:WLQ196556 WVM196554:WVM196556 E262090:E262092 JA262090:JA262092 SW262090:SW262092 ACS262090:ACS262092 AMO262090:AMO262092 AWK262090:AWK262092 BGG262090:BGG262092 BQC262090:BQC262092 BZY262090:BZY262092 CJU262090:CJU262092 CTQ262090:CTQ262092 DDM262090:DDM262092 DNI262090:DNI262092 DXE262090:DXE262092 EHA262090:EHA262092 EQW262090:EQW262092 FAS262090:FAS262092 FKO262090:FKO262092 FUK262090:FUK262092 GEG262090:GEG262092 GOC262090:GOC262092 GXY262090:GXY262092 HHU262090:HHU262092 HRQ262090:HRQ262092 IBM262090:IBM262092 ILI262090:ILI262092 IVE262090:IVE262092 JFA262090:JFA262092 JOW262090:JOW262092 JYS262090:JYS262092 KIO262090:KIO262092 KSK262090:KSK262092 LCG262090:LCG262092 LMC262090:LMC262092 LVY262090:LVY262092 MFU262090:MFU262092 MPQ262090:MPQ262092 MZM262090:MZM262092 NJI262090:NJI262092 NTE262090:NTE262092 ODA262090:ODA262092 OMW262090:OMW262092 OWS262090:OWS262092 PGO262090:PGO262092 PQK262090:PQK262092 QAG262090:QAG262092 QKC262090:QKC262092 QTY262090:QTY262092 RDU262090:RDU262092 RNQ262090:RNQ262092 RXM262090:RXM262092 SHI262090:SHI262092 SRE262090:SRE262092 TBA262090:TBA262092 TKW262090:TKW262092 TUS262090:TUS262092 UEO262090:UEO262092 UOK262090:UOK262092 UYG262090:UYG262092 VIC262090:VIC262092 VRY262090:VRY262092 WBU262090:WBU262092 WLQ262090:WLQ262092 WVM262090:WVM262092 E327626:E327628 JA327626:JA327628 SW327626:SW327628 ACS327626:ACS327628 AMO327626:AMO327628 AWK327626:AWK327628 BGG327626:BGG327628 BQC327626:BQC327628 BZY327626:BZY327628 CJU327626:CJU327628 CTQ327626:CTQ327628 DDM327626:DDM327628 DNI327626:DNI327628 DXE327626:DXE327628 EHA327626:EHA327628 EQW327626:EQW327628 FAS327626:FAS327628 FKO327626:FKO327628 FUK327626:FUK327628 GEG327626:GEG327628 GOC327626:GOC327628 GXY327626:GXY327628 HHU327626:HHU327628 HRQ327626:HRQ327628 IBM327626:IBM327628 ILI327626:ILI327628 IVE327626:IVE327628 JFA327626:JFA327628 JOW327626:JOW327628 JYS327626:JYS327628 KIO327626:KIO327628 KSK327626:KSK327628 LCG327626:LCG327628 LMC327626:LMC327628 LVY327626:LVY327628 MFU327626:MFU327628 MPQ327626:MPQ327628 MZM327626:MZM327628 NJI327626:NJI327628 NTE327626:NTE327628 ODA327626:ODA327628 OMW327626:OMW327628 OWS327626:OWS327628 PGO327626:PGO327628 PQK327626:PQK327628 QAG327626:QAG327628 QKC327626:QKC327628 QTY327626:QTY327628 RDU327626:RDU327628 RNQ327626:RNQ327628 RXM327626:RXM327628 SHI327626:SHI327628 SRE327626:SRE327628 TBA327626:TBA327628 TKW327626:TKW327628 TUS327626:TUS327628 UEO327626:UEO327628 UOK327626:UOK327628 UYG327626:UYG327628 VIC327626:VIC327628 VRY327626:VRY327628 WBU327626:WBU327628 WLQ327626:WLQ327628 WVM327626:WVM327628 E393162:E393164 JA393162:JA393164 SW393162:SW393164 ACS393162:ACS393164 AMO393162:AMO393164 AWK393162:AWK393164 BGG393162:BGG393164 BQC393162:BQC393164 BZY393162:BZY393164 CJU393162:CJU393164 CTQ393162:CTQ393164 DDM393162:DDM393164 DNI393162:DNI393164 DXE393162:DXE393164 EHA393162:EHA393164 EQW393162:EQW393164 FAS393162:FAS393164 FKO393162:FKO393164 FUK393162:FUK393164 GEG393162:GEG393164 GOC393162:GOC393164 GXY393162:GXY393164 HHU393162:HHU393164 HRQ393162:HRQ393164 IBM393162:IBM393164 ILI393162:ILI393164 IVE393162:IVE393164 JFA393162:JFA393164 JOW393162:JOW393164 JYS393162:JYS393164 KIO393162:KIO393164 KSK393162:KSK393164 LCG393162:LCG393164 LMC393162:LMC393164 LVY393162:LVY393164 MFU393162:MFU393164 MPQ393162:MPQ393164 MZM393162:MZM393164 NJI393162:NJI393164 NTE393162:NTE393164 ODA393162:ODA393164 OMW393162:OMW393164 OWS393162:OWS393164 PGO393162:PGO393164 PQK393162:PQK393164 QAG393162:QAG393164 QKC393162:QKC393164 QTY393162:QTY393164 RDU393162:RDU393164 RNQ393162:RNQ393164 RXM393162:RXM393164 SHI393162:SHI393164 SRE393162:SRE393164 TBA393162:TBA393164 TKW393162:TKW393164 TUS393162:TUS393164 UEO393162:UEO393164 UOK393162:UOK393164 UYG393162:UYG393164 VIC393162:VIC393164 VRY393162:VRY393164 WBU393162:WBU393164 WLQ393162:WLQ393164 WVM393162:WVM393164 E458698:E458700 JA458698:JA458700 SW458698:SW458700 ACS458698:ACS458700 AMO458698:AMO458700 AWK458698:AWK458700 BGG458698:BGG458700 BQC458698:BQC458700 BZY458698:BZY458700 CJU458698:CJU458700 CTQ458698:CTQ458700 DDM458698:DDM458700 DNI458698:DNI458700 DXE458698:DXE458700 EHA458698:EHA458700 EQW458698:EQW458700 FAS458698:FAS458700 FKO458698:FKO458700 FUK458698:FUK458700 GEG458698:GEG458700 GOC458698:GOC458700 GXY458698:GXY458700 HHU458698:HHU458700 HRQ458698:HRQ458700 IBM458698:IBM458700 ILI458698:ILI458700 IVE458698:IVE458700 JFA458698:JFA458700 JOW458698:JOW458700 JYS458698:JYS458700 KIO458698:KIO458700 KSK458698:KSK458700 LCG458698:LCG458700 LMC458698:LMC458700 LVY458698:LVY458700 MFU458698:MFU458700 MPQ458698:MPQ458700 MZM458698:MZM458700 NJI458698:NJI458700 NTE458698:NTE458700 ODA458698:ODA458700 OMW458698:OMW458700 OWS458698:OWS458700 PGO458698:PGO458700 PQK458698:PQK458700 QAG458698:QAG458700 QKC458698:QKC458700 QTY458698:QTY458700 RDU458698:RDU458700 RNQ458698:RNQ458700 RXM458698:RXM458700 SHI458698:SHI458700 SRE458698:SRE458700 TBA458698:TBA458700 TKW458698:TKW458700 TUS458698:TUS458700 UEO458698:UEO458700 UOK458698:UOK458700 UYG458698:UYG458700 VIC458698:VIC458700 VRY458698:VRY458700 WBU458698:WBU458700 WLQ458698:WLQ458700 WVM458698:WVM458700 E524234:E524236 JA524234:JA524236 SW524234:SW524236 ACS524234:ACS524236 AMO524234:AMO524236 AWK524234:AWK524236 BGG524234:BGG524236 BQC524234:BQC524236 BZY524234:BZY524236 CJU524234:CJU524236 CTQ524234:CTQ524236 DDM524234:DDM524236 DNI524234:DNI524236 DXE524234:DXE524236 EHA524234:EHA524236 EQW524234:EQW524236 FAS524234:FAS524236 FKO524234:FKO524236 FUK524234:FUK524236 GEG524234:GEG524236 GOC524234:GOC524236 GXY524234:GXY524236 HHU524234:HHU524236 HRQ524234:HRQ524236 IBM524234:IBM524236 ILI524234:ILI524236 IVE524234:IVE524236 JFA524234:JFA524236 JOW524234:JOW524236 JYS524234:JYS524236 KIO524234:KIO524236 KSK524234:KSK524236 LCG524234:LCG524236 LMC524234:LMC524236 LVY524234:LVY524236 MFU524234:MFU524236 MPQ524234:MPQ524236 MZM524234:MZM524236 NJI524234:NJI524236 NTE524234:NTE524236 ODA524234:ODA524236 OMW524234:OMW524236 OWS524234:OWS524236 PGO524234:PGO524236 PQK524234:PQK524236 QAG524234:QAG524236 QKC524234:QKC524236 QTY524234:QTY524236 RDU524234:RDU524236 RNQ524234:RNQ524236 RXM524234:RXM524236 SHI524234:SHI524236 SRE524234:SRE524236 TBA524234:TBA524236 TKW524234:TKW524236 TUS524234:TUS524236 UEO524234:UEO524236 UOK524234:UOK524236 UYG524234:UYG524236 VIC524234:VIC524236 VRY524234:VRY524236 WBU524234:WBU524236 WLQ524234:WLQ524236 WVM524234:WVM524236 E589770:E589772 JA589770:JA589772 SW589770:SW589772 ACS589770:ACS589772 AMO589770:AMO589772 AWK589770:AWK589772 BGG589770:BGG589772 BQC589770:BQC589772 BZY589770:BZY589772 CJU589770:CJU589772 CTQ589770:CTQ589772 DDM589770:DDM589772 DNI589770:DNI589772 DXE589770:DXE589772 EHA589770:EHA589772 EQW589770:EQW589772 FAS589770:FAS589772 FKO589770:FKO589772 FUK589770:FUK589772 GEG589770:GEG589772 GOC589770:GOC589772 GXY589770:GXY589772 HHU589770:HHU589772 HRQ589770:HRQ589772 IBM589770:IBM589772 ILI589770:ILI589772 IVE589770:IVE589772 JFA589770:JFA589772 JOW589770:JOW589772 JYS589770:JYS589772 KIO589770:KIO589772 KSK589770:KSK589772 LCG589770:LCG589772 LMC589770:LMC589772 LVY589770:LVY589772 MFU589770:MFU589772 MPQ589770:MPQ589772 MZM589770:MZM589772 NJI589770:NJI589772 NTE589770:NTE589772 ODA589770:ODA589772 OMW589770:OMW589772 OWS589770:OWS589772 PGO589770:PGO589772 PQK589770:PQK589772 QAG589770:QAG589772 QKC589770:QKC589772 QTY589770:QTY589772 RDU589770:RDU589772 RNQ589770:RNQ589772 RXM589770:RXM589772 SHI589770:SHI589772 SRE589770:SRE589772 TBA589770:TBA589772 TKW589770:TKW589772 TUS589770:TUS589772 UEO589770:UEO589772 UOK589770:UOK589772 UYG589770:UYG589772 VIC589770:VIC589772 VRY589770:VRY589772 WBU589770:WBU589772 WLQ589770:WLQ589772 WVM589770:WVM589772 E655306:E655308 JA655306:JA655308 SW655306:SW655308 ACS655306:ACS655308 AMO655306:AMO655308 AWK655306:AWK655308 BGG655306:BGG655308 BQC655306:BQC655308 BZY655306:BZY655308 CJU655306:CJU655308 CTQ655306:CTQ655308 DDM655306:DDM655308 DNI655306:DNI655308 DXE655306:DXE655308 EHA655306:EHA655308 EQW655306:EQW655308 FAS655306:FAS655308 FKO655306:FKO655308 FUK655306:FUK655308 GEG655306:GEG655308 GOC655306:GOC655308 GXY655306:GXY655308 HHU655306:HHU655308 HRQ655306:HRQ655308 IBM655306:IBM655308 ILI655306:ILI655308 IVE655306:IVE655308 JFA655306:JFA655308 JOW655306:JOW655308 JYS655306:JYS655308 KIO655306:KIO655308 KSK655306:KSK655308 LCG655306:LCG655308 LMC655306:LMC655308 LVY655306:LVY655308 MFU655306:MFU655308 MPQ655306:MPQ655308 MZM655306:MZM655308 NJI655306:NJI655308 NTE655306:NTE655308 ODA655306:ODA655308 OMW655306:OMW655308 OWS655306:OWS655308 PGO655306:PGO655308 PQK655306:PQK655308 QAG655306:QAG655308 QKC655306:QKC655308 QTY655306:QTY655308 RDU655306:RDU655308 RNQ655306:RNQ655308 RXM655306:RXM655308 SHI655306:SHI655308 SRE655306:SRE655308 TBA655306:TBA655308 TKW655306:TKW655308 TUS655306:TUS655308 UEO655306:UEO655308 UOK655306:UOK655308 UYG655306:UYG655308 VIC655306:VIC655308 VRY655306:VRY655308 WBU655306:WBU655308 WLQ655306:WLQ655308 WVM655306:WVM655308 E720842:E720844 JA720842:JA720844 SW720842:SW720844 ACS720842:ACS720844 AMO720842:AMO720844 AWK720842:AWK720844 BGG720842:BGG720844 BQC720842:BQC720844 BZY720842:BZY720844 CJU720842:CJU720844 CTQ720842:CTQ720844 DDM720842:DDM720844 DNI720842:DNI720844 DXE720842:DXE720844 EHA720842:EHA720844 EQW720842:EQW720844 FAS720842:FAS720844 FKO720842:FKO720844 FUK720842:FUK720844 GEG720842:GEG720844 GOC720842:GOC720844 GXY720842:GXY720844 HHU720842:HHU720844 HRQ720842:HRQ720844 IBM720842:IBM720844 ILI720842:ILI720844 IVE720842:IVE720844 JFA720842:JFA720844 JOW720842:JOW720844 JYS720842:JYS720844 KIO720842:KIO720844 KSK720842:KSK720844 LCG720842:LCG720844 LMC720842:LMC720844 LVY720842:LVY720844 MFU720842:MFU720844 MPQ720842:MPQ720844 MZM720842:MZM720844 NJI720842:NJI720844 NTE720842:NTE720844 ODA720842:ODA720844 OMW720842:OMW720844 OWS720842:OWS720844 PGO720842:PGO720844 PQK720842:PQK720844 QAG720842:QAG720844 QKC720842:QKC720844 QTY720842:QTY720844 RDU720842:RDU720844 RNQ720842:RNQ720844 RXM720842:RXM720844 SHI720842:SHI720844 SRE720842:SRE720844 TBA720842:TBA720844 TKW720842:TKW720844 TUS720842:TUS720844 UEO720842:UEO720844 UOK720842:UOK720844 UYG720842:UYG720844 VIC720842:VIC720844 VRY720842:VRY720844 WBU720842:WBU720844 WLQ720842:WLQ720844 WVM720842:WVM720844 E786378:E786380 JA786378:JA786380 SW786378:SW786380 ACS786378:ACS786380 AMO786378:AMO786380 AWK786378:AWK786380 BGG786378:BGG786380 BQC786378:BQC786380 BZY786378:BZY786380 CJU786378:CJU786380 CTQ786378:CTQ786380 DDM786378:DDM786380 DNI786378:DNI786380 DXE786378:DXE786380 EHA786378:EHA786380 EQW786378:EQW786380 FAS786378:FAS786380 FKO786378:FKO786380 FUK786378:FUK786380 GEG786378:GEG786380 GOC786378:GOC786380 GXY786378:GXY786380 HHU786378:HHU786380 HRQ786378:HRQ786380 IBM786378:IBM786380 ILI786378:ILI786380 IVE786378:IVE786380 JFA786378:JFA786380 JOW786378:JOW786380 JYS786378:JYS786380 KIO786378:KIO786380 KSK786378:KSK786380 LCG786378:LCG786380 LMC786378:LMC786380 LVY786378:LVY786380 MFU786378:MFU786380 MPQ786378:MPQ786380 MZM786378:MZM786380 NJI786378:NJI786380 NTE786378:NTE786380 ODA786378:ODA786380 OMW786378:OMW786380 OWS786378:OWS786380 PGO786378:PGO786380 PQK786378:PQK786380 QAG786378:QAG786380 QKC786378:QKC786380 QTY786378:QTY786380 RDU786378:RDU786380 RNQ786378:RNQ786380 RXM786378:RXM786380 SHI786378:SHI786380 SRE786378:SRE786380 TBA786378:TBA786380 TKW786378:TKW786380 TUS786378:TUS786380 UEO786378:UEO786380 UOK786378:UOK786380 UYG786378:UYG786380 VIC786378:VIC786380 VRY786378:VRY786380 WBU786378:WBU786380 WLQ786378:WLQ786380 WVM786378:WVM786380 E851914:E851916 JA851914:JA851916 SW851914:SW851916 ACS851914:ACS851916 AMO851914:AMO851916 AWK851914:AWK851916 BGG851914:BGG851916 BQC851914:BQC851916 BZY851914:BZY851916 CJU851914:CJU851916 CTQ851914:CTQ851916 DDM851914:DDM851916 DNI851914:DNI851916 DXE851914:DXE851916 EHA851914:EHA851916 EQW851914:EQW851916 FAS851914:FAS851916 FKO851914:FKO851916 FUK851914:FUK851916 GEG851914:GEG851916 GOC851914:GOC851916 GXY851914:GXY851916 HHU851914:HHU851916 HRQ851914:HRQ851916 IBM851914:IBM851916 ILI851914:ILI851916 IVE851914:IVE851916 JFA851914:JFA851916 JOW851914:JOW851916 JYS851914:JYS851916 KIO851914:KIO851916 KSK851914:KSK851916 LCG851914:LCG851916 LMC851914:LMC851916 LVY851914:LVY851916 MFU851914:MFU851916 MPQ851914:MPQ851916 MZM851914:MZM851916 NJI851914:NJI851916 NTE851914:NTE851916 ODA851914:ODA851916 OMW851914:OMW851916 OWS851914:OWS851916 PGO851914:PGO851916 PQK851914:PQK851916 QAG851914:QAG851916 QKC851914:QKC851916 QTY851914:QTY851916 RDU851914:RDU851916 RNQ851914:RNQ851916 RXM851914:RXM851916 SHI851914:SHI851916 SRE851914:SRE851916 TBA851914:TBA851916 TKW851914:TKW851916 TUS851914:TUS851916 UEO851914:UEO851916 UOK851914:UOK851916 UYG851914:UYG851916 VIC851914:VIC851916 VRY851914:VRY851916 WBU851914:WBU851916 WLQ851914:WLQ851916 WVM851914:WVM851916 E917450:E917452 JA917450:JA917452 SW917450:SW917452 ACS917450:ACS917452 AMO917450:AMO917452 AWK917450:AWK917452 BGG917450:BGG917452 BQC917450:BQC917452 BZY917450:BZY917452 CJU917450:CJU917452 CTQ917450:CTQ917452 DDM917450:DDM917452 DNI917450:DNI917452 DXE917450:DXE917452 EHA917450:EHA917452 EQW917450:EQW917452 FAS917450:FAS917452 FKO917450:FKO917452 FUK917450:FUK917452 GEG917450:GEG917452 GOC917450:GOC917452 GXY917450:GXY917452 HHU917450:HHU917452 HRQ917450:HRQ917452 IBM917450:IBM917452 ILI917450:ILI917452 IVE917450:IVE917452 JFA917450:JFA917452 JOW917450:JOW917452 JYS917450:JYS917452 KIO917450:KIO917452 KSK917450:KSK917452 LCG917450:LCG917452 LMC917450:LMC917452 LVY917450:LVY917452 MFU917450:MFU917452 MPQ917450:MPQ917452 MZM917450:MZM917452 NJI917450:NJI917452 NTE917450:NTE917452 ODA917450:ODA917452 OMW917450:OMW917452 OWS917450:OWS917452 PGO917450:PGO917452 PQK917450:PQK917452 QAG917450:QAG917452 QKC917450:QKC917452 QTY917450:QTY917452 RDU917450:RDU917452 RNQ917450:RNQ917452 RXM917450:RXM917452 SHI917450:SHI917452 SRE917450:SRE917452 TBA917450:TBA917452 TKW917450:TKW917452 TUS917450:TUS917452 UEO917450:UEO917452 UOK917450:UOK917452 UYG917450:UYG917452 VIC917450:VIC917452 VRY917450:VRY917452 WBU917450:WBU917452 WLQ917450:WLQ917452 WVM917450:WVM917452 E982986:E982988 JA982986:JA982988 SW982986:SW982988 ACS982986:ACS982988 AMO982986:AMO982988 AWK982986:AWK982988 BGG982986:BGG982988 BQC982986:BQC982988 BZY982986:BZY982988 CJU982986:CJU982988 CTQ982986:CTQ982988 DDM982986:DDM982988 DNI982986:DNI982988 DXE982986:DXE982988 EHA982986:EHA982988 EQW982986:EQW982988 FAS982986:FAS982988 FKO982986:FKO982988 FUK982986:FUK982988 GEG982986:GEG982988 GOC982986:GOC982988 GXY982986:GXY982988 HHU982986:HHU982988 HRQ982986:HRQ982988 IBM982986:IBM982988 ILI982986:ILI982988 IVE982986:IVE982988 JFA982986:JFA982988 JOW982986:JOW982988 JYS982986:JYS982988 KIO982986:KIO982988 KSK982986:KSK982988 LCG982986:LCG982988 LMC982986:LMC982988 LVY982986:LVY982988 MFU982986:MFU982988 MPQ982986:MPQ982988 MZM982986:MZM982988 NJI982986:NJI982988 NTE982986:NTE982988 ODA982986:ODA982988 OMW982986:OMW982988 OWS982986:OWS982988 PGO982986:PGO982988 PQK982986:PQK982988 QAG982986:QAG982988 QKC982986:QKC982988 QTY982986:QTY982988 RDU982986:RDU982988 RNQ982986:RNQ982988 RXM982986:RXM982988 SHI982986:SHI982988 SRE982986:SRE982988 TBA982986:TBA982988 TKW982986:TKW982988 TUS982986:TUS982988 UEO982986:UEO982988 UOK982986:UOK982988 UYG982986:UYG982988 VIC982986:VIC982988 VRY982986:VRY982988 WBU982986:WBU982988 WLQ982986:WLQ982988 WVM982986:WVM982988 C3:C5 IY3:IY5 SU3:SU5 ACQ3:ACQ5 AMM3:AMM5 AWI3:AWI5 BGE3:BGE5 BQA3:BQA5 BZW3:BZW5 CJS3:CJS5 CTO3:CTO5 DDK3:DDK5 DNG3:DNG5 DXC3:DXC5 EGY3:EGY5 EQU3:EQU5 FAQ3:FAQ5 FKM3:FKM5 FUI3:FUI5 GEE3:GEE5 GOA3:GOA5 GXW3:GXW5 HHS3:HHS5 HRO3:HRO5 IBK3:IBK5 ILG3:ILG5 IVC3:IVC5 JEY3:JEY5 JOU3:JOU5 JYQ3:JYQ5 KIM3:KIM5 KSI3:KSI5 LCE3:LCE5 LMA3:LMA5 LVW3:LVW5 MFS3:MFS5 MPO3:MPO5 MZK3:MZK5 NJG3:NJG5 NTC3:NTC5 OCY3:OCY5 OMU3:OMU5 OWQ3:OWQ5 PGM3:PGM5 PQI3:PQI5 QAE3:QAE5 QKA3:QKA5 QTW3:QTW5 RDS3:RDS5 RNO3:RNO5 RXK3:RXK5 SHG3:SHG5 SRC3:SRC5 TAY3:TAY5 TKU3:TKU5 TUQ3:TUQ5 UEM3:UEM5 UOI3:UOI5 UYE3:UYE5 VIA3:VIA5 VRW3:VRW5 WBS3:WBS5 WLO3:WLO5 WVK3:WVK5 C65482:C65484 IY65482:IY65484 SU65482:SU65484 ACQ65482:ACQ65484 AMM65482:AMM65484 AWI65482:AWI65484 BGE65482:BGE65484 BQA65482:BQA65484 BZW65482:BZW65484 CJS65482:CJS65484 CTO65482:CTO65484 DDK65482:DDK65484 DNG65482:DNG65484 DXC65482:DXC65484 EGY65482:EGY65484 EQU65482:EQU65484 FAQ65482:FAQ65484 FKM65482:FKM65484 FUI65482:FUI65484 GEE65482:GEE65484 GOA65482:GOA65484 GXW65482:GXW65484 HHS65482:HHS65484 HRO65482:HRO65484 IBK65482:IBK65484 ILG65482:ILG65484 IVC65482:IVC65484 JEY65482:JEY65484 JOU65482:JOU65484 JYQ65482:JYQ65484 KIM65482:KIM65484 KSI65482:KSI65484 LCE65482:LCE65484 LMA65482:LMA65484 LVW65482:LVW65484 MFS65482:MFS65484 MPO65482:MPO65484 MZK65482:MZK65484 NJG65482:NJG65484 NTC65482:NTC65484 OCY65482:OCY65484 OMU65482:OMU65484 OWQ65482:OWQ65484 PGM65482:PGM65484 PQI65482:PQI65484 QAE65482:QAE65484 QKA65482:QKA65484 QTW65482:QTW65484 RDS65482:RDS65484 RNO65482:RNO65484 RXK65482:RXK65484 SHG65482:SHG65484 SRC65482:SRC65484 TAY65482:TAY65484 TKU65482:TKU65484 TUQ65482:TUQ65484 UEM65482:UEM65484 UOI65482:UOI65484 UYE65482:UYE65484 VIA65482:VIA65484 VRW65482:VRW65484 WBS65482:WBS65484 WLO65482:WLO65484 WVK65482:WVK65484 C131018:C131020 IY131018:IY131020 SU131018:SU131020 ACQ131018:ACQ131020 AMM131018:AMM131020 AWI131018:AWI131020 BGE131018:BGE131020 BQA131018:BQA131020 BZW131018:BZW131020 CJS131018:CJS131020 CTO131018:CTO131020 DDK131018:DDK131020 DNG131018:DNG131020 DXC131018:DXC131020 EGY131018:EGY131020 EQU131018:EQU131020 FAQ131018:FAQ131020 FKM131018:FKM131020 FUI131018:FUI131020 GEE131018:GEE131020 GOA131018:GOA131020 GXW131018:GXW131020 HHS131018:HHS131020 HRO131018:HRO131020 IBK131018:IBK131020 ILG131018:ILG131020 IVC131018:IVC131020 JEY131018:JEY131020 JOU131018:JOU131020 JYQ131018:JYQ131020 KIM131018:KIM131020 KSI131018:KSI131020 LCE131018:LCE131020 LMA131018:LMA131020 LVW131018:LVW131020 MFS131018:MFS131020 MPO131018:MPO131020 MZK131018:MZK131020 NJG131018:NJG131020 NTC131018:NTC131020 OCY131018:OCY131020 OMU131018:OMU131020 OWQ131018:OWQ131020 PGM131018:PGM131020 PQI131018:PQI131020 QAE131018:QAE131020 QKA131018:QKA131020 QTW131018:QTW131020 RDS131018:RDS131020 RNO131018:RNO131020 RXK131018:RXK131020 SHG131018:SHG131020 SRC131018:SRC131020 TAY131018:TAY131020 TKU131018:TKU131020 TUQ131018:TUQ131020 UEM131018:UEM131020 UOI131018:UOI131020 UYE131018:UYE131020 VIA131018:VIA131020 VRW131018:VRW131020 WBS131018:WBS131020 WLO131018:WLO131020 WVK131018:WVK131020 C196554:C196556 IY196554:IY196556 SU196554:SU196556 ACQ196554:ACQ196556 AMM196554:AMM196556 AWI196554:AWI196556 BGE196554:BGE196556 BQA196554:BQA196556 BZW196554:BZW196556 CJS196554:CJS196556 CTO196554:CTO196556 DDK196554:DDK196556 DNG196554:DNG196556 DXC196554:DXC196556 EGY196554:EGY196556 EQU196554:EQU196556 FAQ196554:FAQ196556 FKM196554:FKM196556 FUI196554:FUI196556 GEE196554:GEE196556 GOA196554:GOA196556 GXW196554:GXW196556 HHS196554:HHS196556 HRO196554:HRO196556 IBK196554:IBK196556 ILG196554:ILG196556 IVC196554:IVC196556 JEY196554:JEY196556 JOU196554:JOU196556 JYQ196554:JYQ196556 KIM196554:KIM196556 KSI196554:KSI196556 LCE196554:LCE196556 LMA196554:LMA196556 LVW196554:LVW196556 MFS196554:MFS196556 MPO196554:MPO196556 MZK196554:MZK196556 NJG196554:NJG196556 NTC196554:NTC196556 OCY196554:OCY196556 OMU196554:OMU196556 OWQ196554:OWQ196556 PGM196554:PGM196556 PQI196554:PQI196556 QAE196554:QAE196556 QKA196554:QKA196556 QTW196554:QTW196556 RDS196554:RDS196556 RNO196554:RNO196556 RXK196554:RXK196556 SHG196554:SHG196556 SRC196554:SRC196556 TAY196554:TAY196556 TKU196554:TKU196556 TUQ196554:TUQ196556 UEM196554:UEM196556 UOI196554:UOI196556 UYE196554:UYE196556 VIA196554:VIA196556 VRW196554:VRW196556 WBS196554:WBS196556 WLO196554:WLO196556 WVK196554:WVK196556 C262090:C262092 IY262090:IY262092 SU262090:SU262092 ACQ262090:ACQ262092 AMM262090:AMM262092 AWI262090:AWI262092 BGE262090:BGE262092 BQA262090:BQA262092 BZW262090:BZW262092 CJS262090:CJS262092 CTO262090:CTO262092 DDK262090:DDK262092 DNG262090:DNG262092 DXC262090:DXC262092 EGY262090:EGY262092 EQU262090:EQU262092 FAQ262090:FAQ262092 FKM262090:FKM262092 FUI262090:FUI262092 GEE262090:GEE262092 GOA262090:GOA262092 GXW262090:GXW262092 HHS262090:HHS262092 HRO262090:HRO262092 IBK262090:IBK262092 ILG262090:ILG262092 IVC262090:IVC262092 JEY262090:JEY262092 JOU262090:JOU262092 JYQ262090:JYQ262092 KIM262090:KIM262092 KSI262090:KSI262092 LCE262090:LCE262092 LMA262090:LMA262092 LVW262090:LVW262092 MFS262090:MFS262092 MPO262090:MPO262092 MZK262090:MZK262092 NJG262090:NJG262092 NTC262090:NTC262092 OCY262090:OCY262092 OMU262090:OMU262092 OWQ262090:OWQ262092 PGM262090:PGM262092 PQI262090:PQI262092 QAE262090:QAE262092 QKA262090:QKA262092 QTW262090:QTW262092 RDS262090:RDS262092 RNO262090:RNO262092 RXK262090:RXK262092 SHG262090:SHG262092 SRC262090:SRC262092 TAY262090:TAY262092 TKU262090:TKU262092 TUQ262090:TUQ262092 UEM262090:UEM262092 UOI262090:UOI262092 UYE262090:UYE262092 VIA262090:VIA262092 VRW262090:VRW262092 WBS262090:WBS262092 WLO262090:WLO262092 WVK262090:WVK262092 C327626:C327628 IY327626:IY327628 SU327626:SU327628 ACQ327626:ACQ327628 AMM327626:AMM327628 AWI327626:AWI327628 BGE327626:BGE327628 BQA327626:BQA327628 BZW327626:BZW327628 CJS327626:CJS327628 CTO327626:CTO327628 DDK327626:DDK327628 DNG327626:DNG327628 DXC327626:DXC327628 EGY327626:EGY327628 EQU327626:EQU327628 FAQ327626:FAQ327628 FKM327626:FKM327628 FUI327626:FUI327628 GEE327626:GEE327628 GOA327626:GOA327628 GXW327626:GXW327628 HHS327626:HHS327628 HRO327626:HRO327628 IBK327626:IBK327628 ILG327626:ILG327628 IVC327626:IVC327628 JEY327626:JEY327628 JOU327626:JOU327628 JYQ327626:JYQ327628 KIM327626:KIM327628 KSI327626:KSI327628 LCE327626:LCE327628 LMA327626:LMA327628 LVW327626:LVW327628 MFS327626:MFS327628 MPO327626:MPO327628 MZK327626:MZK327628 NJG327626:NJG327628 NTC327626:NTC327628 OCY327626:OCY327628 OMU327626:OMU327628 OWQ327626:OWQ327628 PGM327626:PGM327628 PQI327626:PQI327628 QAE327626:QAE327628 QKA327626:QKA327628 QTW327626:QTW327628 RDS327626:RDS327628 RNO327626:RNO327628 RXK327626:RXK327628 SHG327626:SHG327628 SRC327626:SRC327628 TAY327626:TAY327628 TKU327626:TKU327628 TUQ327626:TUQ327628 UEM327626:UEM327628 UOI327626:UOI327628 UYE327626:UYE327628 VIA327626:VIA327628 VRW327626:VRW327628 WBS327626:WBS327628 WLO327626:WLO327628 WVK327626:WVK327628 C393162:C393164 IY393162:IY393164 SU393162:SU393164 ACQ393162:ACQ393164 AMM393162:AMM393164 AWI393162:AWI393164 BGE393162:BGE393164 BQA393162:BQA393164 BZW393162:BZW393164 CJS393162:CJS393164 CTO393162:CTO393164 DDK393162:DDK393164 DNG393162:DNG393164 DXC393162:DXC393164 EGY393162:EGY393164 EQU393162:EQU393164 FAQ393162:FAQ393164 FKM393162:FKM393164 FUI393162:FUI393164 GEE393162:GEE393164 GOA393162:GOA393164 GXW393162:GXW393164 HHS393162:HHS393164 HRO393162:HRO393164 IBK393162:IBK393164 ILG393162:ILG393164 IVC393162:IVC393164 JEY393162:JEY393164 JOU393162:JOU393164 JYQ393162:JYQ393164 KIM393162:KIM393164 KSI393162:KSI393164 LCE393162:LCE393164 LMA393162:LMA393164 LVW393162:LVW393164 MFS393162:MFS393164 MPO393162:MPO393164 MZK393162:MZK393164 NJG393162:NJG393164 NTC393162:NTC393164 OCY393162:OCY393164 OMU393162:OMU393164 OWQ393162:OWQ393164 PGM393162:PGM393164 PQI393162:PQI393164 QAE393162:QAE393164 QKA393162:QKA393164 QTW393162:QTW393164 RDS393162:RDS393164 RNO393162:RNO393164 RXK393162:RXK393164 SHG393162:SHG393164 SRC393162:SRC393164 TAY393162:TAY393164 TKU393162:TKU393164 TUQ393162:TUQ393164 UEM393162:UEM393164 UOI393162:UOI393164 UYE393162:UYE393164 VIA393162:VIA393164 VRW393162:VRW393164 WBS393162:WBS393164 WLO393162:WLO393164 WVK393162:WVK393164 C458698:C458700 IY458698:IY458700 SU458698:SU458700 ACQ458698:ACQ458700 AMM458698:AMM458700 AWI458698:AWI458700 BGE458698:BGE458700 BQA458698:BQA458700 BZW458698:BZW458700 CJS458698:CJS458700 CTO458698:CTO458700 DDK458698:DDK458700 DNG458698:DNG458700 DXC458698:DXC458700 EGY458698:EGY458700 EQU458698:EQU458700 FAQ458698:FAQ458700 FKM458698:FKM458700 FUI458698:FUI458700 GEE458698:GEE458700 GOA458698:GOA458700 GXW458698:GXW458700 HHS458698:HHS458700 HRO458698:HRO458700 IBK458698:IBK458700 ILG458698:ILG458700 IVC458698:IVC458700 JEY458698:JEY458700 JOU458698:JOU458700 JYQ458698:JYQ458700 KIM458698:KIM458700 KSI458698:KSI458700 LCE458698:LCE458700 LMA458698:LMA458700 LVW458698:LVW458700 MFS458698:MFS458700 MPO458698:MPO458700 MZK458698:MZK458700 NJG458698:NJG458700 NTC458698:NTC458700 OCY458698:OCY458700 OMU458698:OMU458700 OWQ458698:OWQ458700 PGM458698:PGM458700 PQI458698:PQI458700 QAE458698:QAE458700 QKA458698:QKA458700 QTW458698:QTW458700 RDS458698:RDS458700 RNO458698:RNO458700 RXK458698:RXK458700 SHG458698:SHG458700 SRC458698:SRC458700 TAY458698:TAY458700 TKU458698:TKU458700 TUQ458698:TUQ458700 UEM458698:UEM458700 UOI458698:UOI458700 UYE458698:UYE458700 VIA458698:VIA458700 VRW458698:VRW458700 WBS458698:WBS458700 WLO458698:WLO458700 WVK458698:WVK458700 C524234:C524236 IY524234:IY524236 SU524234:SU524236 ACQ524234:ACQ524236 AMM524234:AMM524236 AWI524234:AWI524236 BGE524234:BGE524236 BQA524234:BQA524236 BZW524234:BZW524236 CJS524234:CJS524236 CTO524234:CTO524236 DDK524234:DDK524236 DNG524234:DNG524236 DXC524234:DXC524236 EGY524234:EGY524236 EQU524234:EQU524236 FAQ524234:FAQ524236 FKM524234:FKM524236 FUI524234:FUI524236 GEE524234:GEE524236 GOA524234:GOA524236 GXW524234:GXW524236 HHS524234:HHS524236 HRO524234:HRO524236 IBK524234:IBK524236 ILG524234:ILG524236 IVC524234:IVC524236 JEY524234:JEY524236 JOU524234:JOU524236 JYQ524234:JYQ524236 KIM524234:KIM524236 KSI524234:KSI524236 LCE524234:LCE524236 LMA524234:LMA524236 LVW524234:LVW524236 MFS524234:MFS524236 MPO524234:MPO524236 MZK524234:MZK524236 NJG524234:NJG524236 NTC524234:NTC524236 OCY524234:OCY524236 OMU524234:OMU524236 OWQ524234:OWQ524236 PGM524234:PGM524236 PQI524234:PQI524236 QAE524234:QAE524236 QKA524234:QKA524236 QTW524234:QTW524236 RDS524234:RDS524236 RNO524234:RNO524236 RXK524234:RXK524236 SHG524234:SHG524236 SRC524234:SRC524236 TAY524234:TAY524236 TKU524234:TKU524236 TUQ524234:TUQ524236 UEM524234:UEM524236 UOI524234:UOI524236 UYE524234:UYE524236 VIA524234:VIA524236 VRW524234:VRW524236 WBS524234:WBS524236 WLO524234:WLO524236 WVK524234:WVK524236 C589770:C589772 IY589770:IY589772 SU589770:SU589772 ACQ589770:ACQ589772 AMM589770:AMM589772 AWI589770:AWI589772 BGE589770:BGE589772 BQA589770:BQA589772 BZW589770:BZW589772 CJS589770:CJS589772 CTO589770:CTO589772 DDK589770:DDK589772 DNG589770:DNG589772 DXC589770:DXC589772 EGY589770:EGY589772 EQU589770:EQU589772 FAQ589770:FAQ589772 FKM589770:FKM589772 FUI589770:FUI589772 GEE589770:GEE589772 GOA589770:GOA589772 GXW589770:GXW589772 HHS589770:HHS589772 HRO589770:HRO589772 IBK589770:IBK589772 ILG589770:ILG589772 IVC589770:IVC589772 JEY589770:JEY589772 JOU589770:JOU589772 JYQ589770:JYQ589772 KIM589770:KIM589772 KSI589770:KSI589772 LCE589770:LCE589772 LMA589770:LMA589772 LVW589770:LVW589772 MFS589770:MFS589772 MPO589770:MPO589772 MZK589770:MZK589772 NJG589770:NJG589772 NTC589770:NTC589772 OCY589770:OCY589772 OMU589770:OMU589772 OWQ589770:OWQ589772 PGM589770:PGM589772 PQI589770:PQI589772 QAE589770:QAE589772 QKA589770:QKA589772 QTW589770:QTW589772 RDS589770:RDS589772 RNO589770:RNO589772 RXK589770:RXK589772 SHG589770:SHG589772 SRC589770:SRC589772 TAY589770:TAY589772 TKU589770:TKU589772 TUQ589770:TUQ589772 UEM589770:UEM589772 UOI589770:UOI589772 UYE589770:UYE589772 VIA589770:VIA589772 VRW589770:VRW589772 WBS589770:WBS589772 WLO589770:WLO589772 WVK589770:WVK589772 C655306:C655308 IY655306:IY655308 SU655306:SU655308 ACQ655306:ACQ655308 AMM655306:AMM655308 AWI655306:AWI655308 BGE655306:BGE655308 BQA655306:BQA655308 BZW655306:BZW655308 CJS655306:CJS655308 CTO655306:CTO655308 DDK655306:DDK655308 DNG655306:DNG655308 DXC655306:DXC655308 EGY655306:EGY655308 EQU655306:EQU655308 FAQ655306:FAQ655308 FKM655306:FKM655308 FUI655306:FUI655308 GEE655306:GEE655308 GOA655306:GOA655308 GXW655306:GXW655308 HHS655306:HHS655308 HRO655306:HRO655308 IBK655306:IBK655308 ILG655306:ILG655308 IVC655306:IVC655308 JEY655306:JEY655308 JOU655306:JOU655308 JYQ655306:JYQ655308 KIM655306:KIM655308 KSI655306:KSI655308 LCE655306:LCE655308 LMA655306:LMA655308 LVW655306:LVW655308 MFS655306:MFS655308 MPO655306:MPO655308 MZK655306:MZK655308 NJG655306:NJG655308 NTC655306:NTC655308 OCY655306:OCY655308 OMU655306:OMU655308 OWQ655306:OWQ655308 PGM655306:PGM655308 PQI655306:PQI655308 QAE655306:QAE655308 QKA655306:QKA655308 QTW655306:QTW655308 RDS655306:RDS655308 RNO655306:RNO655308 RXK655306:RXK655308 SHG655306:SHG655308 SRC655306:SRC655308 TAY655306:TAY655308 TKU655306:TKU655308 TUQ655306:TUQ655308 UEM655306:UEM655308 UOI655306:UOI655308 UYE655306:UYE655308 VIA655306:VIA655308 VRW655306:VRW655308 WBS655306:WBS655308 WLO655306:WLO655308 WVK655306:WVK655308 C720842:C720844 IY720842:IY720844 SU720842:SU720844 ACQ720842:ACQ720844 AMM720842:AMM720844 AWI720842:AWI720844 BGE720842:BGE720844 BQA720842:BQA720844 BZW720842:BZW720844 CJS720842:CJS720844 CTO720842:CTO720844 DDK720842:DDK720844 DNG720842:DNG720844 DXC720842:DXC720844 EGY720842:EGY720844 EQU720842:EQU720844 FAQ720842:FAQ720844 FKM720842:FKM720844 FUI720842:FUI720844 GEE720842:GEE720844 GOA720842:GOA720844 GXW720842:GXW720844 HHS720842:HHS720844 HRO720842:HRO720844 IBK720842:IBK720844 ILG720842:ILG720844 IVC720842:IVC720844 JEY720842:JEY720844 JOU720842:JOU720844 JYQ720842:JYQ720844 KIM720842:KIM720844 KSI720842:KSI720844 LCE720842:LCE720844 LMA720842:LMA720844 LVW720842:LVW720844 MFS720842:MFS720844 MPO720842:MPO720844 MZK720842:MZK720844 NJG720842:NJG720844 NTC720842:NTC720844 OCY720842:OCY720844 OMU720842:OMU720844 OWQ720842:OWQ720844 PGM720842:PGM720844 PQI720842:PQI720844 QAE720842:QAE720844 QKA720842:QKA720844 QTW720842:QTW720844 RDS720842:RDS720844 RNO720842:RNO720844 RXK720842:RXK720844 SHG720842:SHG720844 SRC720842:SRC720844 TAY720842:TAY720844 TKU720842:TKU720844 TUQ720842:TUQ720844 UEM720842:UEM720844 UOI720842:UOI720844 UYE720842:UYE720844 VIA720842:VIA720844 VRW720842:VRW720844 WBS720842:WBS720844 WLO720842:WLO720844 WVK720842:WVK720844 C786378:C786380 IY786378:IY786380 SU786378:SU786380 ACQ786378:ACQ786380 AMM786378:AMM786380 AWI786378:AWI786380 BGE786378:BGE786380 BQA786378:BQA786380 BZW786378:BZW786380 CJS786378:CJS786380 CTO786378:CTO786380 DDK786378:DDK786380 DNG786378:DNG786380 DXC786378:DXC786380 EGY786378:EGY786380 EQU786378:EQU786380 FAQ786378:FAQ786380 FKM786378:FKM786380 FUI786378:FUI786380 GEE786378:GEE786380 GOA786378:GOA786380 GXW786378:GXW786380 HHS786378:HHS786380 HRO786378:HRO786380 IBK786378:IBK786380 ILG786378:ILG786380 IVC786378:IVC786380 JEY786378:JEY786380 JOU786378:JOU786380 JYQ786378:JYQ786380 KIM786378:KIM786380 KSI786378:KSI786380 LCE786378:LCE786380 LMA786378:LMA786380 LVW786378:LVW786380 MFS786378:MFS786380 MPO786378:MPO786380 MZK786378:MZK786380 NJG786378:NJG786380 NTC786378:NTC786380 OCY786378:OCY786380 OMU786378:OMU786380 OWQ786378:OWQ786380 PGM786378:PGM786380 PQI786378:PQI786380 QAE786378:QAE786380 QKA786378:QKA786380 QTW786378:QTW786380 RDS786378:RDS786380 RNO786378:RNO786380 RXK786378:RXK786380 SHG786378:SHG786380 SRC786378:SRC786380 TAY786378:TAY786380 TKU786378:TKU786380 TUQ786378:TUQ786380 UEM786378:UEM786380 UOI786378:UOI786380 UYE786378:UYE786380 VIA786378:VIA786380 VRW786378:VRW786380 WBS786378:WBS786380 WLO786378:WLO786380 WVK786378:WVK786380 C851914:C851916 IY851914:IY851916 SU851914:SU851916 ACQ851914:ACQ851916 AMM851914:AMM851916 AWI851914:AWI851916 BGE851914:BGE851916 BQA851914:BQA851916 BZW851914:BZW851916 CJS851914:CJS851916 CTO851914:CTO851916 DDK851914:DDK851916 DNG851914:DNG851916 DXC851914:DXC851916 EGY851914:EGY851916 EQU851914:EQU851916 FAQ851914:FAQ851916 FKM851914:FKM851916 FUI851914:FUI851916 GEE851914:GEE851916 GOA851914:GOA851916 GXW851914:GXW851916 HHS851914:HHS851916 HRO851914:HRO851916 IBK851914:IBK851916 ILG851914:ILG851916 IVC851914:IVC851916 JEY851914:JEY851916 JOU851914:JOU851916 JYQ851914:JYQ851916 KIM851914:KIM851916 KSI851914:KSI851916 LCE851914:LCE851916 LMA851914:LMA851916 LVW851914:LVW851916 MFS851914:MFS851916 MPO851914:MPO851916 MZK851914:MZK851916 NJG851914:NJG851916 NTC851914:NTC851916 OCY851914:OCY851916 OMU851914:OMU851916 OWQ851914:OWQ851916 PGM851914:PGM851916 PQI851914:PQI851916 QAE851914:QAE851916 QKA851914:QKA851916 QTW851914:QTW851916 RDS851914:RDS851916 RNO851914:RNO851916 RXK851914:RXK851916 SHG851914:SHG851916 SRC851914:SRC851916 TAY851914:TAY851916 TKU851914:TKU851916 TUQ851914:TUQ851916 UEM851914:UEM851916 UOI851914:UOI851916 UYE851914:UYE851916 VIA851914:VIA851916 VRW851914:VRW851916 WBS851914:WBS851916 WLO851914:WLO851916 WVK851914:WVK851916 C917450:C917452 IY917450:IY917452 SU917450:SU917452 ACQ917450:ACQ917452 AMM917450:AMM917452 AWI917450:AWI917452 BGE917450:BGE917452 BQA917450:BQA917452 BZW917450:BZW917452 CJS917450:CJS917452 CTO917450:CTO917452 DDK917450:DDK917452 DNG917450:DNG917452 DXC917450:DXC917452 EGY917450:EGY917452 EQU917450:EQU917452 FAQ917450:FAQ917452 FKM917450:FKM917452 FUI917450:FUI917452 GEE917450:GEE917452 GOA917450:GOA917452 GXW917450:GXW917452 HHS917450:HHS917452 HRO917450:HRO917452 IBK917450:IBK917452 ILG917450:ILG917452 IVC917450:IVC917452 JEY917450:JEY917452 JOU917450:JOU917452 JYQ917450:JYQ917452 KIM917450:KIM917452 KSI917450:KSI917452 LCE917450:LCE917452 LMA917450:LMA917452 LVW917450:LVW917452 MFS917450:MFS917452 MPO917450:MPO917452 MZK917450:MZK917452 NJG917450:NJG917452 NTC917450:NTC917452 OCY917450:OCY917452 OMU917450:OMU917452 OWQ917450:OWQ917452 PGM917450:PGM917452 PQI917450:PQI917452 QAE917450:QAE917452 QKA917450:QKA917452 QTW917450:QTW917452 RDS917450:RDS917452 RNO917450:RNO917452 RXK917450:RXK917452 SHG917450:SHG917452 SRC917450:SRC917452 TAY917450:TAY917452 TKU917450:TKU917452 TUQ917450:TUQ917452 UEM917450:UEM917452 UOI917450:UOI917452 UYE917450:UYE917452 VIA917450:VIA917452 VRW917450:VRW917452 WBS917450:WBS917452 WLO917450:WLO917452 WVK917450:WVK917452 C982986:C982988 IY982986:IY982988 SU982986:SU982988 ACQ982986:ACQ982988 AMM982986:AMM982988 AWI982986:AWI982988 BGE982986:BGE982988 BQA982986:BQA982988 BZW982986:BZW982988 CJS982986:CJS982988 CTO982986:CTO982988 DDK982986:DDK982988 DNG982986:DNG982988 DXC982986:DXC982988 EGY982986:EGY982988 EQU982986:EQU982988 FAQ982986:FAQ982988 FKM982986:FKM982988 FUI982986:FUI982988 GEE982986:GEE982988 GOA982986:GOA982988 GXW982986:GXW982988 HHS982986:HHS982988 HRO982986:HRO982988 IBK982986:IBK982988 ILG982986:ILG982988 IVC982986:IVC982988 JEY982986:JEY982988 JOU982986:JOU982988 JYQ982986:JYQ982988 KIM982986:KIM982988 KSI982986:KSI982988 LCE982986:LCE982988 LMA982986:LMA982988 LVW982986:LVW982988 MFS982986:MFS982988 MPO982986:MPO982988 MZK982986:MZK982988 NJG982986:NJG982988 NTC982986:NTC982988 OCY982986:OCY982988 OMU982986:OMU982988 OWQ982986:OWQ982988 PGM982986:PGM982988 PQI982986:PQI982988 QAE982986:QAE982988 QKA982986:QKA982988 QTW982986:QTW982988 RDS982986:RDS982988 RNO982986:RNO982988 RXK982986:RXK982988 SHG982986:SHG982988 SRC982986:SRC982988 TAY982986:TAY982988 TKU982986:TKU982988 TUQ982986:TUQ982988 UEM982986:UEM982988 UOI982986:UOI982988 UYE982986:UYE982988 VIA982986:VIA982988 VRW982986:VRW982988 WBS982986:WBS982988 WLO982986:WLO982988 WVK982986:WVK982988 C27:C29 IY27:IY29 SU27:SU29 ACQ27:ACQ29 AMM27:AMM29 AWI27:AWI29 BGE27:BGE29 BQA27:BQA29 BZW27:BZW29 CJS27:CJS29 CTO27:CTO29 DDK27:DDK29 DNG27:DNG29 DXC27:DXC29 EGY27:EGY29 EQU27:EQU29 FAQ27:FAQ29 FKM27:FKM29 FUI27:FUI29 GEE27:GEE29 GOA27:GOA29 GXW27:GXW29 HHS27:HHS29 HRO27:HRO29 IBK27:IBK29 ILG27:ILG29 IVC27:IVC29 JEY27:JEY29 JOU27:JOU29 JYQ27:JYQ29 KIM27:KIM29 KSI27:KSI29 LCE27:LCE29 LMA27:LMA29 LVW27:LVW29 MFS27:MFS29 MPO27:MPO29 MZK27:MZK29 NJG27:NJG29 NTC27:NTC29 OCY27:OCY29 OMU27:OMU29 OWQ27:OWQ29 PGM27:PGM29 PQI27:PQI29 QAE27:QAE29 QKA27:QKA29 QTW27:QTW29 RDS27:RDS29 RNO27:RNO29 RXK27:RXK29 SHG27:SHG29 SRC27:SRC29 TAY27:TAY29 TKU27:TKU29 TUQ27:TUQ29 UEM27:UEM29 UOI27:UOI29 UYE27:UYE29 VIA27:VIA29 VRW27:VRW29 WBS27:WBS29 WLO27:WLO29 WVK27:WVK29 C65506:C65508 IY65506:IY65508 SU65506:SU65508 ACQ65506:ACQ65508 AMM65506:AMM65508 AWI65506:AWI65508 BGE65506:BGE65508 BQA65506:BQA65508 BZW65506:BZW65508 CJS65506:CJS65508 CTO65506:CTO65508 DDK65506:DDK65508 DNG65506:DNG65508 DXC65506:DXC65508 EGY65506:EGY65508 EQU65506:EQU65508 FAQ65506:FAQ65508 FKM65506:FKM65508 FUI65506:FUI65508 GEE65506:GEE65508 GOA65506:GOA65508 GXW65506:GXW65508 HHS65506:HHS65508 HRO65506:HRO65508 IBK65506:IBK65508 ILG65506:ILG65508 IVC65506:IVC65508 JEY65506:JEY65508 JOU65506:JOU65508 JYQ65506:JYQ65508 KIM65506:KIM65508 KSI65506:KSI65508 LCE65506:LCE65508 LMA65506:LMA65508 LVW65506:LVW65508 MFS65506:MFS65508 MPO65506:MPO65508 MZK65506:MZK65508 NJG65506:NJG65508 NTC65506:NTC65508 OCY65506:OCY65508 OMU65506:OMU65508 OWQ65506:OWQ65508 PGM65506:PGM65508 PQI65506:PQI65508 QAE65506:QAE65508 QKA65506:QKA65508 QTW65506:QTW65508 RDS65506:RDS65508 RNO65506:RNO65508 RXK65506:RXK65508 SHG65506:SHG65508 SRC65506:SRC65508 TAY65506:TAY65508 TKU65506:TKU65508 TUQ65506:TUQ65508 UEM65506:UEM65508 UOI65506:UOI65508 UYE65506:UYE65508 VIA65506:VIA65508 VRW65506:VRW65508 WBS65506:WBS65508 WLO65506:WLO65508 WVK65506:WVK65508 C131042:C131044 IY131042:IY131044 SU131042:SU131044 ACQ131042:ACQ131044 AMM131042:AMM131044 AWI131042:AWI131044 BGE131042:BGE131044 BQA131042:BQA131044 BZW131042:BZW131044 CJS131042:CJS131044 CTO131042:CTO131044 DDK131042:DDK131044 DNG131042:DNG131044 DXC131042:DXC131044 EGY131042:EGY131044 EQU131042:EQU131044 FAQ131042:FAQ131044 FKM131042:FKM131044 FUI131042:FUI131044 GEE131042:GEE131044 GOA131042:GOA131044 GXW131042:GXW131044 HHS131042:HHS131044 HRO131042:HRO131044 IBK131042:IBK131044 ILG131042:ILG131044 IVC131042:IVC131044 JEY131042:JEY131044 JOU131042:JOU131044 JYQ131042:JYQ131044 KIM131042:KIM131044 KSI131042:KSI131044 LCE131042:LCE131044 LMA131042:LMA131044 LVW131042:LVW131044 MFS131042:MFS131044 MPO131042:MPO131044 MZK131042:MZK131044 NJG131042:NJG131044 NTC131042:NTC131044 OCY131042:OCY131044 OMU131042:OMU131044 OWQ131042:OWQ131044 PGM131042:PGM131044 PQI131042:PQI131044 QAE131042:QAE131044 QKA131042:QKA131044 QTW131042:QTW131044 RDS131042:RDS131044 RNO131042:RNO131044 RXK131042:RXK131044 SHG131042:SHG131044 SRC131042:SRC131044 TAY131042:TAY131044 TKU131042:TKU131044 TUQ131042:TUQ131044 UEM131042:UEM131044 UOI131042:UOI131044 UYE131042:UYE131044 VIA131042:VIA131044 VRW131042:VRW131044 WBS131042:WBS131044 WLO131042:WLO131044 WVK131042:WVK131044 C196578:C196580 IY196578:IY196580 SU196578:SU196580 ACQ196578:ACQ196580 AMM196578:AMM196580 AWI196578:AWI196580 BGE196578:BGE196580 BQA196578:BQA196580 BZW196578:BZW196580 CJS196578:CJS196580 CTO196578:CTO196580 DDK196578:DDK196580 DNG196578:DNG196580 DXC196578:DXC196580 EGY196578:EGY196580 EQU196578:EQU196580 FAQ196578:FAQ196580 FKM196578:FKM196580 FUI196578:FUI196580 GEE196578:GEE196580 GOA196578:GOA196580 GXW196578:GXW196580 HHS196578:HHS196580 HRO196578:HRO196580 IBK196578:IBK196580 ILG196578:ILG196580 IVC196578:IVC196580 JEY196578:JEY196580 JOU196578:JOU196580 JYQ196578:JYQ196580 KIM196578:KIM196580 KSI196578:KSI196580 LCE196578:LCE196580 LMA196578:LMA196580 LVW196578:LVW196580 MFS196578:MFS196580 MPO196578:MPO196580 MZK196578:MZK196580 NJG196578:NJG196580 NTC196578:NTC196580 OCY196578:OCY196580 OMU196578:OMU196580 OWQ196578:OWQ196580 PGM196578:PGM196580 PQI196578:PQI196580 QAE196578:QAE196580 QKA196578:QKA196580 QTW196578:QTW196580 RDS196578:RDS196580 RNO196578:RNO196580 RXK196578:RXK196580 SHG196578:SHG196580 SRC196578:SRC196580 TAY196578:TAY196580 TKU196578:TKU196580 TUQ196578:TUQ196580 UEM196578:UEM196580 UOI196578:UOI196580 UYE196578:UYE196580 VIA196578:VIA196580 VRW196578:VRW196580 WBS196578:WBS196580 WLO196578:WLO196580 WVK196578:WVK196580 C262114:C262116 IY262114:IY262116 SU262114:SU262116 ACQ262114:ACQ262116 AMM262114:AMM262116 AWI262114:AWI262116 BGE262114:BGE262116 BQA262114:BQA262116 BZW262114:BZW262116 CJS262114:CJS262116 CTO262114:CTO262116 DDK262114:DDK262116 DNG262114:DNG262116 DXC262114:DXC262116 EGY262114:EGY262116 EQU262114:EQU262116 FAQ262114:FAQ262116 FKM262114:FKM262116 FUI262114:FUI262116 GEE262114:GEE262116 GOA262114:GOA262116 GXW262114:GXW262116 HHS262114:HHS262116 HRO262114:HRO262116 IBK262114:IBK262116 ILG262114:ILG262116 IVC262114:IVC262116 JEY262114:JEY262116 JOU262114:JOU262116 JYQ262114:JYQ262116 KIM262114:KIM262116 KSI262114:KSI262116 LCE262114:LCE262116 LMA262114:LMA262116 LVW262114:LVW262116 MFS262114:MFS262116 MPO262114:MPO262116 MZK262114:MZK262116 NJG262114:NJG262116 NTC262114:NTC262116 OCY262114:OCY262116 OMU262114:OMU262116 OWQ262114:OWQ262116 PGM262114:PGM262116 PQI262114:PQI262116 QAE262114:QAE262116 QKA262114:QKA262116 QTW262114:QTW262116 RDS262114:RDS262116 RNO262114:RNO262116 RXK262114:RXK262116 SHG262114:SHG262116 SRC262114:SRC262116 TAY262114:TAY262116 TKU262114:TKU262116 TUQ262114:TUQ262116 UEM262114:UEM262116 UOI262114:UOI262116 UYE262114:UYE262116 VIA262114:VIA262116 VRW262114:VRW262116 WBS262114:WBS262116 WLO262114:WLO262116 WVK262114:WVK262116 C327650:C327652 IY327650:IY327652 SU327650:SU327652 ACQ327650:ACQ327652 AMM327650:AMM327652 AWI327650:AWI327652 BGE327650:BGE327652 BQA327650:BQA327652 BZW327650:BZW327652 CJS327650:CJS327652 CTO327650:CTO327652 DDK327650:DDK327652 DNG327650:DNG327652 DXC327650:DXC327652 EGY327650:EGY327652 EQU327650:EQU327652 FAQ327650:FAQ327652 FKM327650:FKM327652 FUI327650:FUI327652 GEE327650:GEE327652 GOA327650:GOA327652 GXW327650:GXW327652 HHS327650:HHS327652 HRO327650:HRO327652 IBK327650:IBK327652 ILG327650:ILG327652 IVC327650:IVC327652 JEY327650:JEY327652 JOU327650:JOU327652 JYQ327650:JYQ327652 KIM327650:KIM327652 KSI327650:KSI327652 LCE327650:LCE327652 LMA327650:LMA327652 LVW327650:LVW327652 MFS327650:MFS327652 MPO327650:MPO327652 MZK327650:MZK327652 NJG327650:NJG327652 NTC327650:NTC327652 OCY327650:OCY327652 OMU327650:OMU327652 OWQ327650:OWQ327652 PGM327650:PGM327652 PQI327650:PQI327652 QAE327650:QAE327652 QKA327650:QKA327652 QTW327650:QTW327652 RDS327650:RDS327652 RNO327650:RNO327652 RXK327650:RXK327652 SHG327650:SHG327652 SRC327650:SRC327652 TAY327650:TAY327652 TKU327650:TKU327652 TUQ327650:TUQ327652 UEM327650:UEM327652 UOI327650:UOI327652 UYE327650:UYE327652 VIA327650:VIA327652 VRW327650:VRW327652 WBS327650:WBS327652 WLO327650:WLO327652 WVK327650:WVK327652 C393186:C393188 IY393186:IY393188 SU393186:SU393188 ACQ393186:ACQ393188 AMM393186:AMM393188 AWI393186:AWI393188 BGE393186:BGE393188 BQA393186:BQA393188 BZW393186:BZW393188 CJS393186:CJS393188 CTO393186:CTO393188 DDK393186:DDK393188 DNG393186:DNG393188 DXC393186:DXC393188 EGY393186:EGY393188 EQU393186:EQU393188 FAQ393186:FAQ393188 FKM393186:FKM393188 FUI393186:FUI393188 GEE393186:GEE393188 GOA393186:GOA393188 GXW393186:GXW393188 HHS393186:HHS393188 HRO393186:HRO393188 IBK393186:IBK393188 ILG393186:ILG393188 IVC393186:IVC393188 JEY393186:JEY393188 JOU393186:JOU393188 JYQ393186:JYQ393188 KIM393186:KIM393188 KSI393186:KSI393188 LCE393186:LCE393188 LMA393186:LMA393188 LVW393186:LVW393188 MFS393186:MFS393188 MPO393186:MPO393188 MZK393186:MZK393188 NJG393186:NJG393188 NTC393186:NTC393188 OCY393186:OCY393188 OMU393186:OMU393188 OWQ393186:OWQ393188 PGM393186:PGM393188 PQI393186:PQI393188 QAE393186:QAE393188 QKA393186:QKA393188 QTW393186:QTW393188 RDS393186:RDS393188 RNO393186:RNO393188 RXK393186:RXK393188 SHG393186:SHG393188 SRC393186:SRC393188 TAY393186:TAY393188 TKU393186:TKU393188 TUQ393186:TUQ393188 UEM393186:UEM393188 UOI393186:UOI393188 UYE393186:UYE393188 VIA393186:VIA393188 VRW393186:VRW393188 WBS393186:WBS393188 WLO393186:WLO393188 WVK393186:WVK393188 C458722:C458724 IY458722:IY458724 SU458722:SU458724 ACQ458722:ACQ458724 AMM458722:AMM458724 AWI458722:AWI458724 BGE458722:BGE458724 BQA458722:BQA458724 BZW458722:BZW458724 CJS458722:CJS458724 CTO458722:CTO458724 DDK458722:DDK458724 DNG458722:DNG458724 DXC458722:DXC458724 EGY458722:EGY458724 EQU458722:EQU458724 FAQ458722:FAQ458724 FKM458722:FKM458724 FUI458722:FUI458724 GEE458722:GEE458724 GOA458722:GOA458724 GXW458722:GXW458724 HHS458722:HHS458724 HRO458722:HRO458724 IBK458722:IBK458724 ILG458722:ILG458724 IVC458722:IVC458724 JEY458722:JEY458724 JOU458722:JOU458724 JYQ458722:JYQ458724 KIM458722:KIM458724 KSI458722:KSI458724 LCE458722:LCE458724 LMA458722:LMA458724 LVW458722:LVW458724 MFS458722:MFS458724 MPO458722:MPO458724 MZK458722:MZK458724 NJG458722:NJG458724 NTC458722:NTC458724 OCY458722:OCY458724 OMU458722:OMU458724 OWQ458722:OWQ458724 PGM458722:PGM458724 PQI458722:PQI458724 QAE458722:QAE458724 QKA458722:QKA458724 QTW458722:QTW458724 RDS458722:RDS458724 RNO458722:RNO458724 RXK458722:RXK458724 SHG458722:SHG458724 SRC458722:SRC458724 TAY458722:TAY458724 TKU458722:TKU458724 TUQ458722:TUQ458724 UEM458722:UEM458724 UOI458722:UOI458724 UYE458722:UYE458724 VIA458722:VIA458724 VRW458722:VRW458724 WBS458722:WBS458724 WLO458722:WLO458724 WVK458722:WVK458724 C524258:C524260 IY524258:IY524260 SU524258:SU524260 ACQ524258:ACQ524260 AMM524258:AMM524260 AWI524258:AWI524260 BGE524258:BGE524260 BQA524258:BQA524260 BZW524258:BZW524260 CJS524258:CJS524260 CTO524258:CTO524260 DDK524258:DDK524260 DNG524258:DNG524260 DXC524258:DXC524260 EGY524258:EGY524260 EQU524258:EQU524260 FAQ524258:FAQ524260 FKM524258:FKM524260 FUI524258:FUI524260 GEE524258:GEE524260 GOA524258:GOA524260 GXW524258:GXW524260 HHS524258:HHS524260 HRO524258:HRO524260 IBK524258:IBK524260 ILG524258:ILG524260 IVC524258:IVC524260 JEY524258:JEY524260 JOU524258:JOU524260 JYQ524258:JYQ524260 KIM524258:KIM524260 KSI524258:KSI524260 LCE524258:LCE524260 LMA524258:LMA524260 LVW524258:LVW524260 MFS524258:MFS524260 MPO524258:MPO524260 MZK524258:MZK524260 NJG524258:NJG524260 NTC524258:NTC524260 OCY524258:OCY524260 OMU524258:OMU524260 OWQ524258:OWQ524260 PGM524258:PGM524260 PQI524258:PQI524260 QAE524258:QAE524260 QKA524258:QKA524260 QTW524258:QTW524260 RDS524258:RDS524260 RNO524258:RNO524260 RXK524258:RXK524260 SHG524258:SHG524260 SRC524258:SRC524260 TAY524258:TAY524260 TKU524258:TKU524260 TUQ524258:TUQ524260 UEM524258:UEM524260 UOI524258:UOI524260 UYE524258:UYE524260 VIA524258:VIA524260 VRW524258:VRW524260 WBS524258:WBS524260 WLO524258:WLO524260 WVK524258:WVK524260 C589794:C589796 IY589794:IY589796 SU589794:SU589796 ACQ589794:ACQ589796 AMM589794:AMM589796 AWI589794:AWI589796 BGE589794:BGE589796 BQA589794:BQA589796 BZW589794:BZW589796 CJS589794:CJS589796 CTO589794:CTO589796 DDK589794:DDK589796 DNG589794:DNG589796 DXC589794:DXC589796 EGY589794:EGY589796 EQU589794:EQU589796 FAQ589794:FAQ589796 FKM589794:FKM589796 FUI589794:FUI589796 GEE589794:GEE589796 GOA589794:GOA589796 GXW589794:GXW589796 HHS589794:HHS589796 HRO589794:HRO589796 IBK589794:IBK589796 ILG589794:ILG589796 IVC589794:IVC589796 JEY589794:JEY589796 JOU589794:JOU589796 JYQ589794:JYQ589796 KIM589794:KIM589796 KSI589794:KSI589796 LCE589794:LCE589796 LMA589794:LMA589796 LVW589794:LVW589796 MFS589794:MFS589796 MPO589794:MPO589796 MZK589794:MZK589796 NJG589794:NJG589796 NTC589794:NTC589796 OCY589794:OCY589796 OMU589794:OMU589796 OWQ589794:OWQ589796 PGM589794:PGM589796 PQI589794:PQI589796 QAE589794:QAE589796 QKA589794:QKA589796 QTW589794:QTW589796 RDS589794:RDS589796 RNO589794:RNO589796 RXK589794:RXK589796 SHG589794:SHG589796 SRC589794:SRC589796 TAY589794:TAY589796 TKU589794:TKU589796 TUQ589794:TUQ589796 UEM589794:UEM589796 UOI589794:UOI589796 UYE589794:UYE589796 VIA589794:VIA589796 VRW589794:VRW589796 WBS589794:WBS589796 WLO589794:WLO589796 WVK589794:WVK589796 C655330:C655332 IY655330:IY655332 SU655330:SU655332 ACQ655330:ACQ655332 AMM655330:AMM655332 AWI655330:AWI655332 BGE655330:BGE655332 BQA655330:BQA655332 BZW655330:BZW655332 CJS655330:CJS655332 CTO655330:CTO655332 DDK655330:DDK655332 DNG655330:DNG655332 DXC655330:DXC655332 EGY655330:EGY655332 EQU655330:EQU655332 FAQ655330:FAQ655332 FKM655330:FKM655332 FUI655330:FUI655332 GEE655330:GEE655332 GOA655330:GOA655332 GXW655330:GXW655332 HHS655330:HHS655332 HRO655330:HRO655332 IBK655330:IBK655332 ILG655330:ILG655332 IVC655330:IVC655332 JEY655330:JEY655332 JOU655330:JOU655332 JYQ655330:JYQ655332 KIM655330:KIM655332 KSI655330:KSI655332 LCE655330:LCE655332 LMA655330:LMA655332 LVW655330:LVW655332 MFS655330:MFS655332 MPO655330:MPO655332 MZK655330:MZK655332 NJG655330:NJG655332 NTC655330:NTC655332 OCY655330:OCY655332 OMU655330:OMU655332 OWQ655330:OWQ655332 PGM655330:PGM655332 PQI655330:PQI655332 QAE655330:QAE655332 QKA655330:QKA655332 QTW655330:QTW655332 RDS655330:RDS655332 RNO655330:RNO655332 RXK655330:RXK655332 SHG655330:SHG655332 SRC655330:SRC655332 TAY655330:TAY655332 TKU655330:TKU655332 TUQ655330:TUQ655332 UEM655330:UEM655332 UOI655330:UOI655332 UYE655330:UYE655332 VIA655330:VIA655332 VRW655330:VRW655332 WBS655330:WBS655332 WLO655330:WLO655332 WVK655330:WVK655332 C720866:C720868 IY720866:IY720868 SU720866:SU720868 ACQ720866:ACQ720868 AMM720866:AMM720868 AWI720866:AWI720868 BGE720866:BGE720868 BQA720866:BQA720868 BZW720866:BZW720868 CJS720866:CJS720868 CTO720866:CTO720868 DDK720866:DDK720868 DNG720866:DNG720868 DXC720866:DXC720868 EGY720866:EGY720868 EQU720866:EQU720868 FAQ720866:FAQ720868 FKM720866:FKM720868 FUI720866:FUI720868 GEE720866:GEE720868 GOA720866:GOA720868 GXW720866:GXW720868 HHS720866:HHS720868 HRO720866:HRO720868 IBK720866:IBK720868 ILG720866:ILG720868 IVC720866:IVC720868 JEY720866:JEY720868 JOU720866:JOU720868 JYQ720866:JYQ720868 KIM720866:KIM720868 KSI720866:KSI720868 LCE720866:LCE720868 LMA720866:LMA720868 LVW720866:LVW720868 MFS720866:MFS720868 MPO720866:MPO720868 MZK720866:MZK720868 NJG720866:NJG720868 NTC720866:NTC720868 OCY720866:OCY720868 OMU720866:OMU720868 OWQ720866:OWQ720868 PGM720866:PGM720868 PQI720866:PQI720868 QAE720866:QAE720868 QKA720866:QKA720868 QTW720866:QTW720868 RDS720866:RDS720868 RNO720866:RNO720868 RXK720866:RXK720868 SHG720866:SHG720868 SRC720866:SRC720868 TAY720866:TAY720868 TKU720866:TKU720868 TUQ720866:TUQ720868 UEM720866:UEM720868 UOI720866:UOI720868 UYE720866:UYE720868 VIA720866:VIA720868 VRW720866:VRW720868 WBS720866:WBS720868 WLO720866:WLO720868 WVK720866:WVK720868 C786402:C786404 IY786402:IY786404 SU786402:SU786404 ACQ786402:ACQ786404 AMM786402:AMM786404 AWI786402:AWI786404 BGE786402:BGE786404 BQA786402:BQA786404 BZW786402:BZW786404 CJS786402:CJS786404 CTO786402:CTO786404 DDK786402:DDK786404 DNG786402:DNG786404 DXC786402:DXC786404 EGY786402:EGY786404 EQU786402:EQU786404 FAQ786402:FAQ786404 FKM786402:FKM786404 FUI786402:FUI786404 GEE786402:GEE786404 GOA786402:GOA786404 GXW786402:GXW786404 HHS786402:HHS786404 HRO786402:HRO786404 IBK786402:IBK786404 ILG786402:ILG786404 IVC786402:IVC786404 JEY786402:JEY786404 JOU786402:JOU786404 JYQ786402:JYQ786404 KIM786402:KIM786404 KSI786402:KSI786404 LCE786402:LCE786404 LMA786402:LMA786404 LVW786402:LVW786404 MFS786402:MFS786404 MPO786402:MPO786404 MZK786402:MZK786404 NJG786402:NJG786404 NTC786402:NTC786404 OCY786402:OCY786404 OMU786402:OMU786404 OWQ786402:OWQ786404 PGM786402:PGM786404 PQI786402:PQI786404 QAE786402:QAE786404 QKA786402:QKA786404 QTW786402:QTW786404 RDS786402:RDS786404 RNO786402:RNO786404 RXK786402:RXK786404 SHG786402:SHG786404 SRC786402:SRC786404 TAY786402:TAY786404 TKU786402:TKU786404 TUQ786402:TUQ786404 UEM786402:UEM786404 UOI786402:UOI786404 UYE786402:UYE786404 VIA786402:VIA786404 VRW786402:VRW786404 WBS786402:WBS786404 WLO786402:WLO786404 WVK786402:WVK786404 C851938:C851940 IY851938:IY851940 SU851938:SU851940 ACQ851938:ACQ851940 AMM851938:AMM851940 AWI851938:AWI851940 BGE851938:BGE851940 BQA851938:BQA851940 BZW851938:BZW851940 CJS851938:CJS851940 CTO851938:CTO851940 DDK851938:DDK851940 DNG851938:DNG851940 DXC851938:DXC851940 EGY851938:EGY851940 EQU851938:EQU851940 FAQ851938:FAQ851940 FKM851938:FKM851940 FUI851938:FUI851940 GEE851938:GEE851940 GOA851938:GOA851940 GXW851938:GXW851940 HHS851938:HHS851940 HRO851938:HRO851940 IBK851938:IBK851940 ILG851938:ILG851940 IVC851938:IVC851940 JEY851938:JEY851940 JOU851938:JOU851940 JYQ851938:JYQ851940 KIM851938:KIM851940 KSI851938:KSI851940 LCE851938:LCE851940 LMA851938:LMA851940 LVW851938:LVW851940 MFS851938:MFS851940 MPO851938:MPO851940 MZK851938:MZK851940 NJG851938:NJG851940 NTC851938:NTC851940 OCY851938:OCY851940 OMU851938:OMU851940 OWQ851938:OWQ851940 PGM851938:PGM851940 PQI851938:PQI851940 QAE851938:QAE851940 QKA851938:QKA851940 QTW851938:QTW851940 RDS851938:RDS851940 RNO851938:RNO851940 RXK851938:RXK851940 SHG851938:SHG851940 SRC851938:SRC851940 TAY851938:TAY851940 TKU851938:TKU851940 TUQ851938:TUQ851940 UEM851938:UEM851940 UOI851938:UOI851940 UYE851938:UYE851940 VIA851938:VIA851940 VRW851938:VRW851940 WBS851938:WBS851940 WLO851938:WLO851940 WVK851938:WVK851940 C917474:C917476 IY917474:IY917476 SU917474:SU917476 ACQ917474:ACQ917476 AMM917474:AMM917476 AWI917474:AWI917476 BGE917474:BGE917476 BQA917474:BQA917476 BZW917474:BZW917476 CJS917474:CJS917476 CTO917474:CTO917476 DDK917474:DDK917476 DNG917474:DNG917476 DXC917474:DXC917476 EGY917474:EGY917476 EQU917474:EQU917476 FAQ917474:FAQ917476 FKM917474:FKM917476 FUI917474:FUI917476 GEE917474:GEE917476 GOA917474:GOA917476 GXW917474:GXW917476 HHS917474:HHS917476 HRO917474:HRO917476 IBK917474:IBK917476 ILG917474:ILG917476 IVC917474:IVC917476 JEY917474:JEY917476 JOU917474:JOU917476 JYQ917474:JYQ917476 KIM917474:KIM917476 KSI917474:KSI917476 LCE917474:LCE917476 LMA917474:LMA917476 LVW917474:LVW917476 MFS917474:MFS917476 MPO917474:MPO917476 MZK917474:MZK917476 NJG917474:NJG917476 NTC917474:NTC917476 OCY917474:OCY917476 OMU917474:OMU917476 OWQ917474:OWQ917476 PGM917474:PGM917476 PQI917474:PQI917476 QAE917474:QAE917476 QKA917474:QKA917476 QTW917474:QTW917476 RDS917474:RDS917476 RNO917474:RNO917476 RXK917474:RXK917476 SHG917474:SHG917476 SRC917474:SRC917476 TAY917474:TAY917476 TKU917474:TKU917476 TUQ917474:TUQ917476 UEM917474:UEM917476 UOI917474:UOI917476 UYE917474:UYE917476 VIA917474:VIA917476 VRW917474:VRW917476 WBS917474:WBS917476 WLO917474:WLO917476 WVK917474:WVK917476 C983010:C983012 IY983010:IY983012 SU983010:SU983012 ACQ983010:ACQ983012 AMM983010:AMM983012 AWI983010:AWI983012 BGE983010:BGE983012 BQA983010:BQA983012 BZW983010:BZW983012 CJS983010:CJS983012 CTO983010:CTO983012 DDK983010:DDK983012 DNG983010:DNG983012 DXC983010:DXC983012 EGY983010:EGY983012 EQU983010:EQU983012 FAQ983010:FAQ983012 FKM983010:FKM983012 FUI983010:FUI983012 GEE983010:GEE983012 GOA983010:GOA983012 GXW983010:GXW983012 HHS983010:HHS983012 HRO983010:HRO983012 IBK983010:IBK983012 ILG983010:ILG983012 IVC983010:IVC983012 JEY983010:JEY983012 JOU983010:JOU983012 JYQ983010:JYQ983012 KIM983010:KIM983012 KSI983010:KSI983012 LCE983010:LCE983012 LMA983010:LMA983012 LVW983010:LVW983012 MFS983010:MFS983012 MPO983010:MPO983012 MZK983010:MZK983012 NJG983010:NJG983012 NTC983010:NTC983012 OCY983010:OCY983012 OMU983010:OMU983012 OWQ983010:OWQ983012 PGM983010:PGM983012 PQI983010:PQI983012 QAE983010:QAE983012 QKA983010:QKA983012 QTW983010:QTW983012 RDS983010:RDS983012 RNO983010:RNO983012 RXK983010:RXK983012 SHG983010:SHG983012 SRC983010:SRC983012 TAY983010:TAY983012 TKU983010:TKU983012 TUQ983010:TUQ983012 UEM983010:UEM983012 UOI983010:UOI983012 UYE983010:UYE983012 VIA983010:VIA983012 VRW983010:VRW983012 WBS983010:WBS983012 WLO983010:WLO983012 WVK983010:WVK983012 B5 IX5 ST5 ACP5 AML5 AWH5 BGD5 BPZ5 BZV5 CJR5 CTN5 DDJ5 DNF5 DXB5 EGX5 EQT5 FAP5 FKL5 FUH5 GED5 GNZ5 GXV5 HHR5 HRN5 IBJ5 ILF5 IVB5 JEX5 JOT5 JYP5 KIL5 KSH5 LCD5 LLZ5 LVV5 MFR5 MPN5 MZJ5 NJF5 NTB5 OCX5 OMT5 OWP5 PGL5 PQH5 QAD5 QJZ5 QTV5 RDR5 RNN5 RXJ5 SHF5 SRB5 TAX5 TKT5 TUP5 UEL5 UOH5 UYD5 VHZ5 VRV5 WBR5 WLN5 WVJ5 B65484 IX65484 ST65484 ACP65484 AML65484 AWH65484 BGD65484 BPZ65484 BZV65484 CJR65484 CTN65484 DDJ65484 DNF65484 DXB65484 EGX65484 EQT65484 FAP65484 FKL65484 FUH65484 GED65484 GNZ65484 GXV65484 HHR65484 HRN65484 IBJ65484 ILF65484 IVB65484 JEX65484 JOT65484 JYP65484 KIL65484 KSH65484 LCD65484 LLZ65484 LVV65484 MFR65484 MPN65484 MZJ65484 NJF65484 NTB65484 OCX65484 OMT65484 OWP65484 PGL65484 PQH65484 QAD65484 QJZ65484 QTV65484 RDR65484 RNN65484 RXJ65484 SHF65484 SRB65484 TAX65484 TKT65484 TUP65484 UEL65484 UOH65484 UYD65484 VHZ65484 VRV65484 WBR65484 WLN65484 WVJ65484 B131020 IX131020 ST131020 ACP131020 AML131020 AWH131020 BGD131020 BPZ131020 BZV131020 CJR131020 CTN131020 DDJ131020 DNF131020 DXB131020 EGX131020 EQT131020 FAP131020 FKL131020 FUH131020 GED131020 GNZ131020 GXV131020 HHR131020 HRN131020 IBJ131020 ILF131020 IVB131020 JEX131020 JOT131020 JYP131020 KIL131020 KSH131020 LCD131020 LLZ131020 LVV131020 MFR131020 MPN131020 MZJ131020 NJF131020 NTB131020 OCX131020 OMT131020 OWP131020 PGL131020 PQH131020 QAD131020 QJZ131020 QTV131020 RDR131020 RNN131020 RXJ131020 SHF131020 SRB131020 TAX131020 TKT131020 TUP131020 UEL131020 UOH131020 UYD131020 VHZ131020 VRV131020 WBR131020 WLN131020 WVJ131020 B196556 IX196556 ST196556 ACP196556 AML196556 AWH196556 BGD196556 BPZ196556 BZV196556 CJR196556 CTN196556 DDJ196556 DNF196556 DXB196556 EGX196556 EQT196556 FAP196556 FKL196556 FUH196556 GED196556 GNZ196556 GXV196556 HHR196556 HRN196556 IBJ196556 ILF196556 IVB196556 JEX196556 JOT196556 JYP196556 KIL196556 KSH196556 LCD196556 LLZ196556 LVV196556 MFR196556 MPN196556 MZJ196556 NJF196556 NTB196556 OCX196556 OMT196556 OWP196556 PGL196556 PQH196556 QAD196556 QJZ196556 QTV196556 RDR196556 RNN196556 RXJ196556 SHF196556 SRB196556 TAX196556 TKT196556 TUP196556 UEL196556 UOH196556 UYD196556 VHZ196556 VRV196556 WBR196556 WLN196556 WVJ196556 B262092 IX262092 ST262092 ACP262092 AML262092 AWH262092 BGD262092 BPZ262092 BZV262092 CJR262092 CTN262092 DDJ262092 DNF262092 DXB262092 EGX262092 EQT262092 FAP262092 FKL262092 FUH262092 GED262092 GNZ262092 GXV262092 HHR262092 HRN262092 IBJ262092 ILF262092 IVB262092 JEX262092 JOT262092 JYP262092 KIL262092 KSH262092 LCD262092 LLZ262092 LVV262092 MFR262092 MPN262092 MZJ262092 NJF262092 NTB262092 OCX262092 OMT262092 OWP262092 PGL262092 PQH262092 QAD262092 QJZ262092 QTV262092 RDR262092 RNN262092 RXJ262092 SHF262092 SRB262092 TAX262092 TKT262092 TUP262092 UEL262092 UOH262092 UYD262092 VHZ262092 VRV262092 WBR262092 WLN262092 WVJ262092 B327628 IX327628 ST327628 ACP327628 AML327628 AWH327628 BGD327628 BPZ327628 BZV327628 CJR327628 CTN327628 DDJ327628 DNF327628 DXB327628 EGX327628 EQT327628 FAP327628 FKL327628 FUH327628 GED327628 GNZ327628 GXV327628 HHR327628 HRN327628 IBJ327628 ILF327628 IVB327628 JEX327628 JOT327628 JYP327628 KIL327628 KSH327628 LCD327628 LLZ327628 LVV327628 MFR327628 MPN327628 MZJ327628 NJF327628 NTB327628 OCX327628 OMT327628 OWP327628 PGL327628 PQH327628 QAD327628 QJZ327628 QTV327628 RDR327628 RNN327628 RXJ327628 SHF327628 SRB327628 TAX327628 TKT327628 TUP327628 UEL327628 UOH327628 UYD327628 VHZ327628 VRV327628 WBR327628 WLN327628 WVJ327628 B393164 IX393164 ST393164 ACP393164 AML393164 AWH393164 BGD393164 BPZ393164 BZV393164 CJR393164 CTN393164 DDJ393164 DNF393164 DXB393164 EGX393164 EQT393164 FAP393164 FKL393164 FUH393164 GED393164 GNZ393164 GXV393164 HHR393164 HRN393164 IBJ393164 ILF393164 IVB393164 JEX393164 JOT393164 JYP393164 KIL393164 KSH393164 LCD393164 LLZ393164 LVV393164 MFR393164 MPN393164 MZJ393164 NJF393164 NTB393164 OCX393164 OMT393164 OWP393164 PGL393164 PQH393164 QAD393164 QJZ393164 QTV393164 RDR393164 RNN393164 RXJ393164 SHF393164 SRB393164 TAX393164 TKT393164 TUP393164 UEL393164 UOH393164 UYD393164 VHZ393164 VRV393164 WBR393164 WLN393164 WVJ393164 B458700 IX458700 ST458700 ACP458700 AML458700 AWH458700 BGD458700 BPZ458700 BZV458700 CJR458700 CTN458700 DDJ458700 DNF458700 DXB458700 EGX458700 EQT458700 FAP458700 FKL458700 FUH458700 GED458700 GNZ458700 GXV458700 HHR458700 HRN458700 IBJ458700 ILF458700 IVB458700 JEX458700 JOT458700 JYP458700 KIL458700 KSH458700 LCD458700 LLZ458700 LVV458700 MFR458700 MPN458700 MZJ458700 NJF458700 NTB458700 OCX458700 OMT458700 OWP458700 PGL458700 PQH458700 QAD458700 QJZ458700 QTV458700 RDR458700 RNN458700 RXJ458700 SHF458700 SRB458700 TAX458700 TKT458700 TUP458700 UEL458700 UOH458700 UYD458700 VHZ458700 VRV458700 WBR458700 WLN458700 WVJ458700 B524236 IX524236 ST524236 ACP524236 AML524236 AWH524236 BGD524236 BPZ524236 BZV524236 CJR524236 CTN524236 DDJ524236 DNF524236 DXB524236 EGX524236 EQT524236 FAP524236 FKL524236 FUH524236 GED524236 GNZ524236 GXV524236 HHR524236 HRN524236 IBJ524236 ILF524236 IVB524236 JEX524236 JOT524236 JYP524236 KIL524236 KSH524236 LCD524236 LLZ524236 LVV524236 MFR524236 MPN524236 MZJ524236 NJF524236 NTB524236 OCX524236 OMT524236 OWP524236 PGL524236 PQH524236 QAD524236 QJZ524236 QTV524236 RDR524236 RNN524236 RXJ524236 SHF524236 SRB524236 TAX524236 TKT524236 TUP524236 UEL524236 UOH524236 UYD524236 VHZ524236 VRV524236 WBR524236 WLN524236 WVJ524236 B589772 IX589772 ST589772 ACP589772 AML589772 AWH589772 BGD589772 BPZ589772 BZV589772 CJR589772 CTN589772 DDJ589772 DNF589772 DXB589772 EGX589772 EQT589772 FAP589772 FKL589772 FUH589772 GED589772 GNZ589772 GXV589772 HHR589772 HRN589772 IBJ589772 ILF589772 IVB589772 JEX589772 JOT589772 JYP589772 KIL589772 KSH589772 LCD589772 LLZ589772 LVV589772 MFR589772 MPN589772 MZJ589772 NJF589772 NTB589772 OCX589772 OMT589772 OWP589772 PGL589772 PQH589772 QAD589772 QJZ589772 QTV589772 RDR589772 RNN589772 RXJ589772 SHF589772 SRB589772 TAX589772 TKT589772 TUP589772 UEL589772 UOH589772 UYD589772 VHZ589772 VRV589772 WBR589772 WLN589772 WVJ589772 B655308 IX655308 ST655308 ACP655308 AML655308 AWH655308 BGD655308 BPZ655308 BZV655308 CJR655308 CTN655308 DDJ655308 DNF655308 DXB655308 EGX655308 EQT655308 FAP655308 FKL655308 FUH655308 GED655308 GNZ655308 GXV655308 HHR655308 HRN655308 IBJ655308 ILF655308 IVB655308 JEX655308 JOT655308 JYP655308 KIL655308 KSH655308 LCD655308 LLZ655308 LVV655308 MFR655308 MPN655308 MZJ655308 NJF655308 NTB655308 OCX655308 OMT655308 OWP655308 PGL655308 PQH655308 QAD655308 QJZ655308 QTV655308 RDR655308 RNN655308 RXJ655308 SHF655308 SRB655308 TAX655308 TKT655308 TUP655308 UEL655308 UOH655308 UYD655308 VHZ655308 VRV655308 WBR655308 WLN655308 WVJ655308 B720844 IX720844 ST720844 ACP720844 AML720844 AWH720844 BGD720844 BPZ720844 BZV720844 CJR720844 CTN720844 DDJ720844 DNF720844 DXB720844 EGX720844 EQT720844 FAP720844 FKL720844 FUH720844 GED720844 GNZ720844 GXV720844 HHR720844 HRN720844 IBJ720844 ILF720844 IVB720844 JEX720844 JOT720844 JYP720844 KIL720844 KSH720844 LCD720844 LLZ720844 LVV720844 MFR720844 MPN720844 MZJ720844 NJF720844 NTB720844 OCX720844 OMT720844 OWP720844 PGL720844 PQH720844 QAD720844 QJZ720844 QTV720844 RDR720844 RNN720844 RXJ720844 SHF720844 SRB720844 TAX720844 TKT720844 TUP720844 UEL720844 UOH720844 UYD720844 VHZ720844 VRV720844 WBR720844 WLN720844 WVJ720844 B786380 IX786380 ST786380 ACP786380 AML786380 AWH786380 BGD786380 BPZ786380 BZV786380 CJR786380 CTN786380 DDJ786380 DNF786380 DXB786380 EGX786380 EQT786380 FAP786380 FKL786380 FUH786380 GED786380 GNZ786380 GXV786380 HHR786380 HRN786380 IBJ786380 ILF786380 IVB786380 JEX786380 JOT786380 JYP786380 KIL786380 KSH786380 LCD786380 LLZ786380 LVV786380 MFR786380 MPN786380 MZJ786380 NJF786380 NTB786380 OCX786380 OMT786380 OWP786380 PGL786380 PQH786380 QAD786380 QJZ786380 QTV786380 RDR786380 RNN786380 RXJ786380 SHF786380 SRB786380 TAX786380 TKT786380 TUP786380 UEL786380 UOH786380 UYD786380 VHZ786380 VRV786380 WBR786380 WLN786380 WVJ786380 B851916 IX851916 ST851916 ACP851916 AML851916 AWH851916 BGD851916 BPZ851916 BZV851916 CJR851916 CTN851916 DDJ851916 DNF851916 DXB851916 EGX851916 EQT851916 FAP851916 FKL851916 FUH851916 GED851916 GNZ851916 GXV851916 HHR851916 HRN851916 IBJ851916 ILF851916 IVB851916 JEX851916 JOT851916 JYP851916 KIL851916 KSH851916 LCD851916 LLZ851916 LVV851916 MFR851916 MPN851916 MZJ851916 NJF851916 NTB851916 OCX851916 OMT851916 OWP851916 PGL851916 PQH851916 QAD851916 QJZ851916 QTV851916 RDR851916 RNN851916 RXJ851916 SHF851916 SRB851916 TAX851916 TKT851916 TUP851916 UEL851916 UOH851916 UYD851916 VHZ851916 VRV851916 WBR851916 WLN851916 WVJ851916 B917452 IX917452 ST917452 ACP917452 AML917452 AWH917452 BGD917452 BPZ917452 BZV917452 CJR917452 CTN917452 DDJ917452 DNF917452 DXB917452 EGX917452 EQT917452 FAP917452 FKL917452 FUH917452 GED917452 GNZ917452 GXV917452 HHR917452 HRN917452 IBJ917452 ILF917452 IVB917452 JEX917452 JOT917452 JYP917452 KIL917452 KSH917452 LCD917452 LLZ917452 LVV917452 MFR917452 MPN917452 MZJ917452 NJF917452 NTB917452 OCX917452 OMT917452 OWP917452 PGL917452 PQH917452 QAD917452 QJZ917452 QTV917452 RDR917452 RNN917452 RXJ917452 SHF917452 SRB917452 TAX917452 TKT917452 TUP917452 UEL917452 UOH917452 UYD917452 VHZ917452 VRV917452 WBR917452 WLN917452 WVJ917452 B982988 IX982988 ST982988 ACP982988 AML982988 AWH982988 BGD982988 BPZ982988 BZV982988 CJR982988 CTN982988 DDJ982988 DNF982988 DXB982988 EGX982988 EQT982988 FAP982988 FKL982988 FUH982988 GED982988 GNZ982988 GXV982988 HHR982988 HRN982988 IBJ982988 ILF982988 IVB982988 JEX982988 JOT982988 JYP982988 KIL982988 KSH982988 LCD982988 LLZ982988 LVV982988 MFR982988 MPN982988 MZJ982988 NJF982988 NTB982988 OCX982988 OMT982988 OWP982988 PGL982988 PQH982988 QAD982988 QJZ982988 QTV982988 RDR982988 RNN982988 RXJ982988 SHF982988 SRB982988 TAX982988 TKT982988 TUP982988 UEL982988 UOH982988 UYD982988 VHZ982988 VRV982988 WBR982988 WLN982988 WVJ982988 B29 IX29 ST29 ACP29 AML29 AWH29 BGD29 BPZ29 BZV29 CJR29 CTN29 DDJ29 DNF29 DXB29 EGX29 EQT29 FAP29 FKL29 FUH29 GED29 GNZ29 GXV29 HHR29 HRN29 IBJ29 ILF29 IVB29 JEX29 JOT29 JYP29 KIL29 KSH29 LCD29 LLZ29 LVV29 MFR29 MPN29 MZJ29 NJF29 NTB29 OCX29 OMT29 OWP29 PGL29 PQH29 QAD29 QJZ29 QTV29 RDR29 RNN29 RXJ29 SHF29 SRB29 TAX29 TKT29 TUP29 UEL29 UOH29 UYD29 VHZ29 VRV29 WBR29 WLN29 WVJ29 B65508 IX65508 ST65508 ACP65508 AML65508 AWH65508 BGD65508 BPZ65508 BZV65508 CJR65508 CTN65508 DDJ65508 DNF65508 DXB65508 EGX65508 EQT65508 FAP65508 FKL65508 FUH65508 GED65508 GNZ65508 GXV65508 HHR65508 HRN65508 IBJ65508 ILF65508 IVB65508 JEX65508 JOT65508 JYP65508 KIL65508 KSH65508 LCD65508 LLZ65508 LVV65508 MFR65508 MPN65508 MZJ65508 NJF65508 NTB65508 OCX65508 OMT65508 OWP65508 PGL65508 PQH65508 QAD65508 QJZ65508 QTV65508 RDR65508 RNN65508 RXJ65508 SHF65508 SRB65508 TAX65508 TKT65508 TUP65508 UEL65508 UOH65508 UYD65508 VHZ65508 VRV65508 WBR65508 WLN65508 WVJ65508 B131044 IX131044 ST131044 ACP131044 AML131044 AWH131044 BGD131044 BPZ131044 BZV131044 CJR131044 CTN131044 DDJ131044 DNF131044 DXB131044 EGX131044 EQT131044 FAP131044 FKL131044 FUH131044 GED131044 GNZ131044 GXV131044 HHR131044 HRN131044 IBJ131044 ILF131044 IVB131044 JEX131044 JOT131044 JYP131044 KIL131044 KSH131044 LCD131044 LLZ131044 LVV131044 MFR131044 MPN131044 MZJ131044 NJF131044 NTB131044 OCX131044 OMT131044 OWP131044 PGL131044 PQH131044 QAD131044 QJZ131044 QTV131044 RDR131044 RNN131044 RXJ131044 SHF131044 SRB131044 TAX131044 TKT131044 TUP131044 UEL131044 UOH131044 UYD131044 VHZ131044 VRV131044 WBR131044 WLN131044 WVJ131044 B196580 IX196580 ST196580 ACP196580 AML196580 AWH196580 BGD196580 BPZ196580 BZV196580 CJR196580 CTN196580 DDJ196580 DNF196580 DXB196580 EGX196580 EQT196580 FAP196580 FKL196580 FUH196580 GED196580 GNZ196580 GXV196580 HHR196580 HRN196580 IBJ196580 ILF196580 IVB196580 JEX196580 JOT196580 JYP196580 KIL196580 KSH196580 LCD196580 LLZ196580 LVV196580 MFR196580 MPN196580 MZJ196580 NJF196580 NTB196580 OCX196580 OMT196580 OWP196580 PGL196580 PQH196580 QAD196580 QJZ196580 QTV196580 RDR196580 RNN196580 RXJ196580 SHF196580 SRB196580 TAX196580 TKT196580 TUP196580 UEL196580 UOH196580 UYD196580 VHZ196580 VRV196580 WBR196580 WLN196580 WVJ196580 B262116 IX262116 ST262116 ACP262116 AML262116 AWH262116 BGD262116 BPZ262116 BZV262116 CJR262116 CTN262116 DDJ262116 DNF262116 DXB262116 EGX262116 EQT262116 FAP262116 FKL262116 FUH262116 GED262116 GNZ262116 GXV262116 HHR262116 HRN262116 IBJ262116 ILF262116 IVB262116 JEX262116 JOT262116 JYP262116 KIL262116 KSH262116 LCD262116 LLZ262116 LVV262116 MFR262116 MPN262116 MZJ262116 NJF262116 NTB262116 OCX262116 OMT262116 OWP262116 PGL262116 PQH262116 QAD262116 QJZ262116 QTV262116 RDR262116 RNN262116 RXJ262116 SHF262116 SRB262116 TAX262116 TKT262116 TUP262116 UEL262116 UOH262116 UYD262116 VHZ262116 VRV262116 WBR262116 WLN262116 WVJ262116 B327652 IX327652 ST327652 ACP327652 AML327652 AWH327652 BGD327652 BPZ327652 BZV327652 CJR327652 CTN327652 DDJ327652 DNF327652 DXB327652 EGX327652 EQT327652 FAP327652 FKL327652 FUH327652 GED327652 GNZ327652 GXV327652 HHR327652 HRN327652 IBJ327652 ILF327652 IVB327652 JEX327652 JOT327652 JYP327652 KIL327652 KSH327652 LCD327652 LLZ327652 LVV327652 MFR327652 MPN327652 MZJ327652 NJF327652 NTB327652 OCX327652 OMT327652 OWP327652 PGL327652 PQH327652 QAD327652 QJZ327652 QTV327652 RDR327652 RNN327652 RXJ327652 SHF327652 SRB327652 TAX327652 TKT327652 TUP327652 UEL327652 UOH327652 UYD327652 VHZ327652 VRV327652 WBR327652 WLN327652 WVJ327652 B393188 IX393188 ST393188 ACP393188 AML393188 AWH393188 BGD393188 BPZ393188 BZV393188 CJR393188 CTN393188 DDJ393188 DNF393188 DXB393188 EGX393188 EQT393188 FAP393188 FKL393188 FUH393188 GED393188 GNZ393188 GXV393188 HHR393188 HRN393188 IBJ393188 ILF393188 IVB393188 JEX393188 JOT393188 JYP393188 KIL393188 KSH393188 LCD393188 LLZ393188 LVV393188 MFR393188 MPN393188 MZJ393188 NJF393188 NTB393188 OCX393188 OMT393188 OWP393188 PGL393188 PQH393188 QAD393188 QJZ393188 QTV393188 RDR393188 RNN393188 RXJ393188 SHF393188 SRB393188 TAX393188 TKT393188 TUP393188 UEL393188 UOH393188 UYD393188 VHZ393188 VRV393188 WBR393188 WLN393188 WVJ393188 B458724 IX458724 ST458724 ACP458724 AML458724 AWH458724 BGD458724 BPZ458724 BZV458724 CJR458724 CTN458724 DDJ458724 DNF458724 DXB458724 EGX458724 EQT458724 FAP458724 FKL458724 FUH458724 GED458724 GNZ458724 GXV458724 HHR458724 HRN458724 IBJ458724 ILF458724 IVB458724 JEX458724 JOT458724 JYP458724 KIL458724 KSH458724 LCD458724 LLZ458724 LVV458724 MFR458724 MPN458724 MZJ458724 NJF458724 NTB458724 OCX458724 OMT458724 OWP458724 PGL458724 PQH458724 QAD458724 QJZ458724 QTV458724 RDR458724 RNN458724 RXJ458724 SHF458724 SRB458724 TAX458724 TKT458724 TUP458724 UEL458724 UOH458724 UYD458724 VHZ458724 VRV458724 WBR458724 WLN458724 WVJ458724 B524260 IX524260 ST524260 ACP524260 AML524260 AWH524260 BGD524260 BPZ524260 BZV524260 CJR524260 CTN524260 DDJ524260 DNF524260 DXB524260 EGX524260 EQT524260 FAP524260 FKL524260 FUH524260 GED524260 GNZ524260 GXV524260 HHR524260 HRN524260 IBJ524260 ILF524260 IVB524260 JEX524260 JOT524260 JYP524260 KIL524260 KSH524260 LCD524260 LLZ524260 LVV524260 MFR524260 MPN524260 MZJ524260 NJF524260 NTB524260 OCX524260 OMT524260 OWP524260 PGL524260 PQH524260 QAD524260 QJZ524260 QTV524260 RDR524260 RNN524260 RXJ524260 SHF524260 SRB524260 TAX524260 TKT524260 TUP524260 UEL524260 UOH524260 UYD524260 VHZ524260 VRV524260 WBR524260 WLN524260 WVJ524260 B589796 IX589796 ST589796 ACP589796 AML589796 AWH589796 BGD589796 BPZ589796 BZV589796 CJR589796 CTN589796 DDJ589796 DNF589796 DXB589796 EGX589796 EQT589796 FAP589796 FKL589796 FUH589796 GED589796 GNZ589796 GXV589796 HHR589796 HRN589796 IBJ589796 ILF589796 IVB589796 JEX589796 JOT589796 JYP589796 KIL589796 KSH589796 LCD589796 LLZ589796 LVV589796 MFR589796 MPN589796 MZJ589796 NJF589796 NTB589796 OCX589796 OMT589796 OWP589796 PGL589796 PQH589796 QAD589796 QJZ589796 QTV589796 RDR589796 RNN589796 RXJ589796 SHF589796 SRB589796 TAX589796 TKT589796 TUP589796 UEL589796 UOH589796 UYD589796 VHZ589796 VRV589796 WBR589796 WLN589796 WVJ589796 B655332 IX655332 ST655332 ACP655332 AML655332 AWH655332 BGD655332 BPZ655332 BZV655332 CJR655332 CTN655332 DDJ655332 DNF655332 DXB655332 EGX655332 EQT655332 FAP655332 FKL655332 FUH655332 GED655332 GNZ655332 GXV655332 HHR655332 HRN655332 IBJ655332 ILF655332 IVB655332 JEX655332 JOT655332 JYP655332 KIL655332 KSH655332 LCD655332 LLZ655332 LVV655332 MFR655332 MPN655332 MZJ655332 NJF655332 NTB655332 OCX655332 OMT655332 OWP655332 PGL655332 PQH655332 QAD655332 QJZ655332 QTV655332 RDR655332 RNN655332 RXJ655332 SHF655332 SRB655332 TAX655332 TKT655332 TUP655332 UEL655332 UOH655332 UYD655332 VHZ655332 VRV655332 WBR655332 WLN655332 WVJ655332 B720868 IX720868 ST720868 ACP720868 AML720868 AWH720868 BGD720868 BPZ720868 BZV720868 CJR720868 CTN720868 DDJ720868 DNF720868 DXB720868 EGX720868 EQT720868 FAP720868 FKL720868 FUH720868 GED720868 GNZ720868 GXV720868 HHR720868 HRN720868 IBJ720868 ILF720868 IVB720868 JEX720868 JOT720868 JYP720868 KIL720868 KSH720868 LCD720868 LLZ720868 LVV720868 MFR720868 MPN720868 MZJ720868 NJF720868 NTB720868 OCX720868 OMT720868 OWP720868 PGL720868 PQH720868 QAD720868 QJZ720868 QTV720868 RDR720868 RNN720868 RXJ720868 SHF720868 SRB720868 TAX720868 TKT720868 TUP720868 UEL720868 UOH720868 UYD720868 VHZ720868 VRV720868 WBR720868 WLN720868 WVJ720868 B786404 IX786404 ST786404 ACP786404 AML786404 AWH786404 BGD786404 BPZ786404 BZV786404 CJR786404 CTN786404 DDJ786404 DNF786404 DXB786404 EGX786404 EQT786404 FAP786404 FKL786404 FUH786404 GED786404 GNZ786404 GXV786404 HHR786404 HRN786404 IBJ786404 ILF786404 IVB786404 JEX786404 JOT786404 JYP786404 KIL786404 KSH786404 LCD786404 LLZ786404 LVV786404 MFR786404 MPN786404 MZJ786404 NJF786404 NTB786404 OCX786404 OMT786404 OWP786404 PGL786404 PQH786404 QAD786404 QJZ786404 QTV786404 RDR786404 RNN786404 RXJ786404 SHF786404 SRB786404 TAX786404 TKT786404 TUP786404 UEL786404 UOH786404 UYD786404 VHZ786404 VRV786404 WBR786404 WLN786404 WVJ786404 B851940 IX851940 ST851940 ACP851940 AML851940 AWH851940 BGD851940 BPZ851940 BZV851940 CJR851940 CTN851940 DDJ851940 DNF851940 DXB851940 EGX851940 EQT851940 FAP851940 FKL851940 FUH851940 GED851940 GNZ851940 GXV851940 HHR851940 HRN851940 IBJ851940 ILF851940 IVB851940 JEX851940 JOT851940 JYP851940 KIL851940 KSH851940 LCD851940 LLZ851940 LVV851940 MFR851940 MPN851940 MZJ851940 NJF851940 NTB851940 OCX851940 OMT851940 OWP851940 PGL851940 PQH851940 QAD851940 QJZ851940 QTV851940 RDR851940 RNN851940 RXJ851940 SHF851940 SRB851940 TAX851940 TKT851940 TUP851940 UEL851940 UOH851940 UYD851940 VHZ851940 VRV851940 WBR851940 WLN851940 WVJ851940 B917476 IX917476 ST917476 ACP917476 AML917476 AWH917476 BGD917476 BPZ917476 BZV917476 CJR917476 CTN917476 DDJ917476 DNF917476 DXB917476 EGX917476 EQT917476 FAP917476 FKL917476 FUH917476 GED917476 GNZ917476 GXV917476 HHR917476 HRN917476 IBJ917476 ILF917476 IVB917476 JEX917476 JOT917476 JYP917476 KIL917476 KSH917476 LCD917476 LLZ917476 LVV917476 MFR917476 MPN917476 MZJ917476 NJF917476 NTB917476 OCX917476 OMT917476 OWP917476 PGL917476 PQH917476 QAD917476 QJZ917476 QTV917476 RDR917476 RNN917476 RXJ917476 SHF917476 SRB917476 TAX917476 TKT917476 TUP917476 UEL917476 UOH917476 UYD917476 VHZ917476 VRV917476 WBR917476 WLN917476 WVJ917476 B983012 IX983012 ST983012 ACP983012 AML983012 AWH983012 BGD983012 BPZ983012 BZV983012 CJR983012 CTN983012 DDJ983012 DNF983012 DXB983012 EGX983012 EQT983012 FAP983012 FKL983012 FUH983012 GED983012 GNZ983012 GXV983012 HHR983012 HRN983012 IBJ983012 ILF983012 IVB983012 JEX983012 JOT983012 JYP983012 KIL983012 KSH983012 LCD983012 LLZ983012 LVV983012 MFR983012 MPN983012 MZJ983012 NJF983012 NTB983012 OCX983012 OMT983012 OWP983012 PGL983012 PQH983012 QAD983012 QJZ983012 QTV983012 RDR983012 RNN983012 RXJ983012 SHF983012 SRB983012 TAX983012 TKT983012 TUP983012 UEL983012 UOH983012 UYD983012 VHZ983012 VRV983012 WBR983012 WLN983012 WVJ983012 E27:E29 JA27:JA29 SW27:SW29 ACS27:ACS29 AMO27:AMO29 AWK27:AWK29 BGG27:BGG29 BQC27:BQC29 BZY27:BZY29 CJU27:CJU29 CTQ27:CTQ29 DDM27:DDM29 DNI27:DNI29 DXE27:DXE29 EHA27:EHA29 EQW27:EQW29 FAS27:FAS29 FKO27:FKO29 FUK27:FUK29 GEG27:GEG29 GOC27:GOC29 GXY27:GXY29 HHU27:HHU29 HRQ27:HRQ29 IBM27:IBM29 ILI27:ILI29 IVE27:IVE29 JFA27:JFA29 JOW27:JOW29 JYS27:JYS29 KIO27:KIO29 KSK27:KSK29 LCG27:LCG29 LMC27:LMC29 LVY27:LVY29 MFU27:MFU29 MPQ27:MPQ29 MZM27:MZM29 NJI27:NJI29 NTE27:NTE29 ODA27:ODA29 OMW27:OMW29 OWS27:OWS29 PGO27:PGO29 PQK27:PQK29 QAG27:QAG29 QKC27:QKC29 QTY27:QTY29 RDU27:RDU29 RNQ27:RNQ29 RXM27:RXM29 SHI27:SHI29 SRE27:SRE29 TBA27:TBA29 TKW27:TKW29 TUS27:TUS29 UEO27:UEO29 UOK27:UOK29 UYG27:UYG29 VIC27:VIC29 VRY27:VRY29 WBU27:WBU29 WLQ27:WLQ29 WVM27:WVM29 E65506:E65508 JA65506:JA65508 SW65506:SW65508 ACS65506:ACS65508 AMO65506:AMO65508 AWK65506:AWK65508 BGG65506:BGG65508 BQC65506:BQC65508 BZY65506:BZY65508 CJU65506:CJU65508 CTQ65506:CTQ65508 DDM65506:DDM65508 DNI65506:DNI65508 DXE65506:DXE65508 EHA65506:EHA65508 EQW65506:EQW65508 FAS65506:FAS65508 FKO65506:FKO65508 FUK65506:FUK65508 GEG65506:GEG65508 GOC65506:GOC65508 GXY65506:GXY65508 HHU65506:HHU65508 HRQ65506:HRQ65508 IBM65506:IBM65508 ILI65506:ILI65508 IVE65506:IVE65508 JFA65506:JFA65508 JOW65506:JOW65508 JYS65506:JYS65508 KIO65506:KIO65508 KSK65506:KSK65508 LCG65506:LCG65508 LMC65506:LMC65508 LVY65506:LVY65508 MFU65506:MFU65508 MPQ65506:MPQ65508 MZM65506:MZM65508 NJI65506:NJI65508 NTE65506:NTE65508 ODA65506:ODA65508 OMW65506:OMW65508 OWS65506:OWS65508 PGO65506:PGO65508 PQK65506:PQK65508 QAG65506:QAG65508 QKC65506:QKC65508 QTY65506:QTY65508 RDU65506:RDU65508 RNQ65506:RNQ65508 RXM65506:RXM65508 SHI65506:SHI65508 SRE65506:SRE65508 TBA65506:TBA65508 TKW65506:TKW65508 TUS65506:TUS65508 UEO65506:UEO65508 UOK65506:UOK65508 UYG65506:UYG65508 VIC65506:VIC65508 VRY65506:VRY65508 WBU65506:WBU65508 WLQ65506:WLQ65508 WVM65506:WVM65508 E131042:E131044 JA131042:JA131044 SW131042:SW131044 ACS131042:ACS131044 AMO131042:AMO131044 AWK131042:AWK131044 BGG131042:BGG131044 BQC131042:BQC131044 BZY131042:BZY131044 CJU131042:CJU131044 CTQ131042:CTQ131044 DDM131042:DDM131044 DNI131042:DNI131044 DXE131042:DXE131044 EHA131042:EHA131044 EQW131042:EQW131044 FAS131042:FAS131044 FKO131042:FKO131044 FUK131042:FUK131044 GEG131042:GEG131044 GOC131042:GOC131044 GXY131042:GXY131044 HHU131042:HHU131044 HRQ131042:HRQ131044 IBM131042:IBM131044 ILI131042:ILI131044 IVE131042:IVE131044 JFA131042:JFA131044 JOW131042:JOW131044 JYS131042:JYS131044 KIO131042:KIO131044 KSK131042:KSK131044 LCG131042:LCG131044 LMC131042:LMC131044 LVY131042:LVY131044 MFU131042:MFU131044 MPQ131042:MPQ131044 MZM131042:MZM131044 NJI131042:NJI131044 NTE131042:NTE131044 ODA131042:ODA131044 OMW131042:OMW131044 OWS131042:OWS131044 PGO131042:PGO131044 PQK131042:PQK131044 QAG131042:QAG131044 QKC131042:QKC131044 QTY131042:QTY131044 RDU131042:RDU131044 RNQ131042:RNQ131044 RXM131042:RXM131044 SHI131042:SHI131044 SRE131042:SRE131044 TBA131042:TBA131044 TKW131042:TKW131044 TUS131042:TUS131044 UEO131042:UEO131044 UOK131042:UOK131044 UYG131042:UYG131044 VIC131042:VIC131044 VRY131042:VRY131044 WBU131042:WBU131044 WLQ131042:WLQ131044 WVM131042:WVM131044 E196578:E196580 JA196578:JA196580 SW196578:SW196580 ACS196578:ACS196580 AMO196578:AMO196580 AWK196578:AWK196580 BGG196578:BGG196580 BQC196578:BQC196580 BZY196578:BZY196580 CJU196578:CJU196580 CTQ196578:CTQ196580 DDM196578:DDM196580 DNI196578:DNI196580 DXE196578:DXE196580 EHA196578:EHA196580 EQW196578:EQW196580 FAS196578:FAS196580 FKO196578:FKO196580 FUK196578:FUK196580 GEG196578:GEG196580 GOC196578:GOC196580 GXY196578:GXY196580 HHU196578:HHU196580 HRQ196578:HRQ196580 IBM196578:IBM196580 ILI196578:ILI196580 IVE196578:IVE196580 JFA196578:JFA196580 JOW196578:JOW196580 JYS196578:JYS196580 KIO196578:KIO196580 KSK196578:KSK196580 LCG196578:LCG196580 LMC196578:LMC196580 LVY196578:LVY196580 MFU196578:MFU196580 MPQ196578:MPQ196580 MZM196578:MZM196580 NJI196578:NJI196580 NTE196578:NTE196580 ODA196578:ODA196580 OMW196578:OMW196580 OWS196578:OWS196580 PGO196578:PGO196580 PQK196578:PQK196580 QAG196578:QAG196580 QKC196578:QKC196580 QTY196578:QTY196580 RDU196578:RDU196580 RNQ196578:RNQ196580 RXM196578:RXM196580 SHI196578:SHI196580 SRE196578:SRE196580 TBA196578:TBA196580 TKW196578:TKW196580 TUS196578:TUS196580 UEO196578:UEO196580 UOK196578:UOK196580 UYG196578:UYG196580 VIC196578:VIC196580 VRY196578:VRY196580 WBU196578:WBU196580 WLQ196578:WLQ196580 WVM196578:WVM196580 E262114:E262116 JA262114:JA262116 SW262114:SW262116 ACS262114:ACS262116 AMO262114:AMO262116 AWK262114:AWK262116 BGG262114:BGG262116 BQC262114:BQC262116 BZY262114:BZY262116 CJU262114:CJU262116 CTQ262114:CTQ262116 DDM262114:DDM262116 DNI262114:DNI262116 DXE262114:DXE262116 EHA262114:EHA262116 EQW262114:EQW262116 FAS262114:FAS262116 FKO262114:FKO262116 FUK262114:FUK262116 GEG262114:GEG262116 GOC262114:GOC262116 GXY262114:GXY262116 HHU262114:HHU262116 HRQ262114:HRQ262116 IBM262114:IBM262116 ILI262114:ILI262116 IVE262114:IVE262116 JFA262114:JFA262116 JOW262114:JOW262116 JYS262114:JYS262116 KIO262114:KIO262116 KSK262114:KSK262116 LCG262114:LCG262116 LMC262114:LMC262116 LVY262114:LVY262116 MFU262114:MFU262116 MPQ262114:MPQ262116 MZM262114:MZM262116 NJI262114:NJI262116 NTE262114:NTE262116 ODA262114:ODA262116 OMW262114:OMW262116 OWS262114:OWS262116 PGO262114:PGO262116 PQK262114:PQK262116 QAG262114:QAG262116 QKC262114:QKC262116 QTY262114:QTY262116 RDU262114:RDU262116 RNQ262114:RNQ262116 RXM262114:RXM262116 SHI262114:SHI262116 SRE262114:SRE262116 TBA262114:TBA262116 TKW262114:TKW262116 TUS262114:TUS262116 UEO262114:UEO262116 UOK262114:UOK262116 UYG262114:UYG262116 VIC262114:VIC262116 VRY262114:VRY262116 WBU262114:WBU262116 WLQ262114:WLQ262116 WVM262114:WVM262116 E327650:E327652 JA327650:JA327652 SW327650:SW327652 ACS327650:ACS327652 AMO327650:AMO327652 AWK327650:AWK327652 BGG327650:BGG327652 BQC327650:BQC327652 BZY327650:BZY327652 CJU327650:CJU327652 CTQ327650:CTQ327652 DDM327650:DDM327652 DNI327650:DNI327652 DXE327650:DXE327652 EHA327650:EHA327652 EQW327650:EQW327652 FAS327650:FAS327652 FKO327650:FKO327652 FUK327650:FUK327652 GEG327650:GEG327652 GOC327650:GOC327652 GXY327650:GXY327652 HHU327650:HHU327652 HRQ327650:HRQ327652 IBM327650:IBM327652 ILI327650:ILI327652 IVE327650:IVE327652 JFA327650:JFA327652 JOW327650:JOW327652 JYS327650:JYS327652 KIO327650:KIO327652 KSK327650:KSK327652 LCG327650:LCG327652 LMC327650:LMC327652 LVY327650:LVY327652 MFU327650:MFU327652 MPQ327650:MPQ327652 MZM327650:MZM327652 NJI327650:NJI327652 NTE327650:NTE327652 ODA327650:ODA327652 OMW327650:OMW327652 OWS327650:OWS327652 PGO327650:PGO327652 PQK327650:PQK327652 QAG327650:QAG327652 QKC327650:QKC327652 QTY327650:QTY327652 RDU327650:RDU327652 RNQ327650:RNQ327652 RXM327650:RXM327652 SHI327650:SHI327652 SRE327650:SRE327652 TBA327650:TBA327652 TKW327650:TKW327652 TUS327650:TUS327652 UEO327650:UEO327652 UOK327650:UOK327652 UYG327650:UYG327652 VIC327650:VIC327652 VRY327650:VRY327652 WBU327650:WBU327652 WLQ327650:WLQ327652 WVM327650:WVM327652 E393186:E393188 JA393186:JA393188 SW393186:SW393188 ACS393186:ACS393188 AMO393186:AMO393188 AWK393186:AWK393188 BGG393186:BGG393188 BQC393186:BQC393188 BZY393186:BZY393188 CJU393186:CJU393188 CTQ393186:CTQ393188 DDM393186:DDM393188 DNI393186:DNI393188 DXE393186:DXE393188 EHA393186:EHA393188 EQW393186:EQW393188 FAS393186:FAS393188 FKO393186:FKO393188 FUK393186:FUK393188 GEG393186:GEG393188 GOC393186:GOC393188 GXY393186:GXY393188 HHU393186:HHU393188 HRQ393186:HRQ393188 IBM393186:IBM393188 ILI393186:ILI393188 IVE393186:IVE393188 JFA393186:JFA393188 JOW393186:JOW393188 JYS393186:JYS393188 KIO393186:KIO393188 KSK393186:KSK393188 LCG393186:LCG393188 LMC393186:LMC393188 LVY393186:LVY393188 MFU393186:MFU393188 MPQ393186:MPQ393188 MZM393186:MZM393188 NJI393186:NJI393188 NTE393186:NTE393188 ODA393186:ODA393188 OMW393186:OMW393188 OWS393186:OWS393188 PGO393186:PGO393188 PQK393186:PQK393188 QAG393186:QAG393188 QKC393186:QKC393188 QTY393186:QTY393188 RDU393186:RDU393188 RNQ393186:RNQ393188 RXM393186:RXM393188 SHI393186:SHI393188 SRE393186:SRE393188 TBA393186:TBA393188 TKW393186:TKW393188 TUS393186:TUS393188 UEO393186:UEO393188 UOK393186:UOK393188 UYG393186:UYG393188 VIC393186:VIC393188 VRY393186:VRY393188 WBU393186:WBU393188 WLQ393186:WLQ393188 WVM393186:WVM393188 E458722:E458724 JA458722:JA458724 SW458722:SW458724 ACS458722:ACS458724 AMO458722:AMO458724 AWK458722:AWK458724 BGG458722:BGG458724 BQC458722:BQC458724 BZY458722:BZY458724 CJU458722:CJU458724 CTQ458722:CTQ458724 DDM458722:DDM458724 DNI458722:DNI458724 DXE458722:DXE458724 EHA458722:EHA458724 EQW458722:EQW458724 FAS458722:FAS458724 FKO458722:FKO458724 FUK458722:FUK458724 GEG458722:GEG458724 GOC458722:GOC458724 GXY458722:GXY458724 HHU458722:HHU458724 HRQ458722:HRQ458724 IBM458722:IBM458724 ILI458722:ILI458724 IVE458722:IVE458724 JFA458722:JFA458724 JOW458722:JOW458724 JYS458722:JYS458724 KIO458722:KIO458724 KSK458722:KSK458724 LCG458722:LCG458724 LMC458722:LMC458724 LVY458722:LVY458724 MFU458722:MFU458724 MPQ458722:MPQ458724 MZM458722:MZM458724 NJI458722:NJI458724 NTE458722:NTE458724 ODA458722:ODA458724 OMW458722:OMW458724 OWS458722:OWS458724 PGO458722:PGO458724 PQK458722:PQK458724 QAG458722:QAG458724 QKC458722:QKC458724 QTY458722:QTY458724 RDU458722:RDU458724 RNQ458722:RNQ458724 RXM458722:RXM458724 SHI458722:SHI458724 SRE458722:SRE458724 TBA458722:TBA458724 TKW458722:TKW458724 TUS458722:TUS458724 UEO458722:UEO458724 UOK458722:UOK458724 UYG458722:UYG458724 VIC458722:VIC458724 VRY458722:VRY458724 WBU458722:WBU458724 WLQ458722:WLQ458724 WVM458722:WVM458724 E524258:E524260 JA524258:JA524260 SW524258:SW524260 ACS524258:ACS524260 AMO524258:AMO524260 AWK524258:AWK524260 BGG524258:BGG524260 BQC524258:BQC524260 BZY524258:BZY524260 CJU524258:CJU524260 CTQ524258:CTQ524260 DDM524258:DDM524260 DNI524258:DNI524260 DXE524258:DXE524260 EHA524258:EHA524260 EQW524258:EQW524260 FAS524258:FAS524260 FKO524258:FKO524260 FUK524258:FUK524260 GEG524258:GEG524260 GOC524258:GOC524260 GXY524258:GXY524260 HHU524258:HHU524260 HRQ524258:HRQ524260 IBM524258:IBM524260 ILI524258:ILI524260 IVE524258:IVE524260 JFA524258:JFA524260 JOW524258:JOW524260 JYS524258:JYS524260 KIO524258:KIO524260 KSK524258:KSK524260 LCG524258:LCG524260 LMC524258:LMC524260 LVY524258:LVY524260 MFU524258:MFU524260 MPQ524258:MPQ524260 MZM524258:MZM524260 NJI524258:NJI524260 NTE524258:NTE524260 ODA524258:ODA524260 OMW524258:OMW524260 OWS524258:OWS524260 PGO524258:PGO524260 PQK524258:PQK524260 QAG524258:QAG524260 QKC524258:QKC524260 QTY524258:QTY524260 RDU524258:RDU524260 RNQ524258:RNQ524260 RXM524258:RXM524260 SHI524258:SHI524260 SRE524258:SRE524260 TBA524258:TBA524260 TKW524258:TKW524260 TUS524258:TUS524260 UEO524258:UEO524260 UOK524258:UOK524260 UYG524258:UYG524260 VIC524258:VIC524260 VRY524258:VRY524260 WBU524258:WBU524260 WLQ524258:WLQ524260 WVM524258:WVM524260 E589794:E589796 JA589794:JA589796 SW589794:SW589796 ACS589794:ACS589796 AMO589794:AMO589796 AWK589794:AWK589796 BGG589794:BGG589796 BQC589794:BQC589796 BZY589794:BZY589796 CJU589794:CJU589796 CTQ589794:CTQ589796 DDM589794:DDM589796 DNI589794:DNI589796 DXE589794:DXE589796 EHA589794:EHA589796 EQW589794:EQW589796 FAS589794:FAS589796 FKO589794:FKO589796 FUK589794:FUK589796 GEG589794:GEG589796 GOC589794:GOC589796 GXY589794:GXY589796 HHU589794:HHU589796 HRQ589794:HRQ589796 IBM589794:IBM589796 ILI589794:ILI589796 IVE589794:IVE589796 JFA589794:JFA589796 JOW589794:JOW589796 JYS589794:JYS589796 KIO589794:KIO589796 KSK589794:KSK589796 LCG589794:LCG589796 LMC589794:LMC589796 LVY589794:LVY589796 MFU589794:MFU589796 MPQ589794:MPQ589796 MZM589794:MZM589796 NJI589794:NJI589796 NTE589794:NTE589796 ODA589794:ODA589796 OMW589794:OMW589796 OWS589794:OWS589796 PGO589794:PGO589796 PQK589794:PQK589796 QAG589794:QAG589796 QKC589794:QKC589796 QTY589794:QTY589796 RDU589794:RDU589796 RNQ589794:RNQ589796 RXM589794:RXM589796 SHI589794:SHI589796 SRE589794:SRE589796 TBA589794:TBA589796 TKW589794:TKW589796 TUS589794:TUS589796 UEO589794:UEO589796 UOK589794:UOK589796 UYG589794:UYG589796 VIC589794:VIC589796 VRY589794:VRY589796 WBU589794:WBU589796 WLQ589794:WLQ589796 WVM589794:WVM589796 E655330:E655332 JA655330:JA655332 SW655330:SW655332 ACS655330:ACS655332 AMO655330:AMO655332 AWK655330:AWK655332 BGG655330:BGG655332 BQC655330:BQC655332 BZY655330:BZY655332 CJU655330:CJU655332 CTQ655330:CTQ655332 DDM655330:DDM655332 DNI655330:DNI655332 DXE655330:DXE655332 EHA655330:EHA655332 EQW655330:EQW655332 FAS655330:FAS655332 FKO655330:FKO655332 FUK655330:FUK655332 GEG655330:GEG655332 GOC655330:GOC655332 GXY655330:GXY655332 HHU655330:HHU655332 HRQ655330:HRQ655332 IBM655330:IBM655332 ILI655330:ILI655332 IVE655330:IVE655332 JFA655330:JFA655332 JOW655330:JOW655332 JYS655330:JYS655332 KIO655330:KIO655332 KSK655330:KSK655332 LCG655330:LCG655332 LMC655330:LMC655332 LVY655330:LVY655332 MFU655330:MFU655332 MPQ655330:MPQ655332 MZM655330:MZM655332 NJI655330:NJI655332 NTE655330:NTE655332 ODA655330:ODA655332 OMW655330:OMW655332 OWS655330:OWS655332 PGO655330:PGO655332 PQK655330:PQK655332 QAG655330:QAG655332 QKC655330:QKC655332 QTY655330:QTY655332 RDU655330:RDU655332 RNQ655330:RNQ655332 RXM655330:RXM655332 SHI655330:SHI655332 SRE655330:SRE655332 TBA655330:TBA655332 TKW655330:TKW655332 TUS655330:TUS655332 UEO655330:UEO655332 UOK655330:UOK655332 UYG655330:UYG655332 VIC655330:VIC655332 VRY655330:VRY655332 WBU655330:WBU655332 WLQ655330:WLQ655332 WVM655330:WVM655332 E720866:E720868 JA720866:JA720868 SW720866:SW720868 ACS720866:ACS720868 AMO720866:AMO720868 AWK720866:AWK720868 BGG720866:BGG720868 BQC720866:BQC720868 BZY720866:BZY720868 CJU720866:CJU720868 CTQ720866:CTQ720868 DDM720866:DDM720868 DNI720866:DNI720868 DXE720866:DXE720868 EHA720866:EHA720868 EQW720866:EQW720868 FAS720866:FAS720868 FKO720866:FKO720868 FUK720866:FUK720868 GEG720866:GEG720868 GOC720866:GOC720868 GXY720866:GXY720868 HHU720866:HHU720868 HRQ720866:HRQ720868 IBM720866:IBM720868 ILI720866:ILI720868 IVE720866:IVE720868 JFA720866:JFA720868 JOW720866:JOW720868 JYS720866:JYS720868 KIO720866:KIO720868 KSK720866:KSK720868 LCG720866:LCG720868 LMC720866:LMC720868 LVY720866:LVY720868 MFU720866:MFU720868 MPQ720866:MPQ720868 MZM720866:MZM720868 NJI720866:NJI720868 NTE720866:NTE720868 ODA720866:ODA720868 OMW720866:OMW720868 OWS720866:OWS720868 PGO720866:PGO720868 PQK720866:PQK720868 QAG720866:QAG720868 QKC720866:QKC720868 QTY720866:QTY720868 RDU720866:RDU720868 RNQ720866:RNQ720868 RXM720866:RXM720868 SHI720866:SHI720868 SRE720866:SRE720868 TBA720866:TBA720868 TKW720866:TKW720868 TUS720866:TUS720868 UEO720866:UEO720868 UOK720866:UOK720868 UYG720866:UYG720868 VIC720866:VIC720868 VRY720866:VRY720868 WBU720866:WBU720868 WLQ720866:WLQ720868 WVM720866:WVM720868 E786402:E786404 JA786402:JA786404 SW786402:SW786404 ACS786402:ACS786404 AMO786402:AMO786404 AWK786402:AWK786404 BGG786402:BGG786404 BQC786402:BQC786404 BZY786402:BZY786404 CJU786402:CJU786404 CTQ786402:CTQ786404 DDM786402:DDM786404 DNI786402:DNI786404 DXE786402:DXE786404 EHA786402:EHA786404 EQW786402:EQW786404 FAS786402:FAS786404 FKO786402:FKO786404 FUK786402:FUK786404 GEG786402:GEG786404 GOC786402:GOC786404 GXY786402:GXY786404 HHU786402:HHU786404 HRQ786402:HRQ786404 IBM786402:IBM786404 ILI786402:ILI786404 IVE786402:IVE786404 JFA786402:JFA786404 JOW786402:JOW786404 JYS786402:JYS786404 KIO786402:KIO786404 KSK786402:KSK786404 LCG786402:LCG786404 LMC786402:LMC786404 LVY786402:LVY786404 MFU786402:MFU786404 MPQ786402:MPQ786404 MZM786402:MZM786404 NJI786402:NJI786404 NTE786402:NTE786404 ODA786402:ODA786404 OMW786402:OMW786404 OWS786402:OWS786404 PGO786402:PGO786404 PQK786402:PQK786404 QAG786402:QAG786404 QKC786402:QKC786404 QTY786402:QTY786404 RDU786402:RDU786404 RNQ786402:RNQ786404 RXM786402:RXM786404 SHI786402:SHI786404 SRE786402:SRE786404 TBA786402:TBA786404 TKW786402:TKW786404 TUS786402:TUS786404 UEO786402:UEO786404 UOK786402:UOK786404 UYG786402:UYG786404 VIC786402:VIC786404 VRY786402:VRY786404 WBU786402:WBU786404 WLQ786402:WLQ786404 WVM786402:WVM786404 E851938:E851940 JA851938:JA851940 SW851938:SW851940 ACS851938:ACS851940 AMO851938:AMO851940 AWK851938:AWK851940 BGG851938:BGG851940 BQC851938:BQC851940 BZY851938:BZY851940 CJU851938:CJU851940 CTQ851938:CTQ851940 DDM851938:DDM851940 DNI851938:DNI851940 DXE851938:DXE851940 EHA851938:EHA851940 EQW851938:EQW851940 FAS851938:FAS851940 FKO851938:FKO851940 FUK851938:FUK851940 GEG851938:GEG851940 GOC851938:GOC851940 GXY851938:GXY851940 HHU851938:HHU851940 HRQ851938:HRQ851940 IBM851938:IBM851940 ILI851938:ILI851940 IVE851938:IVE851940 JFA851938:JFA851940 JOW851938:JOW851940 JYS851938:JYS851940 KIO851938:KIO851940 KSK851938:KSK851940 LCG851938:LCG851940 LMC851938:LMC851940 LVY851938:LVY851940 MFU851938:MFU851940 MPQ851938:MPQ851940 MZM851938:MZM851940 NJI851938:NJI851940 NTE851938:NTE851940 ODA851938:ODA851940 OMW851938:OMW851940 OWS851938:OWS851940 PGO851938:PGO851940 PQK851938:PQK851940 QAG851938:QAG851940 QKC851938:QKC851940 QTY851938:QTY851940 RDU851938:RDU851940 RNQ851938:RNQ851940 RXM851938:RXM851940 SHI851938:SHI851940 SRE851938:SRE851940 TBA851938:TBA851940 TKW851938:TKW851940 TUS851938:TUS851940 UEO851938:UEO851940 UOK851938:UOK851940 UYG851938:UYG851940 VIC851938:VIC851940 VRY851938:VRY851940 WBU851938:WBU851940 WLQ851938:WLQ851940 WVM851938:WVM851940 E917474:E917476 JA917474:JA917476 SW917474:SW917476 ACS917474:ACS917476 AMO917474:AMO917476 AWK917474:AWK917476 BGG917474:BGG917476 BQC917474:BQC917476 BZY917474:BZY917476 CJU917474:CJU917476 CTQ917474:CTQ917476 DDM917474:DDM917476 DNI917474:DNI917476 DXE917474:DXE917476 EHA917474:EHA917476 EQW917474:EQW917476 FAS917474:FAS917476 FKO917474:FKO917476 FUK917474:FUK917476 GEG917474:GEG917476 GOC917474:GOC917476 GXY917474:GXY917476 HHU917474:HHU917476 HRQ917474:HRQ917476 IBM917474:IBM917476 ILI917474:ILI917476 IVE917474:IVE917476 JFA917474:JFA917476 JOW917474:JOW917476 JYS917474:JYS917476 KIO917474:KIO917476 KSK917474:KSK917476 LCG917474:LCG917476 LMC917474:LMC917476 LVY917474:LVY917476 MFU917474:MFU917476 MPQ917474:MPQ917476 MZM917474:MZM917476 NJI917474:NJI917476 NTE917474:NTE917476 ODA917474:ODA917476 OMW917474:OMW917476 OWS917474:OWS917476 PGO917474:PGO917476 PQK917474:PQK917476 QAG917474:QAG917476 QKC917474:QKC917476 QTY917474:QTY917476 RDU917474:RDU917476 RNQ917474:RNQ917476 RXM917474:RXM917476 SHI917474:SHI917476 SRE917474:SRE917476 TBA917474:TBA917476 TKW917474:TKW917476 TUS917474:TUS917476 UEO917474:UEO917476 UOK917474:UOK917476 UYG917474:UYG917476 VIC917474:VIC917476 VRY917474:VRY917476 WBU917474:WBU917476 WLQ917474:WLQ917476 WVM917474:WVM917476 E983010:E983012 JA983010:JA983012 SW983010:SW983012 ACS983010:ACS983012 AMO983010:AMO983012 AWK983010:AWK983012 BGG983010:BGG983012 BQC983010:BQC983012 BZY983010:BZY983012 CJU983010:CJU983012 CTQ983010:CTQ983012 DDM983010:DDM983012 DNI983010:DNI983012 DXE983010:DXE983012 EHA983010:EHA983012 EQW983010:EQW983012 FAS983010:FAS983012 FKO983010:FKO983012 FUK983010:FUK983012 GEG983010:GEG983012 GOC983010:GOC983012 GXY983010:GXY983012 HHU983010:HHU983012 HRQ983010:HRQ983012 IBM983010:IBM983012 ILI983010:ILI983012 IVE983010:IVE983012 JFA983010:JFA983012 JOW983010:JOW983012 JYS983010:JYS983012 KIO983010:KIO983012 KSK983010:KSK983012 LCG983010:LCG983012 LMC983010:LMC983012 LVY983010:LVY983012 MFU983010:MFU983012 MPQ983010:MPQ983012 MZM983010:MZM983012 NJI983010:NJI983012 NTE983010:NTE983012 ODA983010:ODA983012 OMW983010:OMW983012 OWS983010:OWS983012 PGO983010:PGO983012 PQK983010:PQK983012 QAG983010:QAG983012 QKC983010:QKC983012 QTY983010:QTY983012 RDU983010:RDU983012 RNQ983010:RNQ983012 RXM983010:RXM983012 SHI983010:SHI983012 SRE983010:SRE983012 TBA983010:TBA983012 TKW983010:TKW983012 TUS983010:TUS983012 UEO983010:UEO983012 UOK983010:UOK983012 UYG983010:UYG983012 VIC983010:VIC983012 VRY983010:VRY983012 WBU983010:WBU983012 WLQ983010:WLQ983012 WVM983010:WVM983012</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C36FC-0AB2-4889-99A8-984DCD94FA00}">
  <sheetPr>
    <tabColor theme="6" tint="-0.249977111117893"/>
  </sheetPr>
  <dimension ref="A1:R92"/>
  <sheetViews>
    <sheetView showZeros="0" view="pageBreakPreview" topLeftCell="A27" zoomScale="120" zoomScaleNormal="100" zoomScaleSheetLayoutView="120" workbookViewId="0">
      <selection activeCell="C32" sqref="C32"/>
    </sheetView>
  </sheetViews>
  <sheetFormatPr defaultColWidth="9" defaultRowHeight="12"/>
  <cols>
    <col min="1" max="1" width="5.88671875" style="217" customWidth="1"/>
    <col min="2" max="2" width="28.6640625" style="217" customWidth="1"/>
    <col min="3" max="3" width="25.88671875" style="217" customWidth="1"/>
    <col min="4" max="4" width="9.6640625" style="217" customWidth="1"/>
    <col min="5" max="5" width="5.6640625" style="217" customWidth="1"/>
    <col min="6" max="6" width="11.6640625" style="217" customWidth="1"/>
    <col min="7" max="7" width="15.88671875" style="217" customWidth="1"/>
    <col min="8" max="8" width="26.88671875" style="217" customWidth="1"/>
    <col min="9" max="9" width="9" style="218"/>
    <col min="10" max="10" width="12.77734375" style="219" bestFit="1" customWidth="1"/>
    <col min="11" max="16384" width="9" style="217"/>
  </cols>
  <sheetData>
    <row r="1" spans="1:18" s="117" customFormat="1" ht="12" customHeight="1">
      <c r="A1" s="709" t="s">
        <v>266</v>
      </c>
      <c r="B1" s="709"/>
      <c r="C1" s="115" t="s">
        <v>265</v>
      </c>
      <c r="D1" s="116"/>
      <c r="E1" s="116"/>
      <c r="G1" s="116"/>
      <c r="H1" s="116"/>
      <c r="I1" s="118"/>
      <c r="K1" s="119"/>
      <c r="L1" s="120"/>
      <c r="M1" s="119"/>
      <c r="N1" s="119"/>
      <c r="O1" s="119"/>
      <c r="P1" s="119"/>
      <c r="Q1" s="119"/>
      <c r="R1" s="119"/>
    </row>
    <row r="2" spans="1:18" s="117" customFormat="1" ht="12" customHeight="1">
      <c r="A2" s="115"/>
      <c r="B2" s="115"/>
      <c r="C2" s="121" t="str">
        <f>表紙!A12</f>
        <v>大藪小学校屋内運動場空調設備設置工事</v>
      </c>
      <c r="D2" s="114"/>
      <c r="E2" s="116"/>
      <c r="G2" s="116"/>
      <c r="H2" s="214" t="s">
        <v>126</v>
      </c>
      <c r="I2" s="118"/>
      <c r="K2" s="119"/>
      <c r="L2" s="120"/>
      <c r="M2" s="119"/>
      <c r="N2" s="119"/>
      <c r="O2" s="119"/>
      <c r="P2" s="119"/>
      <c r="Q2" s="119"/>
      <c r="R2" s="119"/>
    </row>
    <row r="3" spans="1:18" s="127" customFormat="1" ht="24" customHeight="1">
      <c r="A3" s="122" t="s">
        <v>111</v>
      </c>
      <c r="B3" s="123" t="s">
        <v>112</v>
      </c>
      <c r="C3" s="123" t="s">
        <v>113</v>
      </c>
      <c r="D3" s="124" t="s">
        <v>114</v>
      </c>
      <c r="E3" s="123" t="s">
        <v>115</v>
      </c>
      <c r="F3" s="125" t="s">
        <v>20</v>
      </c>
      <c r="G3" s="123" t="s">
        <v>21</v>
      </c>
      <c r="H3" s="126" t="s">
        <v>116</v>
      </c>
    </row>
    <row r="4" spans="1:18" s="127" customFormat="1" ht="24" customHeight="1">
      <c r="A4" s="128"/>
      <c r="B4" s="129" t="s">
        <v>124</v>
      </c>
      <c r="C4" s="129"/>
      <c r="D4" s="130"/>
      <c r="E4" s="131"/>
      <c r="F4" s="132"/>
      <c r="G4" s="132"/>
      <c r="H4" s="133"/>
    </row>
    <row r="5" spans="1:18" s="127" customFormat="1" ht="24" customHeight="1">
      <c r="A5" s="134"/>
      <c r="B5" s="129" t="s">
        <v>571</v>
      </c>
      <c r="C5" s="135"/>
      <c r="D5" s="136"/>
      <c r="E5" s="137"/>
      <c r="F5" s="138"/>
      <c r="G5" s="138"/>
      <c r="H5" s="139"/>
    </row>
    <row r="6" spans="1:18" s="127" customFormat="1" ht="24" customHeight="1">
      <c r="A6" s="140"/>
      <c r="B6" s="135"/>
      <c r="C6" s="135"/>
      <c r="D6" s="141"/>
      <c r="E6" s="137"/>
      <c r="F6" s="132"/>
      <c r="G6" s="132"/>
      <c r="H6" s="139"/>
    </row>
    <row r="7" spans="1:18" s="127" customFormat="1" ht="24" customHeight="1">
      <c r="A7" s="140"/>
      <c r="B7" s="135" t="s">
        <v>572</v>
      </c>
      <c r="C7" s="635">
        <v>9.5</v>
      </c>
      <c r="D7" s="141">
        <v>42.6</v>
      </c>
      <c r="E7" s="137" t="s">
        <v>118</v>
      </c>
      <c r="F7" s="132">
        <v>24940</v>
      </c>
      <c r="G7" s="132">
        <f t="shared" ref="G7" si="0">D7*F7</f>
        <v>1062444</v>
      </c>
      <c r="H7" s="133" t="s">
        <v>582</v>
      </c>
    </row>
    <row r="8" spans="1:18" s="127" customFormat="1" ht="24" customHeight="1">
      <c r="A8" s="140"/>
      <c r="B8" s="135" t="s">
        <v>572</v>
      </c>
      <c r="C8" s="635">
        <v>15.8</v>
      </c>
      <c r="D8" s="141">
        <v>42.6</v>
      </c>
      <c r="E8" s="137" t="s">
        <v>118</v>
      </c>
      <c r="F8" s="132">
        <v>24940</v>
      </c>
      <c r="G8" s="132">
        <f t="shared" ref="G8" si="1">D8*F8</f>
        <v>1062444</v>
      </c>
      <c r="H8" s="133" t="s">
        <v>582</v>
      </c>
    </row>
    <row r="9" spans="1:18" s="127" customFormat="1" ht="24" customHeight="1">
      <c r="A9" s="142"/>
      <c r="B9" s="135"/>
      <c r="C9" s="135"/>
      <c r="D9" s="141"/>
      <c r="E9" s="137"/>
      <c r="F9" s="132"/>
      <c r="G9" s="132"/>
      <c r="H9" s="139"/>
    </row>
    <row r="10" spans="1:18" s="127" customFormat="1" ht="24" customHeight="1">
      <c r="A10" s="128"/>
      <c r="B10" s="135"/>
      <c r="C10" s="135"/>
      <c r="D10" s="143"/>
      <c r="E10" s="137"/>
      <c r="F10" s="132"/>
      <c r="G10" s="132"/>
      <c r="H10" s="133"/>
    </row>
    <row r="11" spans="1:18" s="127" customFormat="1" ht="24" customHeight="1">
      <c r="A11" s="128"/>
      <c r="B11" s="135" t="s">
        <v>579</v>
      </c>
      <c r="C11" s="135" t="s">
        <v>575</v>
      </c>
      <c r="D11" s="143">
        <v>1</v>
      </c>
      <c r="E11" s="137" t="s">
        <v>573</v>
      </c>
      <c r="F11" s="132"/>
      <c r="G11" s="132">
        <f t="shared" ref="G11:G14" si="2">D11*F11</f>
        <v>0</v>
      </c>
      <c r="H11" s="133" t="s">
        <v>582</v>
      </c>
    </row>
    <row r="12" spans="1:18" s="127" customFormat="1" ht="24" customHeight="1">
      <c r="A12" s="128"/>
      <c r="B12" s="135" t="s">
        <v>574</v>
      </c>
      <c r="C12" s="135" t="s">
        <v>576</v>
      </c>
      <c r="D12" s="143">
        <v>2</v>
      </c>
      <c r="E12" s="137" t="s">
        <v>573</v>
      </c>
      <c r="F12" s="132"/>
      <c r="G12" s="132">
        <f t="shared" si="2"/>
        <v>0</v>
      </c>
      <c r="H12" s="133" t="s">
        <v>582</v>
      </c>
    </row>
    <row r="13" spans="1:18" s="127" customFormat="1" ht="24" customHeight="1">
      <c r="A13" s="128"/>
      <c r="B13" s="135" t="s">
        <v>580</v>
      </c>
      <c r="C13" s="135" t="s">
        <v>578</v>
      </c>
      <c r="D13" s="143">
        <v>1</v>
      </c>
      <c r="E13" s="137" t="s">
        <v>573</v>
      </c>
      <c r="F13" s="132"/>
      <c r="G13" s="132">
        <f t="shared" si="2"/>
        <v>0</v>
      </c>
      <c r="H13" s="133" t="s">
        <v>582</v>
      </c>
    </row>
    <row r="14" spans="1:18" s="127" customFormat="1" ht="24" customHeight="1">
      <c r="A14" s="128"/>
      <c r="B14" s="135" t="s">
        <v>577</v>
      </c>
      <c r="C14" s="135" t="s">
        <v>576</v>
      </c>
      <c r="D14" s="143">
        <v>1</v>
      </c>
      <c r="E14" s="137" t="s">
        <v>573</v>
      </c>
      <c r="F14" s="132"/>
      <c r="G14" s="132">
        <f t="shared" si="2"/>
        <v>0</v>
      </c>
      <c r="H14" s="133" t="s">
        <v>582</v>
      </c>
    </row>
    <row r="15" spans="1:18" s="127" customFormat="1" ht="24" customHeight="1">
      <c r="A15" s="128"/>
      <c r="B15" s="129"/>
      <c r="C15" s="129"/>
      <c r="D15" s="144"/>
      <c r="E15" s="145"/>
      <c r="F15" s="132"/>
      <c r="G15" s="132"/>
      <c r="H15" s="133"/>
    </row>
    <row r="16" spans="1:18" s="127" customFormat="1" ht="24" customHeight="1">
      <c r="A16" s="128"/>
      <c r="B16" s="135"/>
      <c r="C16" s="135"/>
      <c r="D16" s="141"/>
      <c r="E16" s="137"/>
      <c r="F16" s="132"/>
      <c r="G16" s="132"/>
      <c r="H16" s="133"/>
    </row>
    <row r="17" spans="1:18" s="127" customFormat="1" ht="24" customHeight="1">
      <c r="A17" s="128"/>
      <c r="B17" s="129"/>
      <c r="C17" s="135"/>
      <c r="D17" s="141"/>
      <c r="E17" s="137"/>
      <c r="F17" s="132"/>
      <c r="G17" s="132"/>
      <c r="H17" s="139"/>
    </row>
    <row r="18" spans="1:18" s="127" customFormat="1" ht="24" customHeight="1">
      <c r="A18" s="128"/>
      <c r="B18" s="135"/>
      <c r="C18" s="135"/>
      <c r="D18" s="141"/>
      <c r="E18" s="137"/>
      <c r="F18" s="132"/>
      <c r="G18" s="132"/>
      <c r="H18" s="139"/>
    </row>
    <row r="19" spans="1:18" s="127" customFormat="1" ht="24" customHeight="1">
      <c r="A19" s="128"/>
      <c r="B19" s="135"/>
      <c r="C19" s="135"/>
      <c r="D19" s="141"/>
      <c r="E19" s="137"/>
      <c r="F19" s="132"/>
      <c r="G19" s="132"/>
      <c r="H19" s="139"/>
    </row>
    <row r="20" spans="1:18" s="127" customFormat="1" ht="24" customHeight="1">
      <c r="A20" s="128"/>
      <c r="B20" s="135"/>
      <c r="C20" s="135"/>
      <c r="D20" s="141"/>
      <c r="E20" s="137"/>
      <c r="F20" s="132"/>
      <c r="G20" s="132"/>
      <c r="H20" s="139"/>
    </row>
    <row r="21" spans="1:18" s="127" customFormat="1" ht="24" customHeight="1">
      <c r="A21" s="128"/>
      <c r="B21" s="135" t="s">
        <v>56</v>
      </c>
      <c r="C21" s="135"/>
      <c r="D21" s="141"/>
      <c r="E21" s="137"/>
      <c r="F21" s="132"/>
      <c r="G21" s="132">
        <f>SUM(G4:G20)</f>
        <v>2124888</v>
      </c>
      <c r="H21" s="139"/>
    </row>
    <row r="22" spans="1:18" s="127" customFormat="1" ht="24" customHeight="1">
      <c r="A22" s="128"/>
      <c r="B22" s="129" t="s">
        <v>119</v>
      </c>
      <c r="C22" s="129"/>
      <c r="D22" s="130"/>
      <c r="E22" s="131"/>
      <c r="F22" s="132"/>
      <c r="G22" s="132">
        <v>-2444</v>
      </c>
      <c r="H22" s="133"/>
    </row>
    <row r="23" spans="1:18" s="127" customFormat="1" ht="24" customHeight="1">
      <c r="A23" s="146"/>
      <c r="B23" s="147" t="s">
        <v>120</v>
      </c>
      <c r="C23" s="147"/>
      <c r="D23" s="148"/>
      <c r="E23" s="149"/>
      <c r="F23" s="150"/>
      <c r="G23" s="150">
        <f>G21+G22</f>
        <v>2122444</v>
      </c>
      <c r="H23" s="151"/>
    </row>
    <row r="24" spans="1:18" s="117" customFormat="1" ht="12" customHeight="1">
      <c r="A24" s="709" t="s">
        <v>256</v>
      </c>
      <c r="B24" s="709"/>
      <c r="C24" s="115" t="s">
        <v>257</v>
      </c>
      <c r="D24" s="116"/>
      <c r="E24" s="116"/>
      <c r="G24" s="116"/>
      <c r="H24" s="116"/>
      <c r="I24" s="118"/>
      <c r="K24" s="119"/>
      <c r="L24" s="120"/>
      <c r="M24" s="119"/>
      <c r="N24" s="119"/>
      <c r="O24" s="119"/>
      <c r="P24" s="119"/>
      <c r="Q24" s="119"/>
      <c r="R24" s="119"/>
    </row>
    <row r="25" spans="1:18" s="117" customFormat="1" ht="12" customHeight="1">
      <c r="A25" s="121"/>
      <c r="B25" s="121"/>
      <c r="C25" s="121" t="str">
        <f>C2</f>
        <v>大藪小学校屋内運動場空調設備設置工事</v>
      </c>
      <c r="D25" s="114"/>
      <c r="E25" s="114"/>
      <c r="F25" s="121"/>
      <c r="G25" s="114"/>
      <c r="H25" s="216" t="s">
        <v>285</v>
      </c>
      <c r="I25" s="118"/>
      <c r="K25" s="119"/>
      <c r="L25" s="120"/>
      <c r="M25" s="119"/>
      <c r="N25" s="119"/>
      <c r="O25" s="119"/>
      <c r="P25" s="119"/>
      <c r="Q25" s="119"/>
      <c r="R25" s="119"/>
    </row>
    <row r="26" spans="1:18" s="127" customFormat="1" ht="24" customHeight="1">
      <c r="A26" s="122" t="s">
        <v>111</v>
      </c>
      <c r="B26" s="123" t="s">
        <v>112</v>
      </c>
      <c r="C26" s="123" t="s">
        <v>113</v>
      </c>
      <c r="D26" s="124" t="s">
        <v>114</v>
      </c>
      <c r="E26" s="123" t="s">
        <v>115</v>
      </c>
      <c r="F26" s="125" t="s">
        <v>20</v>
      </c>
      <c r="G26" s="123" t="s">
        <v>21</v>
      </c>
      <c r="H26" s="126" t="s">
        <v>116</v>
      </c>
    </row>
    <row r="27" spans="1:18" s="127" customFormat="1" ht="24" customHeight="1">
      <c r="A27" s="128"/>
      <c r="B27" s="129" t="s">
        <v>258</v>
      </c>
      <c r="C27" s="129"/>
      <c r="D27" s="130"/>
      <c r="E27" s="131"/>
      <c r="F27" s="132"/>
      <c r="G27" s="132"/>
      <c r="H27" s="139"/>
    </row>
    <row r="28" spans="1:18" s="127" customFormat="1" ht="24" customHeight="1">
      <c r="A28" s="134"/>
      <c r="B28" s="129" t="s">
        <v>591</v>
      </c>
      <c r="C28" s="135"/>
      <c r="D28" s="136"/>
      <c r="E28" s="137"/>
      <c r="F28" s="138"/>
      <c r="G28" s="138"/>
      <c r="H28" s="139"/>
    </row>
    <row r="29" spans="1:18" s="127" customFormat="1" ht="24" customHeight="1">
      <c r="A29" s="140"/>
      <c r="B29" s="135"/>
      <c r="C29" s="135"/>
      <c r="D29" s="141"/>
      <c r="E29" s="137"/>
      <c r="F29" s="132"/>
      <c r="G29" s="132"/>
      <c r="H29" s="139"/>
    </row>
    <row r="30" spans="1:18" s="127" customFormat="1" ht="24" customHeight="1">
      <c r="A30" s="128"/>
      <c r="B30" s="135"/>
      <c r="C30" s="135"/>
      <c r="D30" s="143"/>
      <c r="E30" s="137" t="s">
        <v>237</v>
      </c>
      <c r="F30" s="132"/>
      <c r="G30" s="132">
        <f t="shared" ref="G30" si="3">D30*F30</f>
        <v>0</v>
      </c>
      <c r="H30" s="133" t="s">
        <v>555</v>
      </c>
    </row>
    <row r="31" spans="1:18" s="127" customFormat="1" ht="24" customHeight="1">
      <c r="A31" s="128"/>
      <c r="B31" s="135"/>
      <c r="C31" s="135"/>
      <c r="D31" s="143"/>
      <c r="E31" s="137"/>
      <c r="F31" s="132"/>
      <c r="G31" s="132"/>
      <c r="H31" s="133"/>
    </row>
    <row r="32" spans="1:18" s="127" customFormat="1" ht="24" customHeight="1">
      <c r="A32" s="128"/>
      <c r="B32" s="129"/>
      <c r="C32" s="129"/>
      <c r="D32" s="144"/>
      <c r="E32" s="137"/>
      <c r="F32" s="132"/>
      <c r="G32" s="132"/>
      <c r="H32" s="133"/>
    </row>
    <row r="33" spans="1:18" s="127" customFormat="1" ht="24" customHeight="1">
      <c r="A33" s="128"/>
      <c r="B33" s="135"/>
      <c r="C33" s="135"/>
      <c r="D33" s="143"/>
      <c r="E33" s="137"/>
      <c r="F33" s="132"/>
      <c r="G33" s="132"/>
      <c r="H33" s="133"/>
    </row>
    <row r="34" spans="1:18" s="127" customFormat="1" ht="24" customHeight="1">
      <c r="A34" s="128"/>
      <c r="B34" s="135"/>
      <c r="C34" s="135"/>
      <c r="D34" s="143"/>
      <c r="E34" s="137"/>
      <c r="F34" s="132"/>
      <c r="G34" s="132"/>
      <c r="H34" s="133"/>
    </row>
    <row r="35" spans="1:18" s="127" customFormat="1" ht="24" customHeight="1">
      <c r="A35" s="128"/>
      <c r="B35" s="135"/>
      <c r="C35" s="135"/>
      <c r="D35" s="143"/>
      <c r="E35" s="137"/>
      <c r="F35" s="132"/>
      <c r="G35" s="132"/>
      <c r="H35" s="133"/>
    </row>
    <row r="36" spans="1:18" s="127" customFormat="1" ht="24" customHeight="1">
      <c r="A36" s="128"/>
      <c r="B36" s="135"/>
      <c r="C36" s="135"/>
      <c r="D36" s="143"/>
      <c r="E36" s="137"/>
      <c r="F36" s="132"/>
      <c r="G36" s="132"/>
      <c r="H36" s="133"/>
    </row>
    <row r="37" spans="1:18" s="127" customFormat="1" ht="24" customHeight="1">
      <c r="A37" s="128"/>
      <c r="B37" s="135"/>
      <c r="C37" s="135"/>
      <c r="D37" s="143"/>
      <c r="E37" s="137"/>
      <c r="F37" s="132"/>
      <c r="G37" s="132"/>
      <c r="H37" s="133"/>
    </row>
    <row r="38" spans="1:18" s="127" customFormat="1" ht="24" customHeight="1">
      <c r="A38" s="128"/>
      <c r="B38" s="135"/>
      <c r="C38" s="135"/>
      <c r="D38" s="143"/>
      <c r="E38" s="137"/>
      <c r="F38" s="132"/>
      <c r="G38" s="132"/>
      <c r="H38" s="133"/>
    </row>
    <row r="39" spans="1:18" s="127" customFormat="1" ht="24" customHeight="1">
      <c r="A39" s="128"/>
      <c r="B39" s="129"/>
      <c r="C39" s="129"/>
      <c r="D39" s="144"/>
      <c r="E39" s="145"/>
      <c r="F39" s="132"/>
      <c r="G39" s="132"/>
      <c r="H39" s="133"/>
    </row>
    <row r="40" spans="1:18" s="127" customFormat="1" ht="24" customHeight="1">
      <c r="A40" s="128"/>
      <c r="B40" s="129"/>
      <c r="C40" s="129"/>
      <c r="D40" s="130"/>
      <c r="E40" s="131"/>
      <c r="F40" s="132"/>
      <c r="G40" s="132"/>
      <c r="H40" s="133"/>
    </row>
    <row r="41" spans="1:18" s="127" customFormat="1" ht="24" customHeight="1">
      <c r="A41" s="128"/>
      <c r="B41" s="129"/>
      <c r="C41" s="129"/>
      <c r="D41" s="130"/>
      <c r="E41" s="131"/>
      <c r="F41" s="132"/>
      <c r="G41" s="132"/>
      <c r="H41" s="133"/>
    </row>
    <row r="42" spans="1:18" s="127" customFormat="1" ht="24" customHeight="1">
      <c r="A42" s="128"/>
      <c r="B42" s="129"/>
      <c r="C42" s="129"/>
      <c r="D42" s="130"/>
      <c r="E42" s="131"/>
      <c r="F42" s="132"/>
      <c r="G42" s="132"/>
      <c r="H42" s="133"/>
    </row>
    <row r="43" spans="1:18" s="127" customFormat="1" ht="24" customHeight="1">
      <c r="A43" s="128"/>
      <c r="B43" s="129"/>
      <c r="C43" s="129"/>
      <c r="D43" s="130"/>
      <c r="E43" s="131"/>
      <c r="F43" s="132"/>
      <c r="G43" s="132"/>
      <c r="H43" s="133"/>
    </row>
    <row r="44" spans="1:18" s="127" customFormat="1" ht="24" customHeight="1">
      <c r="A44" s="128"/>
      <c r="B44" s="129" t="s">
        <v>56</v>
      </c>
      <c r="C44" s="129"/>
      <c r="D44" s="130"/>
      <c r="E44" s="131"/>
      <c r="F44" s="132"/>
      <c r="G44" s="132">
        <f>SUM(G22:G43)</f>
        <v>2120000</v>
      </c>
      <c r="H44" s="133"/>
    </row>
    <row r="45" spans="1:18" s="127" customFormat="1" ht="24" customHeight="1">
      <c r="A45" s="128"/>
      <c r="B45" s="129" t="s">
        <v>119</v>
      </c>
      <c r="C45" s="129"/>
      <c r="D45" s="130"/>
      <c r="E45" s="131"/>
      <c r="F45" s="132"/>
      <c r="G45" s="132">
        <v>-4618</v>
      </c>
      <c r="H45" s="133"/>
    </row>
    <row r="46" spans="1:18" s="127" customFormat="1" ht="24" customHeight="1">
      <c r="A46" s="146"/>
      <c r="B46" s="147" t="s">
        <v>120</v>
      </c>
      <c r="C46" s="147"/>
      <c r="D46" s="148"/>
      <c r="E46" s="149"/>
      <c r="F46" s="150"/>
      <c r="G46" s="150">
        <f>ROUNDDOWN(G44+G45,-2)</f>
        <v>2115300</v>
      </c>
      <c r="H46" s="151"/>
    </row>
    <row r="47" spans="1:18" s="117" customFormat="1" ht="12" customHeight="1">
      <c r="A47" s="709" t="s">
        <v>297</v>
      </c>
      <c r="B47" s="709"/>
      <c r="C47" s="115" t="s">
        <v>257</v>
      </c>
      <c r="D47" s="116"/>
      <c r="E47" s="116"/>
      <c r="G47" s="116"/>
      <c r="H47" s="116"/>
      <c r="I47" s="118"/>
      <c r="K47" s="119"/>
      <c r="L47" s="120"/>
      <c r="M47" s="119"/>
      <c r="N47" s="119"/>
      <c r="O47" s="119"/>
      <c r="P47" s="119"/>
      <c r="Q47" s="119"/>
      <c r="R47" s="119"/>
    </row>
    <row r="48" spans="1:18" s="117" customFormat="1" ht="12" customHeight="1">
      <c r="A48" s="121"/>
      <c r="B48" s="121"/>
      <c r="C48" s="121" t="str">
        <f>C25</f>
        <v>大藪小学校屋内運動場空調設備設置工事</v>
      </c>
      <c r="D48" s="114"/>
      <c r="E48" s="114"/>
      <c r="F48" s="121"/>
      <c r="G48" s="114"/>
      <c r="H48" s="216" t="s">
        <v>285</v>
      </c>
      <c r="I48" s="118"/>
      <c r="K48" s="119"/>
      <c r="L48" s="120"/>
      <c r="M48" s="119"/>
      <c r="N48" s="119"/>
      <c r="O48" s="119"/>
      <c r="P48" s="119"/>
      <c r="Q48" s="119"/>
      <c r="R48" s="119"/>
    </row>
    <row r="49" spans="1:8" s="127" customFormat="1" ht="24" customHeight="1">
      <c r="A49" s="122" t="s">
        <v>111</v>
      </c>
      <c r="B49" s="123" t="s">
        <v>112</v>
      </c>
      <c r="C49" s="123" t="s">
        <v>113</v>
      </c>
      <c r="D49" s="124" t="s">
        <v>114</v>
      </c>
      <c r="E49" s="123" t="s">
        <v>115</v>
      </c>
      <c r="F49" s="125" t="s">
        <v>20</v>
      </c>
      <c r="G49" s="123" t="s">
        <v>21</v>
      </c>
      <c r="H49" s="126" t="s">
        <v>116</v>
      </c>
    </row>
    <row r="50" spans="1:8" s="127" customFormat="1" ht="24" customHeight="1">
      <c r="A50" s="128"/>
      <c r="B50" s="129" t="s">
        <v>298</v>
      </c>
      <c r="C50" s="129"/>
      <c r="D50" s="130"/>
      <c r="E50" s="131"/>
      <c r="F50" s="132"/>
      <c r="G50" s="132"/>
      <c r="H50" s="139"/>
    </row>
    <row r="51" spans="1:8" s="127" customFormat="1" ht="24" customHeight="1">
      <c r="A51" s="134"/>
      <c r="B51" s="129" t="s">
        <v>301</v>
      </c>
      <c r="C51" s="135"/>
      <c r="D51" s="136"/>
      <c r="E51" s="137"/>
      <c r="F51" s="138"/>
      <c r="G51" s="138"/>
      <c r="H51" s="139"/>
    </row>
    <row r="52" spans="1:8" s="127" customFormat="1" ht="24" customHeight="1">
      <c r="A52" s="140"/>
      <c r="B52" s="135"/>
      <c r="C52" s="135"/>
      <c r="D52" s="141"/>
      <c r="E52" s="137"/>
      <c r="F52" s="132"/>
      <c r="G52" s="132"/>
      <c r="H52" s="139"/>
    </row>
    <row r="53" spans="1:8" s="127" customFormat="1" ht="24" customHeight="1">
      <c r="A53" s="128"/>
      <c r="B53" s="135" t="s">
        <v>302</v>
      </c>
      <c r="C53" s="135" t="s">
        <v>581</v>
      </c>
      <c r="D53" s="143">
        <v>1</v>
      </c>
      <c r="E53" s="137" t="s">
        <v>296</v>
      </c>
      <c r="F53" s="132"/>
      <c r="G53" s="132">
        <f t="shared" ref="G53" si="4">D53*F53</f>
        <v>0</v>
      </c>
      <c r="H53" s="133" t="s">
        <v>582</v>
      </c>
    </row>
    <row r="54" spans="1:8" s="127" customFormat="1" ht="24" customHeight="1">
      <c r="A54" s="128"/>
      <c r="B54" s="135"/>
      <c r="C54" s="135"/>
      <c r="D54" s="143"/>
      <c r="E54" s="137"/>
      <c r="F54" s="132"/>
      <c r="G54" s="132"/>
      <c r="H54" s="133"/>
    </row>
    <row r="55" spans="1:8" s="127" customFormat="1" ht="24" customHeight="1">
      <c r="A55" s="128"/>
      <c r="B55" s="129"/>
      <c r="C55" s="129"/>
      <c r="D55" s="144"/>
      <c r="E55" s="137"/>
      <c r="F55" s="132"/>
      <c r="G55" s="132"/>
      <c r="H55" s="133"/>
    </row>
    <row r="56" spans="1:8" s="127" customFormat="1" ht="24" customHeight="1">
      <c r="A56" s="128"/>
      <c r="B56" s="135"/>
      <c r="C56" s="135"/>
      <c r="D56" s="143"/>
      <c r="E56" s="137"/>
      <c r="F56" s="132"/>
      <c r="G56" s="132"/>
      <c r="H56" s="133"/>
    </row>
    <row r="57" spans="1:8" s="127" customFormat="1" ht="24" customHeight="1">
      <c r="A57" s="128"/>
      <c r="B57" s="135"/>
      <c r="C57" s="135"/>
      <c r="D57" s="143"/>
      <c r="E57" s="137"/>
      <c r="F57" s="132"/>
      <c r="G57" s="132"/>
      <c r="H57" s="133"/>
    </row>
    <row r="58" spans="1:8" s="127" customFormat="1" ht="24" customHeight="1">
      <c r="A58" s="128"/>
      <c r="B58" s="135"/>
      <c r="C58" s="135"/>
      <c r="D58" s="143"/>
      <c r="E58" s="137"/>
      <c r="F58" s="132"/>
      <c r="G58" s="132"/>
      <c r="H58" s="133"/>
    </row>
    <row r="59" spans="1:8" s="127" customFormat="1" ht="24" customHeight="1">
      <c r="A59" s="128"/>
      <c r="B59" s="135"/>
      <c r="C59" s="135"/>
      <c r="D59" s="143"/>
      <c r="E59" s="137"/>
      <c r="F59" s="132"/>
      <c r="G59" s="132"/>
      <c r="H59" s="133"/>
    </row>
    <row r="60" spans="1:8" s="127" customFormat="1" ht="24" customHeight="1">
      <c r="A60" s="128"/>
      <c r="B60" s="135"/>
      <c r="C60" s="135"/>
      <c r="D60" s="143"/>
      <c r="E60" s="137"/>
      <c r="F60" s="132"/>
      <c r="G60" s="132"/>
      <c r="H60" s="133"/>
    </row>
    <row r="61" spans="1:8" s="127" customFormat="1" ht="24" customHeight="1">
      <c r="A61" s="128"/>
      <c r="B61" s="135"/>
      <c r="C61" s="135"/>
      <c r="D61" s="143"/>
      <c r="E61" s="137"/>
      <c r="F61" s="132"/>
      <c r="G61" s="132"/>
      <c r="H61" s="133"/>
    </row>
    <row r="62" spans="1:8" s="127" customFormat="1" ht="24" customHeight="1">
      <c r="A62" s="128"/>
      <c r="B62" s="129"/>
      <c r="C62" s="129"/>
      <c r="D62" s="144"/>
      <c r="E62" s="145"/>
      <c r="F62" s="132"/>
      <c r="G62" s="132"/>
      <c r="H62" s="133"/>
    </row>
    <row r="63" spans="1:8" s="127" customFormat="1" ht="24" customHeight="1">
      <c r="A63" s="128"/>
      <c r="B63" s="129"/>
      <c r="C63" s="129"/>
      <c r="D63" s="130"/>
      <c r="E63" s="131"/>
      <c r="F63" s="132"/>
      <c r="G63" s="132"/>
      <c r="H63" s="133"/>
    </row>
    <row r="64" spans="1:8" s="127" customFormat="1" ht="24" customHeight="1">
      <c r="A64" s="128"/>
      <c r="B64" s="129"/>
      <c r="C64" s="129"/>
      <c r="D64" s="130"/>
      <c r="E64" s="131"/>
      <c r="F64" s="132"/>
      <c r="G64" s="132"/>
      <c r="H64" s="133"/>
    </row>
    <row r="65" spans="1:18" s="127" customFormat="1" ht="24" customHeight="1">
      <c r="A65" s="128"/>
      <c r="B65" s="129"/>
      <c r="C65" s="129"/>
      <c r="D65" s="130"/>
      <c r="E65" s="131"/>
      <c r="F65" s="132"/>
      <c r="G65" s="132"/>
      <c r="H65" s="133"/>
    </row>
    <row r="66" spans="1:18" s="127" customFormat="1" ht="24" customHeight="1">
      <c r="A66" s="128"/>
      <c r="B66" s="129"/>
      <c r="C66" s="129"/>
      <c r="D66" s="130"/>
      <c r="E66" s="131"/>
      <c r="F66" s="132"/>
      <c r="G66" s="132"/>
      <c r="H66" s="133"/>
    </row>
    <row r="67" spans="1:18" s="127" customFormat="1" ht="24" customHeight="1">
      <c r="A67" s="128"/>
      <c r="B67" s="129" t="s">
        <v>56</v>
      </c>
      <c r="C67" s="129"/>
      <c r="D67" s="130"/>
      <c r="E67" s="131"/>
      <c r="F67" s="132"/>
      <c r="G67" s="132">
        <f>SUM(G50:G66)</f>
        <v>0</v>
      </c>
      <c r="H67" s="133"/>
    </row>
    <row r="68" spans="1:18" s="127" customFormat="1" ht="24" customHeight="1">
      <c r="A68" s="128"/>
      <c r="B68" s="129" t="s">
        <v>119</v>
      </c>
      <c r="C68" s="129"/>
      <c r="D68" s="130"/>
      <c r="E68" s="131"/>
      <c r="F68" s="132"/>
      <c r="G68" s="132">
        <v>-30</v>
      </c>
      <c r="H68" s="133"/>
    </row>
    <row r="69" spans="1:18" s="127" customFormat="1" ht="24" customHeight="1">
      <c r="A69" s="146"/>
      <c r="B69" s="147" t="s">
        <v>120</v>
      </c>
      <c r="C69" s="147"/>
      <c r="D69" s="148"/>
      <c r="E69" s="149"/>
      <c r="F69" s="150"/>
      <c r="G69" s="150">
        <f>ROUNDDOWN(G67+G68,-2)</f>
        <v>0</v>
      </c>
      <c r="H69" s="151"/>
    </row>
    <row r="70" spans="1:18" s="117" customFormat="1" ht="12" customHeight="1">
      <c r="A70" s="709" t="s">
        <v>299</v>
      </c>
      <c r="B70" s="709"/>
      <c r="C70" s="115" t="s">
        <v>257</v>
      </c>
      <c r="D70" s="116"/>
      <c r="E70" s="116"/>
      <c r="G70" s="116"/>
      <c r="H70" s="116"/>
      <c r="I70" s="118"/>
      <c r="K70" s="119"/>
      <c r="L70" s="120"/>
      <c r="M70" s="119"/>
      <c r="N70" s="119"/>
      <c r="O70" s="119"/>
      <c r="P70" s="119"/>
      <c r="Q70" s="119"/>
      <c r="R70" s="119"/>
    </row>
    <row r="71" spans="1:18" s="117" customFormat="1" ht="12" customHeight="1">
      <c r="A71" s="121"/>
      <c r="B71" s="121"/>
      <c r="C71" s="121" t="str">
        <f>C48</f>
        <v>大藪小学校屋内運動場空調設備設置工事</v>
      </c>
      <c r="D71" s="114"/>
      <c r="E71" s="114"/>
      <c r="F71" s="121"/>
      <c r="G71" s="114"/>
      <c r="H71" s="216" t="s">
        <v>285</v>
      </c>
      <c r="I71" s="118"/>
      <c r="K71" s="119"/>
      <c r="L71" s="120"/>
      <c r="M71" s="119"/>
      <c r="N71" s="119"/>
      <c r="O71" s="119"/>
      <c r="P71" s="119"/>
      <c r="Q71" s="119"/>
      <c r="R71" s="119"/>
    </row>
    <row r="72" spans="1:18" s="127" customFormat="1" ht="24" customHeight="1">
      <c r="A72" s="122" t="s">
        <v>111</v>
      </c>
      <c r="B72" s="123" t="s">
        <v>112</v>
      </c>
      <c r="C72" s="123" t="s">
        <v>113</v>
      </c>
      <c r="D72" s="124" t="s">
        <v>114</v>
      </c>
      <c r="E72" s="123" t="s">
        <v>115</v>
      </c>
      <c r="F72" s="125" t="s">
        <v>20</v>
      </c>
      <c r="G72" s="123" t="s">
        <v>21</v>
      </c>
      <c r="H72" s="126" t="s">
        <v>116</v>
      </c>
    </row>
    <row r="73" spans="1:18" s="127" customFormat="1" ht="24" customHeight="1">
      <c r="A73" s="128"/>
      <c r="B73" s="129" t="s">
        <v>300</v>
      </c>
      <c r="C73" s="129"/>
      <c r="D73" s="130"/>
      <c r="E73" s="131"/>
      <c r="F73" s="132"/>
      <c r="G73" s="132"/>
      <c r="H73" s="139"/>
    </row>
    <row r="74" spans="1:18" s="127" customFormat="1" ht="24" customHeight="1">
      <c r="A74" s="134"/>
      <c r="B74" s="129" t="s">
        <v>544</v>
      </c>
      <c r="C74" s="135"/>
      <c r="D74" s="136"/>
      <c r="E74" s="137"/>
      <c r="F74" s="138"/>
      <c r="G74" s="138"/>
      <c r="H74" s="139"/>
    </row>
    <row r="75" spans="1:18" s="127" customFormat="1" ht="24" customHeight="1">
      <c r="A75" s="140"/>
      <c r="B75" s="135"/>
      <c r="C75" s="135"/>
      <c r="D75" s="141"/>
      <c r="E75" s="137"/>
      <c r="F75" s="132"/>
      <c r="G75" s="132"/>
      <c r="H75" s="139"/>
    </row>
    <row r="76" spans="1:18" s="127" customFormat="1" ht="24" customHeight="1">
      <c r="A76" s="128"/>
      <c r="B76" s="135" t="s">
        <v>546</v>
      </c>
      <c r="C76" s="135" t="s">
        <v>452</v>
      </c>
      <c r="D76" s="144"/>
      <c r="E76" s="137" t="s">
        <v>545</v>
      </c>
      <c r="F76" s="132"/>
      <c r="G76" s="132">
        <f t="shared" ref="G76:G77" si="5">D76*F76</f>
        <v>0</v>
      </c>
      <c r="H76" s="133" t="s">
        <v>555</v>
      </c>
    </row>
    <row r="77" spans="1:18" s="127" customFormat="1" ht="24" customHeight="1">
      <c r="A77" s="128"/>
      <c r="B77" s="135" t="s">
        <v>547</v>
      </c>
      <c r="C77" s="135" t="s">
        <v>452</v>
      </c>
      <c r="D77" s="144"/>
      <c r="E77" s="137" t="s">
        <v>545</v>
      </c>
      <c r="F77" s="132"/>
      <c r="G77" s="132">
        <f t="shared" si="5"/>
        <v>0</v>
      </c>
      <c r="H77" s="133" t="s">
        <v>555</v>
      </c>
    </row>
    <row r="78" spans="1:18" s="127" customFormat="1" ht="24" customHeight="1">
      <c r="A78" s="128"/>
      <c r="B78" s="129"/>
      <c r="C78" s="129"/>
      <c r="D78" s="144"/>
      <c r="E78" s="137"/>
      <c r="F78" s="132"/>
      <c r="G78" s="132"/>
      <c r="H78" s="133"/>
    </row>
    <row r="79" spans="1:18" s="127" customFormat="1" ht="24" customHeight="1">
      <c r="A79" s="128"/>
      <c r="B79" s="135"/>
      <c r="C79" s="135"/>
      <c r="D79" s="143"/>
      <c r="E79" s="137"/>
      <c r="F79" s="132"/>
      <c r="G79" s="132"/>
      <c r="H79" s="133"/>
    </row>
    <row r="80" spans="1:18" s="127" customFormat="1" ht="24" customHeight="1">
      <c r="A80" s="128"/>
      <c r="B80" s="135"/>
      <c r="C80" s="135"/>
      <c r="D80" s="143"/>
      <c r="E80" s="137"/>
      <c r="F80" s="132"/>
      <c r="G80" s="132"/>
      <c r="H80" s="133"/>
    </row>
    <row r="81" spans="1:8" s="127" customFormat="1" ht="24" customHeight="1">
      <c r="A81" s="128"/>
      <c r="B81" s="135"/>
      <c r="C81" s="135"/>
      <c r="D81" s="143"/>
      <c r="E81" s="137"/>
      <c r="F81" s="132"/>
      <c r="G81" s="132"/>
      <c r="H81" s="133"/>
    </row>
    <row r="82" spans="1:8" s="127" customFormat="1" ht="24" customHeight="1">
      <c r="A82" s="128"/>
      <c r="B82" s="135"/>
      <c r="C82" s="135"/>
      <c r="D82" s="143"/>
      <c r="E82" s="137"/>
      <c r="F82" s="132"/>
      <c r="G82" s="132"/>
      <c r="H82" s="133"/>
    </row>
    <row r="83" spans="1:8" s="127" customFormat="1" ht="24" customHeight="1">
      <c r="A83" s="128"/>
      <c r="B83" s="135"/>
      <c r="C83" s="135"/>
      <c r="D83" s="143"/>
      <c r="E83" s="137"/>
      <c r="F83" s="132"/>
      <c r="G83" s="132"/>
      <c r="H83" s="133"/>
    </row>
    <row r="84" spans="1:8" s="127" customFormat="1" ht="24" customHeight="1">
      <c r="A84" s="128"/>
      <c r="B84" s="135"/>
      <c r="C84" s="135"/>
      <c r="D84" s="143"/>
      <c r="E84" s="137"/>
      <c r="F84" s="132"/>
      <c r="G84" s="132"/>
      <c r="H84" s="133"/>
    </row>
    <row r="85" spans="1:8" s="127" customFormat="1" ht="24" customHeight="1">
      <c r="A85" s="128"/>
      <c r="B85" s="129"/>
      <c r="C85" s="129"/>
      <c r="D85" s="144"/>
      <c r="E85" s="145"/>
      <c r="F85" s="132"/>
      <c r="G85" s="132"/>
      <c r="H85" s="133"/>
    </row>
    <row r="86" spans="1:8" s="127" customFormat="1" ht="24" customHeight="1">
      <c r="A86" s="128"/>
      <c r="B86" s="129"/>
      <c r="C86" s="129"/>
      <c r="D86" s="130"/>
      <c r="E86" s="131"/>
      <c r="F86" s="132"/>
      <c r="G86" s="132"/>
      <c r="H86" s="133"/>
    </row>
    <row r="87" spans="1:8" s="127" customFormat="1" ht="24" customHeight="1">
      <c r="A87" s="128"/>
      <c r="B87" s="129"/>
      <c r="C87" s="129"/>
      <c r="D87" s="130"/>
      <c r="E87" s="131"/>
      <c r="F87" s="132"/>
      <c r="G87" s="132"/>
      <c r="H87" s="133"/>
    </row>
    <row r="88" spans="1:8" s="127" customFormat="1" ht="24" customHeight="1">
      <c r="A88" s="128"/>
      <c r="B88" s="129"/>
      <c r="C88" s="129"/>
      <c r="D88" s="130"/>
      <c r="E88" s="131"/>
      <c r="F88" s="132"/>
      <c r="G88" s="132"/>
      <c r="H88" s="133"/>
    </row>
    <row r="89" spans="1:8" s="127" customFormat="1" ht="24" customHeight="1">
      <c r="A89" s="128"/>
      <c r="B89" s="129"/>
      <c r="C89" s="129"/>
      <c r="D89" s="130"/>
      <c r="E89" s="131"/>
      <c r="F89" s="132"/>
      <c r="G89" s="132"/>
      <c r="H89" s="133"/>
    </row>
    <row r="90" spans="1:8" s="127" customFormat="1" ht="24" customHeight="1">
      <c r="A90" s="128"/>
      <c r="B90" s="129" t="s">
        <v>56</v>
      </c>
      <c r="C90" s="129"/>
      <c r="D90" s="130"/>
      <c r="E90" s="131"/>
      <c r="F90" s="132"/>
      <c r="G90" s="132">
        <f>SUM(G73:G89)</f>
        <v>0</v>
      </c>
      <c r="H90" s="133"/>
    </row>
    <row r="91" spans="1:8" s="127" customFormat="1" ht="24" customHeight="1">
      <c r="A91" s="128"/>
      <c r="B91" s="129" t="s">
        <v>119</v>
      </c>
      <c r="C91" s="129"/>
      <c r="D91" s="130"/>
      <c r="E91" s="131"/>
      <c r="F91" s="132"/>
      <c r="G91" s="132">
        <v>-348</v>
      </c>
      <c r="H91" s="133"/>
    </row>
    <row r="92" spans="1:8" s="127" customFormat="1" ht="24" customHeight="1">
      <c r="A92" s="146"/>
      <c r="B92" s="147" t="s">
        <v>120</v>
      </c>
      <c r="C92" s="147"/>
      <c r="D92" s="148"/>
      <c r="E92" s="149"/>
      <c r="F92" s="150"/>
      <c r="G92" s="150">
        <f>ROUNDDOWN(G90+G91,-2)</f>
        <v>-300</v>
      </c>
      <c r="H92" s="151"/>
    </row>
  </sheetData>
  <mergeCells count="4">
    <mergeCell ref="A1:B1"/>
    <mergeCell ref="A24:B24"/>
    <mergeCell ref="A47:B47"/>
    <mergeCell ref="A70:B70"/>
  </mergeCells>
  <phoneticPr fontId="48"/>
  <dataValidations count="1">
    <dataValidation imeMode="hiragana" allowBlank="1" showInputMessage="1" showErrorMessage="1" sqref="JA18:JA19 SW18:SW19 ACS18:ACS19 AMO18:AMO19 AWK18:AWK19 BGG18:BGG19 BQC18:BQC19 BZY18:BZY19 CJU18:CJU19 CTQ18:CTQ19 DDM18:DDM19 DNI18:DNI19 DXE18:DXE19 EHA18:EHA19 EQW18:EQW19 FAS18:FAS19 FKO18:FKO19 FUK18:FUK19 GEG18:GEG19 GOC18:GOC19 GXY18:GXY19 HHU18:HHU19 HRQ18:HRQ19 IBM18:IBM19 ILI18:ILI19 IVE18:IVE19 JFA18:JFA19 JOW18:JOW19 JYS18:JYS19 KIO18:KIO19 KSK18:KSK19 LCG18:LCG19 LMC18:LMC19 LVY18:LVY19 MFU18:MFU19 MPQ18:MPQ19 MZM18:MZM19 NJI18:NJI19 NTE18:NTE19 ODA18:ODA19 OMW18:OMW19 OWS18:OWS19 PGO18:PGO19 PQK18:PQK19 QAG18:QAG19 QKC18:QKC19 QTY18:QTY19 RDU18:RDU19 RNQ18:RNQ19 RXM18:RXM19 SHI18:SHI19 SRE18:SRE19 TBA18:TBA19 TKW18:TKW19 TUS18:TUS19 UEO18:UEO19 UOK18:UOK19 UYG18:UYG19 VIC18:VIC19 VRY18:VRY19 WBU18:WBU19 WLQ18:WLQ19 WVM18:WVM19 SW16 ACS16 AMO16 AWK16 BGG16 BQC16 BZY16 CJU16 CTQ16 DDM16 DNI16 DXE16 EHA16 EQW16 FAS16 FKO16 FUK16 GEG16 GOC16 GXY16 HHU16 HRQ16 IBM16 ILI16 IVE16 JFA16 JOW16 JYS16 KIO16 KSK16 LCG16 LMC16 LVY16 MFU16 MPQ16 MZM16 NJI16 NTE16 ODA16 OMW16 OWS16 PGO16 PQK16 QAG16 QKC16 QTY16 RDU16 RNQ16 RXM16 SHI16 SRE16 TBA16 TKW16 TUS16 UEO16 UOK16 UYG16 VIC16 VRY16 WBU16 WLQ16 WVM16 IY16 SU16 ACQ16 AMM16 AWI16 BGE16 BQA16 BZW16 CJS16 CTO16 DDK16 DNG16 DXC16 EGY16 EQU16 FAQ16 FKM16 FUI16 GEE16 GOA16 GXW16 HHS16 HRO16 IBK16 ILG16 IVC16 JEY16 JOU16 JYQ16 KIM16 KSI16 LCE16 LMA16 LVW16 MFS16 MPO16 MZK16 NJG16 NTC16 OCY16 OMU16 OWQ16 PGM16 PQI16 QAE16 QKA16 QTW16 RDS16 RNO16 RXK16 SHG16 SRC16 TAY16 TKU16 TUQ16 UEM16 UOI16 UYE16 VIA16 VRW16 WBS16 WLO16 WVK16 C16:C19 IY18:IY19 SU18:SU19 ACQ18:ACQ19 AMM18:AMM19 AWI18:AWI19 BGE18:BGE19 BQA18:BQA19 BZW18:BZW19 CJS18:CJS19 CTO18:CTO19 DDK18:DDK19 DNG18:DNG19 DXC18:DXC19 EGY18:EGY19 EQU18:EQU19 FAQ18:FAQ19 FKM18:FKM19 FUI18:FUI19 GEE18:GEE19 GOA18:GOA19 GXW18:GXW19 HHS18:HHS19 HRO18:HRO19 IBK18:IBK19 ILG18:ILG19 IVC18:IVC19 JEY18:JEY19 JOU18:JOU19 JYQ18:JYQ19 KIM18:KIM19 KSI18:KSI19 LCE18:LCE19 LMA18:LMA19 LVW18:LVW19 MFS18:MFS19 MPO18:MPO19 MZK18:MZK19 NJG18:NJG19 NTC18:NTC19 OCY18:OCY19 OMU18:OMU19 OWQ18:OWQ19 PGM18:PGM19 PQI18:PQI19 QAE18:QAE19 QKA18:QKA19 QTW18:QTW19 RDS18:RDS19 RNO18:RNO19 RXK18:RXK19 SHG18:SHG19 SRC18:SRC19 TAY18:TAY19 TKU18:TKU19 TUQ18:TUQ19 UEM18:UEM19 UOI18:UOI19 UYE18:UYE19 VIA18:VIA19 VRW18:VRW19 WBS18:WBS19 WLO18:WLO19 WVK18:WVK19 E16:E19 JA16 ACS78:ACS84 AMO32:AMO38 AWK32:AWK38 BGG32:BGG38 BQC32:BQC38 BZY32:BZY38 CJU32:CJU38 CTQ32:CTQ38 DDM32:DDM38 DNI32:DNI38 DXE32:DXE38 EHA32:EHA38 EQW32:EQW38 FAS32:FAS38 FKO32:FKO38 FUK32:FUK38 GEG32:GEG38 GOC32:GOC38 GXY32:GXY38 HHU32:HHU38 HRQ32:HRQ38 IBM32:IBM38 ILI32:ILI38 IVE32:IVE38 JFA32:JFA38 JOW32:JOW38 JYS32:JYS38 KIO32:KIO38 KSK32:KSK38 LCG32:LCG38 LMC32:LMC38 LVY32:LVY38 MFU32:MFU38 MPQ32:MPQ38 MZM32:MZM38 NJI32:NJI38 NTE32:NTE38 ODA32:ODA38 OMW32:OMW38 OWS32:OWS38 PGO32:PGO38 PQK32:PQK38 QAG32:QAG38 QKC32:QKC38 QTY32:QTY38 RDU32:RDU38 RNQ32:RNQ38 RXM32:RXM38 SHI32:SHI38 SRE32:SRE38 TBA32:TBA38 TKW32:TKW38 TUS32:TUS38 UEO32:UEO38 UOK32:UOK38 UYG32:UYG38 VIC32:VIC38 VRY32:VRY38 WBU32:WBU38 WLQ32:WLQ38 WVM32:WVM38 IY32:IY38 SU32:SU38 ACQ32:ACQ38 AMM32:AMM38 AWI32:AWI38 BGE32:BGE38 BQA32:BQA38 BZW32:BZW38 CJS32:CJS38 CTO32:CTO38 DDK32:DDK38 DNG32:DNG38 DXC32:DXC38 EGY32:EGY38 EQU32:EQU38 FAQ32:FAQ38 FKM32:FKM38 FUI32:FUI38 GEE32:GEE38 GOA32:GOA38 GXW32:GXW38 HHS32:HHS38 HRO32:HRO38 IBK32:IBK38 ILG32:ILG38 IVC32:IVC38 JEY32:JEY38 JOU32:JOU38 JYQ32:JYQ38 KIM32:KIM38 KSI32:KSI38 LCE32:LCE38 LMA32:LMA38 LVW32:LVW38 MFS32:MFS38 MPO32:MPO38 MZK32:MZK38 NJG32:NJG38 NTC32:NTC38 OCY32:OCY38 OMU32:OMU38 OWQ32:OWQ38 PGM32:PGM38 PQI32:PQI38 QAE32:QAE38 QKA32:QKA38 QTW32:QTW38 RDS32:RDS38 RNO32:RNO38 RXK32:RXK38 SHG32:SHG38 SRC32:SRC38 TAY32:TAY38 TKU32:TKU38 TUQ32:TUQ38 UEM32:UEM38 UOI32:UOI38 UYE32:UYE38 VIA32:VIA38 VRW32:VRW38 WBS32:WBS38 WLO32:WLO38 WVK32:WVK38 E28:E38 JA32:JA38 SW32:SW38 C28:C29 C31 WVK28:WVK30 WLO28:WLO30 WBS28:WBS30 VRW28:VRW30 VIA28:VIA30 UYE28:UYE30 UOI28:UOI30 UEM28:UEM30 TUQ28:TUQ30 TKU28:TKU30 TAY28:TAY30 SRC28:SRC30 SHG28:SHG30 RXK28:RXK30 RNO28:RNO30 RDS28:RDS30 QTW28:QTW30 QKA28:QKA30 QAE28:QAE30 PQI28:PQI30 PGM28:PGM30 OWQ28:OWQ30 OMU28:OMU30 OCY28:OCY30 NTC28:NTC30 NJG28:NJG30 MZK28:MZK30 MPO28:MPO30 MFS28:MFS30 LVW28:LVW30 LMA28:LMA30 LCE28:LCE30 KSI28:KSI30 KIM28:KIM30 JYQ28:JYQ30 JOU28:JOU30 JEY28:JEY30 IVC28:IVC30 ILG28:ILG30 IBK28:IBK30 HRO28:HRO30 HHS28:HHS30 GXW28:GXW30 GOA28:GOA30 GEE28:GEE30 FUI28:FUI30 FKM28:FKM30 FAQ28:FAQ30 EQU28:EQU30 EGY28:EGY30 DXC28:DXC30 DNG28:DNG30 DDK28:DDK30 CTO28:CTO30 CJS28:CJS30 BZW28:BZW30 BQA28:BQA30 BGE28:BGE30 AWI28:AWI30 AMM28:AMM30 ACQ28:ACQ30 SU28:SU30 IY28:IY30 WVM28:WVM30 WLQ28:WLQ30 WBU28:WBU30 VRY28:VRY30 VIC28:VIC30 UYG28:UYG30 UOK28:UOK30 UEO28:UEO30 TUS28:TUS30 TKW28:TKW30 TBA28:TBA30 SRE28:SRE30 SHI28:SHI30 RXM28:RXM30 RNQ28:RNQ30 RDU28:RDU30 QTY28:QTY30 QKC28:QKC30 QAG28:QAG30 PQK28:PQK30 PGO28:PGO30 OWS28:OWS30 OMW28:OMW30 ODA28:ODA30 NTE28:NTE30 NJI28:NJI30 MZM28:MZM30 MPQ28:MPQ30 MFU28:MFU30 LVY28:LVY30 LMC28:LMC30 LCG28:LCG30 KSK28:KSK30 KIO28:KIO30 JYS28:JYS30 JOW28:JOW30 JFA28:JFA30 IVE28:IVE30 ILI28:ILI30 IBM28:IBM30 HRQ28:HRQ30 HHU28:HHU30 GXY28:GXY30 GOC28:GOC30 GEG28:GEG30 FUK28:FUK30 FKO28:FKO30 FAS28:FAS30 EQW28:EQW30 EHA28:EHA30 DXE28:DXE30 DNI28:DNI30 DDM28:DDM30 CTQ28:CTQ30 CJU28:CJU30 BZY28:BZY30 BQC28:BQC30 BGG28:BGG30 AWK28:AWK30 AMO28:AMO30 ACS28:ACS30 SW28:SW30 JA28:JA30 C33 ACS32:ACS38 C35:C38 AMO55:AMO61 AWK55:AWK61 BGG55:BGG61 BQC55:BQC61 BZY55:BZY61 CJU55:CJU61 CTQ55:CTQ61 DDM55:DDM61 DNI55:DNI61 DXE55:DXE61 EHA55:EHA61 EQW55:EQW61 FAS55:FAS61 FKO55:FKO61 FUK55:FUK61 GEG55:GEG61 GOC55:GOC61 GXY55:GXY61 HHU55:HHU61 HRQ55:HRQ61 IBM55:IBM61 ILI55:ILI61 IVE55:IVE61 JFA55:JFA61 JOW55:JOW61 JYS55:JYS61 KIO55:KIO61 KSK55:KSK61 LCG55:LCG61 LMC55:LMC61 LVY55:LVY61 MFU55:MFU61 MPQ55:MPQ61 MZM55:MZM61 NJI55:NJI61 NTE55:NTE61 ODA55:ODA61 OMW55:OMW61 OWS55:OWS61 PGO55:PGO61 PQK55:PQK61 QAG55:QAG61 QKC55:QKC61 QTY55:QTY61 RDU55:RDU61 RNQ55:RNQ61 RXM55:RXM61 SHI55:SHI61 SRE55:SRE61 TBA55:TBA61 TKW55:TKW61 TUS55:TUS61 UEO55:UEO61 UOK55:UOK61 UYG55:UYG61 VIC55:VIC61 VRY55:VRY61 WBU55:WBU61 WLQ55:WLQ61 WVM55:WVM61 IY55:IY61 SU55:SU61 ACQ55:ACQ61 AMM55:AMM61 AWI55:AWI61 BGE55:BGE61 BQA55:BQA61 BZW55:BZW61 CJS55:CJS61 CTO55:CTO61 DDK55:DDK61 DNG55:DNG61 DXC55:DXC61 EGY55:EGY61 EQU55:EQU61 FAQ55:FAQ61 FKM55:FKM61 FUI55:FUI61 GEE55:GEE61 GOA55:GOA61 GXW55:GXW61 HHS55:HHS61 HRO55:HRO61 IBK55:IBK61 ILG55:ILG61 IVC55:IVC61 JEY55:JEY61 JOU55:JOU61 JYQ55:JYQ61 KIM55:KIM61 KSI55:KSI61 LCE55:LCE61 LMA55:LMA61 LVW55:LVW61 MFS55:MFS61 MPO55:MPO61 MZK55:MZK61 NJG55:NJG61 NTC55:NTC61 OCY55:OCY61 OMU55:OMU61 OWQ55:OWQ61 PGM55:PGM61 PQI55:PQI61 QAE55:QAE61 QKA55:QKA61 QTW55:QTW61 RDS55:RDS61 RNO55:RNO61 RXK55:RXK61 SHG55:SHG61 SRC55:SRC61 TAY55:TAY61 TKU55:TKU61 TUQ55:TUQ61 UEM55:UEM61 UOI55:UOI61 UYE55:UYE61 VIA55:VIA61 VRW55:VRW61 WBS55:WBS61 WLO55:WLO61 WVK55:WVK61 E51:E61 JA55:JA61 SW55:SW61 C51:C52 C54 WVK51:WVK53 WLO51:WLO53 WBS51:WBS53 VRW51:VRW53 VIA51:VIA53 UYE51:UYE53 UOI51:UOI53 UEM51:UEM53 TUQ51:TUQ53 TKU51:TKU53 TAY51:TAY53 SRC51:SRC53 SHG51:SHG53 RXK51:RXK53 RNO51:RNO53 RDS51:RDS53 QTW51:QTW53 QKA51:QKA53 QAE51:QAE53 PQI51:PQI53 PGM51:PGM53 OWQ51:OWQ53 OMU51:OMU53 OCY51:OCY53 NTC51:NTC53 NJG51:NJG53 MZK51:MZK53 MPO51:MPO53 MFS51:MFS53 LVW51:LVW53 LMA51:LMA53 LCE51:LCE53 KSI51:KSI53 KIM51:KIM53 JYQ51:JYQ53 JOU51:JOU53 JEY51:JEY53 IVC51:IVC53 ILG51:ILG53 IBK51:IBK53 HRO51:HRO53 HHS51:HHS53 GXW51:GXW53 GOA51:GOA53 GEE51:GEE53 FUI51:FUI53 FKM51:FKM53 FAQ51:FAQ53 EQU51:EQU53 EGY51:EGY53 DXC51:DXC53 DNG51:DNG53 DDK51:DDK53 CTO51:CTO53 CJS51:CJS53 BZW51:BZW53 BQA51:BQA53 BGE51:BGE53 AWI51:AWI53 AMM51:AMM53 ACQ51:ACQ53 SU51:SU53 IY51:IY53 WVM51:WVM53 WLQ51:WLQ53 WBU51:WBU53 VRY51:VRY53 VIC51:VIC53 UYG51:UYG53 UOK51:UOK53 UEO51:UEO53 TUS51:TUS53 TKW51:TKW53 TBA51:TBA53 SRE51:SRE53 SHI51:SHI53 RXM51:RXM53 RNQ51:RNQ53 RDU51:RDU53 QTY51:QTY53 QKC51:QKC53 QAG51:QAG53 PQK51:PQK53 PGO51:PGO53 OWS51:OWS53 OMW51:OMW53 ODA51:ODA53 NTE51:NTE53 NJI51:NJI53 MZM51:MZM53 MPQ51:MPQ53 MFU51:MFU53 LVY51:LVY53 LMC51:LMC53 LCG51:LCG53 KSK51:KSK53 KIO51:KIO53 JYS51:JYS53 JOW51:JOW53 JFA51:JFA53 IVE51:IVE53 ILI51:ILI53 IBM51:IBM53 HRQ51:HRQ53 HHU51:HHU53 GXY51:GXY53 GOC51:GOC53 GEG51:GEG53 FUK51:FUK53 FKO51:FKO53 FAS51:FAS53 EQW51:EQW53 EHA51:EHA53 DXE51:DXE53 DNI51:DNI53 DDM51:DDM53 CTQ51:CTQ53 CJU51:CJU53 BZY51:BZY53 BQC51:BQC53 BGG51:BGG53 AWK51:AWK53 AMO51:AMO53 ACS51:ACS53 SW51:SW53 JA51:JA53 C56 ACS55:ACS61 C58:C61 AMO78:AMO84 AWK78:AWK84 BGG78:BGG84 BQC78:BQC84 BZY78:BZY84 CJU78:CJU84 CTQ78:CTQ84 DDM78:DDM84 DNI78:DNI84 DXE78:DXE84 EHA78:EHA84 EQW78:EQW84 FAS78:FAS84 FKO78:FKO84 FUK78:FUK84 GEG78:GEG84 GOC78:GOC84 GXY78:GXY84 HHU78:HHU84 HRQ78:HRQ84 IBM78:IBM84 ILI78:ILI84 IVE78:IVE84 JFA78:JFA84 JOW78:JOW84 JYS78:JYS84 KIO78:KIO84 KSK78:KSK84 LCG78:LCG84 LMC78:LMC84 LVY78:LVY84 MFU78:MFU84 MPQ78:MPQ84 MZM78:MZM84 NJI78:NJI84 NTE78:NTE84 ODA78:ODA84 OMW78:OMW84 OWS78:OWS84 PGO78:PGO84 PQK78:PQK84 QAG78:QAG84 QKC78:QKC84 QTY78:QTY84 RDU78:RDU84 RNQ78:RNQ84 RXM78:RXM84 SHI78:SHI84 SRE78:SRE84 TBA78:TBA84 TKW78:TKW84 TUS78:TUS84 UEO78:UEO84 UOK78:UOK84 UYG78:UYG84 VIC78:VIC84 VRY78:VRY84 WBU78:WBU84 WLQ78:WLQ84 WVM78:WVM84 IY78:IY84 SU78:SU84 ACQ78:ACQ84 AMM78:AMM84 AWI78:AWI84 BGE78:BGE84 BQA78:BQA84 BZW78:BZW84 CJS78:CJS84 CTO78:CTO84 DDK78:DDK84 DNG78:DNG84 DXC78:DXC84 EGY78:EGY84 EQU78:EQU84 FAQ78:FAQ84 FKM78:FKM84 FUI78:FUI84 GEE78:GEE84 GOA78:GOA84 GXW78:GXW84 HHS78:HHS84 HRO78:HRO84 IBK78:IBK84 ILG78:ILG84 IVC78:IVC84 JEY78:JEY84 JOU78:JOU84 JYQ78:JYQ84 KIM78:KIM84 KSI78:KSI84 LCE78:LCE84 LMA78:LMA84 LVW78:LVW84 MFS78:MFS84 MPO78:MPO84 MZK78:MZK84 NJG78:NJG84 NTC78:NTC84 OCY78:OCY84 OMU78:OMU84 OWQ78:OWQ84 PGM78:PGM84 PQI78:PQI84 QAE78:QAE84 QKA78:QKA84 QTW78:QTW84 RDS78:RDS84 RNO78:RNO84 RXK78:RXK84 SHG78:SHG84 SRC78:SRC84 TAY78:TAY84 TKU78:TKU84 TUQ78:TUQ84 UEM78:UEM84 UOI78:UOI84 UYE78:UYE84 VIA78:VIA84 VRW78:VRW84 WBS78:WBS84 WLO78:WLO84 WVK78:WVK84 C81:C84 JA78:JA84 SW78:SW84 C74:C75 E74:E84 WVK74:WVK76 WLO74:WLO76 WBS74:WBS76 VRW74:VRW76 VIA74:VIA76 UYE74:UYE76 UOI74:UOI76 UEM74:UEM76 TUQ74:TUQ76 TKU74:TKU76 TAY74:TAY76 SRC74:SRC76 SHG74:SHG76 RXK74:RXK76 RNO74:RNO76 RDS74:RDS76 QTW74:QTW76 QKA74:QKA76 QAE74:QAE76 PQI74:PQI76 PGM74:PGM76 OWQ74:OWQ76 OMU74:OMU76 OCY74:OCY76 NTC74:NTC76 NJG74:NJG76 MZK74:MZK76 MPO74:MPO76 MFS74:MFS76 LVW74:LVW76 LMA74:LMA76 LCE74:LCE76 KSI74:KSI76 KIM74:KIM76 JYQ74:JYQ76 JOU74:JOU76 JEY74:JEY76 IVC74:IVC76 ILG74:ILG76 IBK74:IBK76 HRO74:HRO76 HHS74:HHS76 GXW74:GXW76 GOA74:GOA76 GEE74:GEE76 FUI74:FUI76 FKM74:FKM76 FAQ74:FAQ76 EQU74:EQU76 EGY74:EGY76 DXC74:DXC76 DNG74:DNG76 DDK74:DDK76 CTO74:CTO76 CJS74:CJS76 BZW74:BZW76 BQA74:BQA76 BGE74:BGE76 AWI74:AWI76 AMM74:AMM76 ACQ74:ACQ76 SU74:SU76 IY74:IY76 WVM74:WVM76 WLQ74:WLQ76 WBU74:WBU76 VRY74:VRY76 VIC74:VIC76 UYG74:UYG76 UOK74:UOK76 UEO74:UEO76 TUS74:TUS76 TKW74:TKW76 TBA74:TBA76 SRE74:SRE76 SHI74:SHI76 RXM74:RXM76 RNQ74:RNQ76 RDU74:RDU76 QTY74:QTY76 QKC74:QKC76 QAG74:QAG76 PQK74:PQK76 PGO74:PGO76 OWS74:OWS76 OMW74:OMW76 ODA74:ODA76 NTE74:NTE76 NJI74:NJI76 MZM74:MZM76 MPQ74:MPQ76 MFU74:MFU76 LVY74:LVY76 LMC74:LMC76 LCG74:LCG76 KSK74:KSK76 KIO74:KIO76 JYS74:JYS76 JOW74:JOW76 JFA74:JFA76 IVE74:IVE76 ILI74:ILI76 IBM74:IBM76 HRQ74:HRQ76 HHU74:HHU76 GXY74:GXY76 GOC74:GOC76 GEG74:GEG76 FUK74:FUK76 FKO74:FKO76 FAS74:FAS76 EQW74:EQW76 EHA74:EHA76 DXE74:DXE76 DNI74:DNI76 DDM74:DDM76 CTQ74:CTQ76 CJU74:CJU76 BZY74:BZY76 BQC74:BQC76 BGG74:BGG76 AWK74:AWK76 AMO74:AMO76 ACS74:ACS76 SW74:SW76 JA74:JA76 C79 WLO5:WLO14 WBS5:WBS14 VRW5:VRW14 VIA5:VIA14 UYE5:UYE14 UOI5:UOI14 UEM5:UEM14 TUQ5:TUQ14 TKU5:TKU14 TAY5:TAY14 SRC5:SRC14 SHG5:SHG14 RXK5:RXK14 RNO5:RNO14 RDS5:RDS14 QTW5:QTW14 QKA5:QKA14 QAE5:QAE14 PQI5:PQI14 PGM5:PGM14 OWQ5:OWQ14 OMU5:OMU14 OCY5:OCY14 NTC5:NTC14 NJG5:NJG14 MZK5:MZK14 MPO5:MPO14 MFS5:MFS14 LVW5:LVW14 LMA5:LMA14 LCE5:LCE14 KSI5:KSI14 KIM5:KIM14 JYQ5:JYQ14 JOU5:JOU14 JEY5:JEY14 IVC5:IVC14 ILG5:ILG14 IBK5:IBK14 HRO5:HRO14 HHS5:HHS14 GXW5:GXW14 GOA5:GOA14 GEE5:GEE14 FUI5:FUI14 FKM5:FKM14 FAQ5:FAQ14 EQU5:EQU14 EGY5:EGY14 DXC5:DXC14 DNG5:DNG14 DDK5:DDK14 CTO5:CTO14 CJS5:CJS14 BZW5:BZW14 BQA5:BQA14 BGE5:BGE14 AWI5:AWI14 AMM5:AMM14 ACQ5:ACQ14 SU5:SU14 IY5:IY14 E5:E14 C5:C14 WVM5:WVM14 WLQ5:WLQ14 WBU5:WBU14 VRY5:VRY14 VIC5:VIC14 UYG5:UYG14 UOK5:UOK14 UEO5:UEO14 TUS5:TUS14 TKW5:TKW14 TBA5:TBA14 SRE5:SRE14 SHI5:SHI14 RXM5:RXM14 RNQ5:RNQ14 RDU5:RDU14 QTY5:QTY14 QKC5:QKC14 QAG5:QAG14 PQK5:PQK14 PGO5:PGO14 OWS5:OWS14 OMW5:OMW14 ODA5:ODA14 NTE5:NTE14 NJI5:NJI14 MZM5:MZM14 MPQ5:MPQ14 MFU5:MFU14 LVY5:LVY14 LMC5:LMC14 LCG5:LCG14 KSK5:KSK14 KIO5:KIO14 JYS5:JYS14 JOW5:JOW14 JFA5:JFA14 IVE5:IVE14 ILI5:ILI14 IBM5:IBM14 HRQ5:HRQ14 HHU5:HHU14 GXY5:GXY14 GOC5:GOC14 GEG5:GEG14 FUK5:FUK14 FKO5:FKO14 FAS5:FAS14 EQW5:EQW14 EHA5:EHA14 DXE5:DXE14 DNI5:DNI14 DDM5:DDM14 CTQ5:CTQ14 CJU5:CJU14 BZY5:BZY14 BQC5:BQC14 BGG5:BGG14 AWK5:AWK14 AMO5:AMO14 ACS5:ACS14 SW5:SW14 JA5:JA14 WVK5:WVK14" xr:uid="{9AF295D7-D4E9-43D5-8C90-59B815446347}"/>
  </dataValidations>
  <printOptions horizontalCentered="1" verticalCentered="1"/>
  <pageMargins left="0.31496062992125984" right="0.31496062992125984" top="0.59055118110236227" bottom="0.59055118110236227" header="0.51181102362204722" footer="0.51181102362204722"/>
  <pageSetup paperSize="9" orientation="landscape" r:id="rId1"/>
  <headerFooter alignWithMargins="0"/>
  <rowBreaks count="3" manualBreakCount="3">
    <brk id="23" max="7" man="1"/>
    <brk id="46" max="7" man="1"/>
    <brk id="69" max="7" man="1"/>
  </rowBreak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C96C6-AC5A-43CC-83EC-8CAF927AF68B}">
  <sheetPr>
    <tabColor theme="8" tint="-0.249977111117893"/>
  </sheetPr>
  <dimension ref="A1:AC32"/>
  <sheetViews>
    <sheetView showGridLines="0" view="pageBreakPreview" zoomScale="120" zoomScaleNormal="100" zoomScaleSheetLayoutView="120" workbookViewId="0">
      <selection activeCell="P9" sqref="P9"/>
    </sheetView>
  </sheetViews>
  <sheetFormatPr defaultColWidth="9" defaultRowHeight="13.2"/>
  <cols>
    <col min="1" max="1" width="8" style="423" customWidth="1"/>
    <col min="2" max="2" width="0.6640625" style="423" customWidth="1"/>
    <col min="3" max="3" width="16.109375" style="423" customWidth="1"/>
    <col min="4" max="4" width="0.6640625" style="423" customWidth="1"/>
    <col min="5" max="5" width="21" style="423" customWidth="1"/>
    <col min="6" max="6" width="4.77734375" style="423" bestFit="1" customWidth="1"/>
    <col min="7" max="7" width="10.109375" style="423" customWidth="1"/>
    <col min="8" max="8" width="4.77734375" style="423" bestFit="1" customWidth="1"/>
    <col min="9" max="9" width="6.88671875" style="423" customWidth="1"/>
    <col min="10" max="10" width="7" style="423" customWidth="1"/>
    <col min="11" max="11" width="8" style="423" bestFit="1" customWidth="1"/>
    <col min="12" max="12" width="9.6640625" style="423" customWidth="1"/>
    <col min="13" max="13" width="8" style="423" bestFit="1" customWidth="1"/>
    <col min="14" max="14" width="8.33203125" style="423" bestFit="1" customWidth="1"/>
    <col min="15" max="15" width="8.88671875" style="423" customWidth="1"/>
    <col min="16" max="16" width="10.21875" style="423" customWidth="1"/>
    <col min="17" max="17" width="0.88671875" style="423" customWidth="1"/>
    <col min="18" max="18" width="17.6640625" style="423" customWidth="1"/>
    <col min="19" max="19" width="22.109375" style="423" customWidth="1"/>
    <col min="20" max="20" width="4.77734375" style="423" bestFit="1" customWidth="1"/>
    <col min="21" max="22" width="8" style="423" bestFit="1" customWidth="1"/>
    <col min="23" max="23" width="7.88671875" style="423" customWidth="1"/>
    <col min="24" max="24" width="7.6640625" style="423" customWidth="1"/>
    <col min="25" max="25" width="7.44140625" style="423" customWidth="1"/>
    <col min="26" max="26" width="0.88671875" style="423" customWidth="1"/>
    <col min="27" max="27" width="3.88671875" style="423" customWidth="1"/>
    <col min="28" max="28" width="9.77734375" style="423" customWidth="1"/>
    <col min="29" max="16384" width="9" style="423"/>
  </cols>
  <sheetData>
    <row r="1" spans="1:29" ht="17.399999999999999" customHeight="1">
      <c r="A1" s="420" t="s">
        <v>339</v>
      </c>
      <c r="B1" s="420"/>
      <c r="C1" s="421"/>
      <c r="D1" s="421"/>
      <c r="E1" s="726" t="s">
        <v>1009</v>
      </c>
      <c r="F1" s="727"/>
      <c r="G1" s="727"/>
      <c r="H1" s="728"/>
      <c r="I1" s="728"/>
      <c r="J1" s="728"/>
      <c r="K1" s="727"/>
      <c r="L1" s="727"/>
      <c r="M1" s="727"/>
      <c r="N1" s="729"/>
      <c r="O1" s="729"/>
      <c r="P1" s="729"/>
      <c r="Q1" s="422"/>
      <c r="AA1" s="424"/>
      <c r="AB1" s="424"/>
      <c r="AC1" s="424"/>
    </row>
    <row r="2" spans="1:29" ht="17.399999999999999" customHeight="1">
      <c r="A2" s="749" t="s">
        <v>340</v>
      </c>
      <c r="B2" s="752" t="s">
        <v>341</v>
      </c>
      <c r="C2" s="753"/>
      <c r="D2" s="752" t="s">
        <v>342</v>
      </c>
      <c r="E2" s="753"/>
      <c r="F2" s="758" t="s">
        <v>70</v>
      </c>
      <c r="G2" s="760" t="s">
        <v>343</v>
      </c>
      <c r="H2" s="761"/>
      <c r="I2" s="761"/>
      <c r="J2" s="761"/>
      <c r="K2" s="761"/>
      <c r="L2" s="762"/>
      <c r="M2" s="426" t="s">
        <v>344</v>
      </c>
      <c r="N2" s="427" t="s">
        <v>345</v>
      </c>
      <c r="O2" s="427" t="s">
        <v>346</v>
      </c>
      <c r="P2" s="428" t="s">
        <v>347</v>
      </c>
      <c r="Q2" s="422"/>
      <c r="R2" s="747" t="s">
        <v>348</v>
      </c>
      <c r="S2" s="732" t="s">
        <v>349</v>
      </c>
      <c r="T2" s="732" t="s">
        <v>115</v>
      </c>
      <c r="U2" s="734" t="s">
        <v>350</v>
      </c>
      <c r="V2" s="735"/>
      <c r="W2" s="734" t="s">
        <v>343</v>
      </c>
      <c r="X2" s="735"/>
      <c r="Y2" s="736" t="s">
        <v>351</v>
      </c>
      <c r="AA2" s="421"/>
      <c r="AB2" s="421"/>
      <c r="AC2" s="421"/>
    </row>
    <row r="3" spans="1:29" ht="17.399999999999999" customHeight="1">
      <c r="A3" s="750"/>
      <c r="B3" s="754"/>
      <c r="C3" s="755"/>
      <c r="D3" s="754"/>
      <c r="E3" s="755"/>
      <c r="F3" s="759"/>
      <c r="G3" s="738" t="s">
        <v>352</v>
      </c>
      <c r="H3" s="740" t="s">
        <v>114</v>
      </c>
      <c r="I3" s="429" t="s">
        <v>353</v>
      </c>
      <c r="J3" s="430" t="s">
        <v>354</v>
      </c>
      <c r="K3" s="431" t="s">
        <v>355</v>
      </c>
      <c r="L3" s="742" t="s">
        <v>356</v>
      </c>
      <c r="M3" s="431"/>
      <c r="N3" s="432" t="s">
        <v>357</v>
      </c>
      <c r="O3" s="432" t="s">
        <v>358</v>
      </c>
      <c r="P3" s="433" t="s">
        <v>359</v>
      </c>
      <c r="Q3" s="422"/>
      <c r="R3" s="748"/>
      <c r="S3" s="733"/>
      <c r="T3" s="733"/>
      <c r="U3" s="434" t="s">
        <v>360</v>
      </c>
      <c r="V3" s="434" t="s">
        <v>71</v>
      </c>
      <c r="W3" s="434" t="s">
        <v>320</v>
      </c>
      <c r="X3" s="434" t="s">
        <v>361</v>
      </c>
      <c r="Y3" s="737"/>
      <c r="AA3" s="421"/>
      <c r="AB3" s="421"/>
      <c r="AC3" s="421"/>
    </row>
    <row r="4" spans="1:29" ht="17.399999999999999" customHeight="1">
      <c r="A4" s="751"/>
      <c r="B4" s="756"/>
      <c r="C4" s="757"/>
      <c r="D4" s="756"/>
      <c r="E4" s="757"/>
      <c r="F4" s="739"/>
      <c r="G4" s="739"/>
      <c r="H4" s="741"/>
      <c r="I4" s="435" t="s">
        <v>362</v>
      </c>
      <c r="J4" s="436" t="s">
        <v>362</v>
      </c>
      <c r="K4" s="437" t="s">
        <v>363</v>
      </c>
      <c r="L4" s="743"/>
      <c r="M4" s="437" t="s">
        <v>364</v>
      </c>
      <c r="N4" s="438" t="s">
        <v>365</v>
      </c>
      <c r="O4" s="438"/>
      <c r="P4" s="439" t="s">
        <v>366</v>
      </c>
      <c r="Q4" s="422"/>
      <c r="R4" s="744" t="s">
        <v>367</v>
      </c>
      <c r="S4" s="745"/>
      <c r="T4" s="745"/>
      <c r="U4" s="745"/>
      <c r="V4" s="745"/>
      <c r="W4" s="745"/>
      <c r="X4" s="745"/>
      <c r="Y4" s="746"/>
      <c r="AA4" s="440"/>
      <c r="AB4" s="440"/>
      <c r="AC4" s="421"/>
    </row>
    <row r="5" spans="1:29" ht="17.399999999999999" customHeight="1">
      <c r="A5" s="441">
        <v>1</v>
      </c>
      <c r="B5" s="442"/>
      <c r="C5" s="443" t="str">
        <f>'E見積比較(1)'!$B$5</f>
        <v>新設空調電源盤</v>
      </c>
      <c r="D5" s="444"/>
      <c r="E5" s="443" t="str">
        <f>'E見積比較(1)'!$D$5</f>
        <v>L-AC</v>
      </c>
      <c r="F5" s="445" t="s">
        <v>268</v>
      </c>
      <c r="G5" s="445">
        <f>'E見積比較(1)'!$G$5</f>
        <v>992000</v>
      </c>
      <c r="H5" s="446">
        <v>1</v>
      </c>
      <c r="I5" s="447"/>
      <c r="J5" s="448"/>
      <c r="K5" s="448">
        <v>0.02</v>
      </c>
      <c r="L5" s="445">
        <f>IF(G5="","",(G5+K6))</f>
        <v>1011840</v>
      </c>
      <c r="M5" s="449">
        <v>5</v>
      </c>
      <c r="N5" s="427">
        <f>IF(G5="","",ROUNDDOWN(N7*M5,0))</f>
        <v>131500</v>
      </c>
      <c r="O5" s="448">
        <v>0.25</v>
      </c>
      <c r="P5" s="428">
        <f>IF(F5="","",L5+N5+O6)</f>
        <v>1176215</v>
      </c>
      <c r="Q5" s="422"/>
      <c r="R5" s="450"/>
      <c r="S5" s="451"/>
      <c r="T5" s="451"/>
      <c r="U5" s="452"/>
      <c r="V5" s="452"/>
      <c r="W5" s="452"/>
      <c r="X5" s="453"/>
      <c r="Y5" s="454"/>
      <c r="AA5" s="455">
        <v>1</v>
      </c>
      <c r="AB5" s="456" t="s">
        <v>368</v>
      </c>
      <c r="AC5" s="421"/>
    </row>
    <row r="6" spans="1:29" ht="17.399999999999999" customHeight="1">
      <c r="A6" s="457"/>
      <c r="B6" s="458"/>
      <c r="C6" s="459"/>
      <c r="D6" s="421"/>
      <c r="E6" s="460"/>
      <c r="F6" s="461"/>
      <c r="G6" s="430"/>
      <c r="H6" s="462"/>
      <c r="I6" s="430"/>
      <c r="J6" s="432"/>
      <c r="K6" s="432">
        <f>IF(H5="","",(G5*H5)*K5)</f>
        <v>19840</v>
      </c>
      <c r="L6" s="431"/>
      <c r="M6" s="431"/>
      <c r="N6" s="432" t="str">
        <f>IF(G5="","",VLOOKUP(N8,人工費,2))</f>
        <v>電工</v>
      </c>
      <c r="O6" s="432">
        <f>IF(G5="","",ROUNDDOWN(N5*O5,0))</f>
        <v>32875</v>
      </c>
      <c r="P6" s="433">
        <v>-4</v>
      </c>
      <c r="Q6" s="422"/>
      <c r="R6" s="463"/>
      <c r="S6" s="464"/>
      <c r="T6" s="464"/>
      <c r="U6" s="464"/>
      <c r="V6" s="464"/>
      <c r="W6" s="464"/>
      <c r="X6" s="464"/>
      <c r="Y6" s="465"/>
      <c r="AA6" s="466">
        <v>2</v>
      </c>
      <c r="AB6" s="467" t="s">
        <v>369</v>
      </c>
      <c r="AC6" s="421"/>
    </row>
    <row r="7" spans="1:29" ht="17.399999999999999" customHeight="1">
      <c r="A7" s="457"/>
      <c r="B7" s="468"/>
      <c r="C7" s="460"/>
      <c r="D7" s="469"/>
      <c r="E7" s="460"/>
      <c r="F7" s="461"/>
      <c r="G7" s="431" t="str">
        <f>IF(G8="","",VLOOKUP(G8,単価根拠,2))</f>
        <v>見積比較</v>
      </c>
      <c r="H7" s="462"/>
      <c r="I7" s="430"/>
      <c r="J7" s="430"/>
      <c r="K7" s="431"/>
      <c r="L7" s="431"/>
      <c r="M7" s="631" t="s">
        <v>474</v>
      </c>
      <c r="N7" s="432">
        <v>26300</v>
      </c>
      <c r="O7" s="431" t="s">
        <v>370</v>
      </c>
      <c r="P7" s="730">
        <f>IF(G5="","",ROUND(P5,P6))</f>
        <v>1180000</v>
      </c>
      <c r="Q7" s="422"/>
      <c r="R7" s="463"/>
      <c r="S7" s="464"/>
      <c r="T7" s="464"/>
      <c r="U7" s="464"/>
      <c r="V7" s="464"/>
      <c r="W7" s="464"/>
      <c r="X7" s="464"/>
      <c r="Y7" s="465"/>
      <c r="AA7" s="466">
        <v>3</v>
      </c>
      <c r="AB7" s="467" t="s">
        <v>371</v>
      </c>
      <c r="AC7" s="421"/>
    </row>
    <row r="8" spans="1:29" ht="17.399999999999999" customHeight="1">
      <c r="A8" s="471"/>
      <c r="B8" s="472"/>
      <c r="C8" s="473"/>
      <c r="D8" s="474"/>
      <c r="E8" s="473"/>
      <c r="F8" s="475"/>
      <c r="G8" s="476">
        <v>1</v>
      </c>
      <c r="H8" s="477"/>
      <c r="I8" s="436"/>
      <c r="J8" s="436"/>
      <c r="K8" s="437"/>
      <c r="L8" s="437"/>
      <c r="M8" s="632" t="s">
        <v>475</v>
      </c>
      <c r="N8" s="479">
        <v>1</v>
      </c>
      <c r="O8" s="478"/>
      <c r="P8" s="731"/>
      <c r="Q8" s="422"/>
      <c r="R8" s="481"/>
      <c r="S8" s="482"/>
      <c r="T8" s="482"/>
      <c r="U8" s="482"/>
      <c r="V8" s="482"/>
      <c r="W8" s="482"/>
      <c r="X8" s="482"/>
      <c r="Y8" s="483"/>
      <c r="AA8" s="466">
        <v>4</v>
      </c>
      <c r="AB8" s="467" t="s">
        <v>372</v>
      </c>
      <c r="AC8" s="421" t="s">
        <v>373</v>
      </c>
    </row>
    <row r="9" spans="1:29" ht="17.399999999999999" customHeight="1">
      <c r="A9" s="441">
        <v>2</v>
      </c>
      <c r="B9" s="442"/>
      <c r="C9" s="443" t="str">
        <f>'E見積比較(1)'!$B$6</f>
        <v>新設開閉器盤</v>
      </c>
      <c r="D9" s="484"/>
      <c r="E9" s="443" t="str">
        <f>'E見積比較(1)'!D6</f>
        <v>S-AC</v>
      </c>
      <c r="F9" s="445" t="s">
        <v>268</v>
      </c>
      <c r="G9" s="445">
        <f>'E見積比較(1)'!$G$6</f>
        <v>104000</v>
      </c>
      <c r="H9" s="446">
        <v>1</v>
      </c>
      <c r="I9" s="447"/>
      <c r="J9" s="448"/>
      <c r="K9" s="448">
        <v>0.02</v>
      </c>
      <c r="L9" s="445">
        <f>IF(G9="","",(G9+K10))</f>
        <v>106080</v>
      </c>
      <c r="M9" s="449">
        <v>0.70799999999999996</v>
      </c>
      <c r="N9" s="427">
        <f>IF(G9="","",ROUNDDOWN(N11*M9,0))</f>
        <v>18620</v>
      </c>
      <c r="O9" s="448">
        <v>0.25</v>
      </c>
      <c r="P9" s="428">
        <f>IF(F9="","",L9+N9+O10)</f>
        <v>129355</v>
      </c>
      <c r="Q9" s="422"/>
      <c r="R9" s="450"/>
      <c r="S9" s="451"/>
      <c r="T9" s="451"/>
      <c r="U9" s="485"/>
      <c r="V9" s="485"/>
      <c r="W9" s="485"/>
      <c r="X9" s="485"/>
      <c r="Y9" s="454"/>
      <c r="AA9" s="466">
        <v>5</v>
      </c>
      <c r="AB9" s="467" t="s">
        <v>374</v>
      </c>
      <c r="AC9" s="421"/>
    </row>
    <row r="10" spans="1:29" ht="17.399999999999999" customHeight="1">
      <c r="A10" s="457"/>
      <c r="B10" s="458"/>
      <c r="C10" s="486"/>
      <c r="D10" s="421"/>
      <c r="E10" s="460"/>
      <c r="F10" s="461"/>
      <c r="G10" s="430"/>
      <c r="H10" s="462"/>
      <c r="I10" s="430"/>
      <c r="J10" s="432"/>
      <c r="K10" s="432">
        <f>IF(H9="","",(G9*H9)*K9)</f>
        <v>2080</v>
      </c>
      <c r="L10" s="431"/>
      <c r="M10" s="431"/>
      <c r="N10" s="432" t="str">
        <f>IF(G9="","",VLOOKUP(N12,人工費,2))</f>
        <v>電工</v>
      </c>
      <c r="O10" s="432">
        <f>IF(G9="","",ROUNDDOWN(N9*O9,0))</f>
        <v>4655</v>
      </c>
      <c r="P10" s="433">
        <v>-3</v>
      </c>
      <c r="Q10" s="422"/>
      <c r="R10" s="463"/>
      <c r="S10" s="464"/>
      <c r="T10" s="464"/>
      <c r="U10" s="464"/>
      <c r="V10" s="464"/>
      <c r="W10" s="464"/>
      <c r="X10" s="464"/>
      <c r="Y10" s="465"/>
      <c r="AA10" s="466">
        <v>6</v>
      </c>
      <c r="AB10" s="467" t="s">
        <v>375</v>
      </c>
      <c r="AC10" s="421"/>
    </row>
    <row r="11" spans="1:29" ht="17.399999999999999" customHeight="1">
      <c r="A11" s="457"/>
      <c r="B11" s="468"/>
      <c r="C11" s="460"/>
      <c r="D11" s="469"/>
      <c r="E11" s="460"/>
      <c r="F11" s="461"/>
      <c r="G11" s="431" t="str">
        <f>IF(G12="","",VLOOKUP(G12,単価根拠,2))</f>
        <v>見積比較</v>
      </c>
      <c r="H11" s="462"/>
      <c r="I11" s="430"/>
      <c r="J11" s="430"/>
      <c r="K11" s="431"/>
      <c r="L11" s="431"/>
      <c r="M11" s="631" t="s">
        <v>474</v>
      </c>
      <c r="N11" s="432">
        <v>26300</v>
      </c>
      <c r="O11" s="431" t="s">
        <v>370</v>
      </c>
      <c r="P11" s="730">
        <f>IF(G9="","",ROUND(P9,P10))</f>
        <v>129000</v>
      </c>
      <c r="Q11" s="422"/>
      <c r="R11" s="463"/>
      <c r="S11" s="464"/>
      <c r="T11" s="464"/>
      <c r="U11" s="464"/>
      <c r="V11" s="464"/>
      <c r="W11" s="464"/>
      <c r="X11" s="464"/>
      <c r="Y11" s="465"/>
      <c r="AA11" s="466">
        <v>7</v>
      </c>
      <c r="AB11" s="467" t="s">
        <v>323</v>
      </c>
      <c r="AC11" s="421"/>
    </row>
    <row r="12" spans="1:29" ht="17.399999999999999" customHeight="1">
      <c r="A12" s="471"/>
      <c r="B12" s="472"/>
      <c r="C12" s="473"/>
      <c r="D12" s="474"/>
      <c r="E12" s="473"/>
      <c r="F12" s="475"/>
      <c r="G12" s="476">
        <v>1</v>
      </c>
      <c r="H12" s="477"/>
      <c r="I12" s="436"/>
      <c r="J12" s="436"/>
      <c r="K12" s="437"/>
      <c r="L12" s="437"/>
      <c r="M12" s="632" t="s">
        <v>475</v>
      </c>
      <c r="N12" s="479">
        <v>1</v>
      </c>
      <c r="O12" s="478"/>
      <c r="P12" s="731"/>
      <c r="Q12" s="422"/>
      <c r="R12" s="481"/>
      <c r="S12" s="482"/>
      <c r="T12" s="482"/>
      <c r="U12" s="482"/>
      <c r="V12" s="482"/>
      <c r="W12" s="482"/>
      <c r="X12" s="487"/>
      <c r="Y12" s="483"/>
      <c r="AA12" s="466"/>
      <c r="AB12" s="467"/>
      <c r="AC12" s="421"/>
    </row>
    <row r="13" spans="1:29" ht="17.399999999999999" customHeight="1">
      <c r="A13" s="441"/>
      <c r="B13" s="442"/>
      <c r="C13" s="443"/>
      <c r="D13" s="484"/>
      <c r="E13" s="443"/>
      <c r="F13" s="445"/>
      <c r="G13" s="445"/>
      <c r="H13" s="446"/>
      <c r="I13" s="447"/>
      <c r="J13" s="448"/>
      <c r="K13" s="448"/>
      <c r="L13" s="445"/>
      <c r="M13" s="488"/>
      <c r="N13" s="427"/>
      <c r="O13" s="448"/>
      <c r="P13" s="428"/>
      <c r="Q13" s="422"/>
      <c r="R13" s="450"/>
      <c r="S13" s="451"/>
      <c r="T13" s="451"/>
      <c r="U13" s="489"/>
      <c r="V13" s="489"/>
      <c r="W13" s="489"/>
      <c r="X13" s="485"/>
      <c r="Y13" s="454"/>
      <c r="AA13" s="466"/>
      <c r="AB13" s="467"/>
      <c r="AC13" s="421"/>
    </row>
    <row r="14" spans="1:29" ht="17.399999999999999" customHeight="1">
      <c r="A14" s="457"/>
      <c r="B14" s="458"/>
      <c r="C14" s="486"/>
      <c r="D14" s="421"/>
      <c r="E14" s="460"/>
      <c r="F14" s="431"/>
      <c r="G14" s="430"/>
      <c r="H14" s="462"/>
      <c r="I14" s="430"/>
      <c r="J14" s="430"/>
      <c r="K14" s="432"/>
      <c r="L14" s="431"/>
      <c r="M14" s="431"/>
      <c r="N14" s="432"/>
      <c r="O14" s="432"/>
      <c r="P14" s="433"/>
      <c r="Q14" s="422"/>
      <c r="R14" s="463"/>
      <c r="S14" s="490"/>
      <c r="T14" s="490"/>
      <c r="U14" s="464"/>
      <c r="V14" s="464"/>
      <c r="W14" s="464"/>
      <c r="X14" s="464"/>
      <c r="Y14" s="465"/>
      <c r="AA14" s="466"/>
      <c r="AB14" s="467"/>
      <c r="AC14" s="421"/>
    </row>
    <row r="15" spans="1:29" ht="17.399999999999999" customHeight="1">
      <c r="A15" s="457"/>
      <c r="B15" s="468"/>
      <c r="C15" s="460"/>
      <c r="D15" s="469"/>
      <c r="E15" s="460"/>
      <c r="F15" s="461"/>
      <c r="G15" s="431"/>
      <c r="H15" s="462"/>
      <c r="I15" s="430"/>
      <c r="J15" s="430"/>
      <c r="K15" s="431"/>
      <c r="L15" s="431"/>
      <c r="M15" s="431"/>
      <c r="N15" s="432"/>
      <c r="O15" s="431"/>
      <c r="P15" s="730"/>
      <c r="Q15" s="422"/>
      <c r="R15" s="463"/>
      <c r="S15" s="490"/>
      <c r="T15" s="490"/>
      <c r="U15" s="464"/>
      <c r="V15" s="464"/>
      <c r="W15" s="464"/>
      <c r="X15" s="464"/>
      <c r="Y15" s="465"/>
      <c r="AA15" s="466"/>
      <c r="AB15" s="467"/>
      <c r="AC15" s="421"/>
    </row>
    <row r="16" spans="1:29" ht="17.399999999999999" customHeight="1">
      <c r="A16" s="471"/>
      <c r="B16" s="472"/>
      <c r="C16" s="473"/>
      <c r="D16" s="474"/>
      <c r="E16" s="473"/>
      <c r="F16" s="475"/>
      <c r="G16" s="476"/>
      <c r="H16" s="477"/>
      <c r="I16" s="436"/>
      <c r="J16" s="436"/>
      <c r="K16" s="437"/>
      <c r="L16" s="437"/>
      <c r="M16" s="478"/>
      <c r="N16" s="479"/>
      <c r="O16" s="478"/>
      <c r="P16" s="731"/>
      <c r="Q16" s="422"/>
      <c r="R16" s="481"/>
      <c r="S16" s="487"/>
      <c r="T16" s="482"/>
      <c r="U16" s="482"/>
      <c r="V16" s="482"/>
      <c r="W16" s="487"/>
      <c r="X16" s="491"/>
      <c r="Y16" s="492"/>
      <c r="AA16" s="466"/>
      <c r="AB16" s="467"/>
      <c r="AC16" s="421"/>
    </row>
    <row r="17" spans="1:29" ht="17.399999999999999" customHeight="1">
      <c r="A17" s="441"/>
      <c r="B17" s="442"/>
      <c r="C17" s="443"/>
      <c r="D17" s="484"/>
      <c r="E17" s="443"/>
      <c r="F17" s="445"/>
      <c r="G17" s="445"/>
      <c r="H17" s="446"/>
      <c r="I17" s="447"/>
      <c r="J17" s="448"/>
      <c r="K17" s="448"/>
      <c r="L17" s="445"/>
      <c r="M17" s="488"/>
      <c r="N17" s="427"/>
      <c r="O17" s="448"/>
      <c r="P17" s="428"/>
      <c r="Q17" s="422"/>
      <c r="R17" s="450"/>
      <c r="S17" s="493"/>
      <c r="T17" s="451"/>
      <c r="U17" s="489"/>
      <c r="V17" s="489"/>
      <c r="W17" s="489"/>
      <c r="X17" s="485"/>
      <c r="Y17" s="454"/>
      <c r="AA17" s="466"/>
      <c r="AB17" s="467"/>
      <c r="AC17" s="421"/>
    </row>
    <row r="18" spans="1:29" ht="17.399999999999999" customHeight="1">
      <c r="A18" s="457"/>
      <c r="B18" s="458"/>
      <c r="C18" s="486"/>
      <c r="D18" s="421"/>
      <c r="E18" s="460"/>
      <c r="F18" s="431"/>
      <c r="G18" s="430"/>
      <c r="H18" s="462"/>
      <c r="I18" s="430"/>
      <c r="J18" s="430"/>
      <c r="K18" s="432"/>
      <c r="L18" s="431"/>
      <c r="M18" s="431"/>
      <c r="N18" s="432"/>
      <c r="O18" s="432"/>
      <c r="P18" s="433"/>
      <c r="Q18" s="422"/>
      <c r="R18" s="463"/>
      <c r="S18" s="494"/>
      <c r="T18" s="490"/>
      <c r="U18" s="495"/>
      <c r="V18" s="464"/>
      <c r="W18" s="495"/>
      <c r="X18" s="464"/>
      <c r="Y18" s="465"/>
      <c r="AA18" s="496"/>
      <c r="AB18" s="497"/>
      <c r="AC18" s="421"/>
    </row>
    <row r="19" spans="1:29" ht="17.399999999999999" customHeight="1">
      <c r="A19" s="457"/>
      <c r="B19" s="468"/>
      <c r="C19" s="460"/>
      <c r="D19" s="469"/>
      <c r="E19" s="460"/>
      <c r="F19" s="461"/>
      <c r="G19" s="431"/>
      <c r="H19" s="462"/>
      <c r="I19" s="430"/>
      <c r="J19" s="430"/>
      <c r="K19" s="431"/>
      <c r="L19" s="431"/>
      <c r="M19" s="431"/>
      <c r="N19" s="432"/>
      <c r="O19" s="431"/>
      <c r="P19" s="730"/>
      <c r="Q19" s="422"/>
      <c r="R19" s="463"/>
      <c r="S19" s="490"/>
      <c r="T19" s="490"/>
      <c r="U19" s="495"/>
      <c r="V19" s="464"/>
      <c r="W19" s="495"/>
      <c r="X19" s="464"/>
      <c r="Y19" s="465"/>
      <c r="AA19" s="421"/>
      <c r="AB19" s="421"/>
      <c r="AC19" s="421"/>
    </row>
    <row r="20" spans="1:29" ht="17.399999999999999" customHeight="1">
      <c r="A20" s="471"/>
      <c r="B20" s="472"/>
      <c r="C20" s="473"/>
      <c r="D20" s="474"/>
      <c r="E20" s="473"/>
      <c r="F20" s="475"/>
      <c r="G20" s="476"/>
      <c r="H20" s="477"/>
      <c r="I20" s="436"/>
      <c r="J20" s="436"/>
      <c r="K20" s="437"/>
      <c r="L20" s="437"/>
      <c r="M20" s="478"/>
      <c r="N20" s="479"/>
      <c r="O20" s="478"/>
      <c r="P20" s="731"/>
      <c r="Q20" s="422"/>
      <c r="R20" s="481"/>
      <c r="S20" s="487"/>
      <c r="T20" s="487"/>
      <c r="U20" s="498"/>
      <c r="V20" s="482"/>
      <c r="W20" s="498"/>
      <c r="X20" s="482"/>
      <c r="Y20" s="483"/>
      <c r="AA20" s="455">
        <v>1</v>
      </c>
      <c r="AB20" s="499" t="s">
        <v>376</v>
      </c>
      <c r="AC20" s="500">
        <v>24000</v>
      </c>
    </row>
    <row r="21" spans="1:29" ht="17.399999999999999" customHeight="1">
      <c r="A21" s="441"/>
      <c r="B21" s="442"/>
      <c r="C21" s="501"/>
      <c r="D21" s="484"/>
      <c r="E21" s="502"/>
      <c r="F21" s="445"/>
      <c r="G21" s="445"/>
      <c r="H21" s="446"/>
      <c r="I21" s="447"/>
      <c r="J21" s="448"/>
      <c r="K21" s="448"/>
      <c r="L21" s="445"/>
      <c r="M21" s="488"/>
      <c r="N21" s="427"/>
      <c r="O21" s="448"/>
      <c r="P21" s="428"/>
      <c r="Q21" s="422"/>
      <c r="R21" s="450" t="s">
        <v>377</v>
      </c>
      <c r="S21" s="493" t="s">
        <v>378</v>
      </c>
      <c r="T21" s="451" t="s">
        <v>125</v>
      </c>
      <c r="U21" s="489"/>
      <c r="V21" s="489"/>
      <c r="W21" s="489"/>
      <c r="X21" s="485"/>
      <c r="Y21" s="454"/>
      <c r="AA21" s="466">
        <v>2</v>
      </c>
      <c r="AB21" s="421" t="s">
        <v>379</v>
      </c>
      <c r="AC21" s="503">
        <v>26400</v>
      </c>
    </row>
    <row r="22" spans="1:29" ht="17.399999999999999" customHeight="1">
      <c r="A22" s="457"/>
      <c r="B22" s="458"/>
      <c r="C22" s="486"/>
      <c r="D22" s="421"/>
      <c r="E22" s="460"/>
      <c r="F22" s="431"/>
      <c r="G22" s="430"/>
      <c r="H22" s="462"/>
      <c r="I22" s="430"/>
      <c r="J22" s="430"/>
      <c r="K22" s="432"/>
      <c r="L22" s="431"/>
      <c r="M22" s="431"/>
      <c r="N22" s="432"/>
      <c r="O22" s="432"/>
      <c r="P22" s="433"/>
      <c r="Q22" s="422"/>
      <c r="R22" s="463"/>
      <c r="S22" s="494" t="s">
        <v>380</v>
      </c>
      <c r="T22" s="490"/>
      <c r="U22" s="495">
        <v>2925</v>
      </c>
      <c r="V22" s="464">
        <v>0.8</v>
      </c>
      <c r="W22" s="495">
        <f>U22*V22</f>
        <v>2340</v>
      </c>
      <c r="X22" s="464"/>
      <c r="Y22" s="465"/>
      <c r="AA22" s="466">
        <v>3</v>
      </c>
      <c r="AB22" s="421" t="s">
        <v>381</v>
      </c>
      <c r="AC22" s="503">
        <v>22700</v>
      </c>
    </row>
    <row r="23" spans="1:29" ht="17.399999999999999" customHeight="1">
      <c r="A23" s="457"/>
      <c r="B23" s="468"/>
      <c r="C23" s="460"/>
      <c r="D23" s="469"/>
      <c r="E23" s="460"/>
      <c r="F23" s="461"/>
      <c r="G23" s="431"/>
      <c r="H23" s="462"/>
      <c r="I23" s="430"/>
      <c r="J23" s="430"/>
      <c r="K23" s="431"/>
      <c r="L23" s="431"/>
      <c r="M23" s="431"/>
      <c r="N23" s="432"/>
      <c r="O23" s="431"/>
      <c r="P23" s="730"/>
      <c r="Q23" s="422"/>
      <c r="R23" s="463"/>
      <c r="S23" s="490"/>
      <c r="T23" s="490"/>
      <c r="U23" s="495"/>
      <c r="V23" s="464"/>
      <c r="W23" s="495"/>
      <c r="X23" s="464"/>
      <c r="Y23" s="465"/>
      <c r="AA23" s="466">
        <v>4</v>
      </c>
      <c r="AB23" s="421" t="s">
        <v>382</v>
      </c>
      <c r="AC23" s="503">
        <v>28300</v>
      </c>
    </row>
    <row r="24" spans="1:29" ht="17.399999999999999" customHeight="1">
      <c r="A24" s="471"/>
      <c r="B24" s="472"/>
      <c r="C24" s="473"/>
      <c r="D24" s="474"/>
      <c r="E24" s="473"/>
      <c r="F24" s="475"/>
      <c r="G24" s="476"/>
      <c r="H24" s="477"/>
      <c r="I24" s="436"/>
      <c r="J24" s="436"/>
      <c r="K24" s="437"/>
      <c r="L24" s="437"/>
      <c r="M24" s="478"/>
      <c r="N24" s="479"/>
      <c r="O24" s="478"/>
      <c r="P24" s="731"/>
      <c r="Q24" s="422"/>
      <c r="R24" s="481"/>
      <c r="S24" s="487"/>
      <c r="T24" s="487"/>
      <c r="U24" s="498"/>
      <c r="V24" s="482"/>
      <c r="W24" s="498"/>
      <c r="X24" s="482"/>
      <c r="Y24" s="483"/>
      <c r="AA24" s="466">
        <v>5</v>
      </c>
      <c r="AB24" s="421" t="s">
        <v>383</v>
      </c>
      <c r="AC24" s="503">
        <v>24900</v>
      </c>
    </row>
    <row r="25" spans="1:29" ht="17.399999999999999" customHeight="1">
      <c r="A25" s="441"/>
      <c r="B25" s="442"/>
      <c r="C25" s="501"/>
      <c r="D25" s="484"/>
      <c r="E25" s="502"/>
      <c r="F25" s="445"/>
      <c r="G25" s="445"/>
      <c r="H25" s="446"/>
      <c r="I25" s="447"/>
      <c r="J25" s="448"/>
      <c r="K25" s="448"/>
      <c r="L25" s="445"/>
      <c r="M25" s="488"/>
      <c r="N25" s="427"/>
      <c r="O25" s="448"/>
      <c r="P25" s="428"/>
      <c r="Q25" s="422"/>
      <c r="R25" s="450" t="s">
        <v>377</v>
      </c>
      <c r="S25" s="493" t="s">
        <v>384</v>
      </c>
      <c r="T25" s="451" t="s">
        <v>125</v>
      </c>
      <c r="U25" s="504"/>
      <c r="V25" s="504"/>
      <c r="W25" s="504"/>
      <c r="X25" s="505"/>
      <c r="Y25" s="454"/>
      <c r="AA25" s="466">
        <v>6</v>
      </c>
      <c r="AB25" s="421" t="s">
        <v>385</v>
      </c>
      <c r="AC25" s="503">
        <v>29000</v>
      </c>
    </row>
    <row r="26" spans="1:29" ht="17.399999999999999" customHeight="1">
      <c r="A26" s="457"/>
      <c r="B26" s="458"/>
      <c r="C26" s="486"/>
      <c r="D26" s="421"/>
      <c r="E26" s="460"/>
      <c r="F26" s="461"/>
      <c r="G26" s="431"/>
      <c r="H26" s="430"/>
      <c r="I26" s="430"/>
      <c r="J26" s="430"/>
      <c r="K26" s="432"/>
      <c r="L26" s="431"/>
      <c r="M26" s="431"/>
      <c r="N26" s="432"/>
      <c r="O26" s="432"/>
      <c r="P26" s="433"/>
      <c r="Q26" s="422"/>
      <c r="R26" s="463"/>
      <c r="S26" s="494" t="s">
        <v>380</v>
      </c>
      <c r="T26" s="490"/>
      <c r="U26" s="495">
        <v>4780</v>
      </c>
      <c r="V26" s="464">
        <v>0.8</v>
      </c>
      <c r="W26" s="495">
        <f>U26*V26</f>
        <v>3824</v>
      </c>
      <c r="X26" s="490"/>
      <c r="Y26" s="465"/>
      <c r="AA26" s="466">
        <v>7</v>
      </c>
      <c r="AB26" s="421" t="s">
        <v>386</v>
      </c>
      <c r="AC26" s="503">
        <v>28800</v>
      </c>
    </row>
    <row r="27" spans="1:29" ht="17.399999999999999" customHeight="1">
      <c r="A27" s="457"/>
      <c r="B27" s="468"/>
      <c r="C27" s="460"/>
      <c r="D27" s="469"/>
      <c r="E27" s="460"/>
      <c r="F27" s="461"/>
      <c r="G27" s="431"/>
      <c r="H27" s="430"/>
      <c r="I27" s="430"/>
      <c r="J27" s="430"/>
      <c r="K27" s="431"/>
      <c r="L27" s="431"/>
      <c r="M27" s="431"/>
      <c r="N27" s="432"/>
      <c r="O27" s="431"/>
      <c r="P27" s="470"/>
      <c r="Q27" s="422"/>
      <c r="R27" s="463"/>
      <c r="S27" s="490"/>
      <c r="T27" s="490"/>
      <c r="U27" s="495"/>
      <c r="V27" s="506"/>
      <c r="W27" s="495"/>
      <c r="X27" s="464"/>
      <c r="Y27" s="465"/>
      <c r="AA27" s="466">
        <v>8</v>
      </c>
      <c r="AB27" s="421" t="s">
        <v>387</v>
      </c>
      <c r="AC27" s="503">
        <v>30900</v>
      </c>
    </row>
    <row r="28" spans="1:29" ht="17.399999999999999" customHeight="1">
      <c r="A28" s="471"/>
      <c r="B28" s="472"/>
      <c r="C28" s="473"/>
      <c r="D28" s="474"/>
      <c r="E28" s="473"/>
      <c r="F28" s="475"/>
      <c r="G28" s="476">
        <v>6</v>
      </c>
      <c r="H28" s="436"/>
      <c r="I28" s="436"/>
      <c r="J28" s="436"/>
      <c r="K28" s="437"/>
      <c r="L28" s="437"/>
      <c r="M28" s="478"/>
      <c r="N28" s="479">
        <v>1</v>
      </c>
      <c r="O28" s="478"/>
      <c r="P28" s="480"/>
      <c r="Q28" s="422"/>
      <c r="R28" s="481"/>
      <c r="S28" s="487"/>
      <c r="T28" s="487"/>
      <c r="U28" s="498"/>
      <c r="V28" s="507"/>
      <c r="W28" s="498"/>
      <c r="X28" s="482"/>
      <c r="Y28" s="483"/>
      <c r="AA28" s="466">
        <v>9</v>
      </c>
      <c r="AB28" s="421" t="s">
        <v>388</v>
      </c>
      <c r="AC28" s="503">
        <v>26600</v>
      </c>
    </row>
    <row r="29" spans="1:29" ht="17.399999999999999" customHeight="1">
      <c r="A29" s="441"/>
      <c r="B29" s="442"/>
      <c r="C29" s="443"/>
      <c r="D29" s="484"/>
      <c r="E29" s="443"/>
      <c r="F29" s="445"/>
      <c r="G29" s="445"/>
      <c r="H29" s="446"/>
      <c r="I29" s="447"/>
      <c r="J29" s="447"/>
      <c r="K29" s="448"/>
      <c r="L29" s="445"/>
      <c r="M29" s="488"/>
      <c r="N29" s="427"/>
      <c r="O29" s="448"/>
      <c r="P29" s="428"/>
      <c r="Q29" s="422"/>
      <c r="R29" s="450"/>
      <c r="S29" s="451"/>
      <c r="T29" s="451"/>
      <c r="U29" s="489"/>
      <c r="V29" s="489"/>
      <c r="W29" s="489"/>
      <c r="X29" s="508"/>
      <c r="Y29" s="454"/>
      <c r="AA29" s="496">
        <v>10</v>
      </c>
      <c r="AB29" s="440" t="s">
        <v>389</v>
      </c>
      <c r="AC29" s="509">
        <v>28200</v>
      </c>
    </row>
    <row r="30" spans="1:29" ht="17.399999999999999" customHeight="1">
      <c r="A30" s="457"/>
      <c r="B30" s="458"/>
      <c r="C30" s="486"/>
      <c r="D30" s="421"/>
      <c r="E30" s="460"/>
      <c r="F30" s="461"/>
      <c r="G30" s="431"/>
      <c r="H30" s="462"/>
      <c r="I30" s="430"/>
      <c r="J30" s="430"/>
      <c r="K30" s="432"/>
      <c r="L30" s="431"/>
      <c r="M30" s="431"/>
      <c r="N30" s="432"/>
      <c r="O30" s="432"/>
      <c r="P30" s="433"/>
      <c r="Q30" s="422"/>
      <c r="R30" s="463"/>
      <c r="S30" s="490"/>
      <c r="T30" s="490"/>
      <c r="U30" s="506"/>
      <c r="V30" s="506"/>
      <c r="W30" s="506"/>
      <c r="X30" s="510"/>
      <c r="Y30" s="465"/>
      <c r="AA30" s="422"/>
      <c r="AB30" s="422"/>
      <c r="AC30" s="422"/>
    </row>
    <row r="31" spans="1:29" ht="17.399999999999999" customHeight="1">
      <c r="A31" s="457"/>
      <c r="B31" s="468"/>
      <c r="C31" s="460"/>
      <c r="D31" s="469"/>
      <c r="E31" s="460"/>
      <c r="F31" s="461"/>
      <c r="G31" s="431"/>
      <c r="H31" s="462"/>
      <c r="I31" s="430"/>
      <c r="J31" s="430"/>
      <c r="K31" s="431"/>
      <c r="L31" s="431"/>
      <c r="M31" s="431"/>
      <c r="N31" s="432"/>
      <c r="O31" s="431"/>
      <c r="P31" s="730"/>
      <c r="Q31" s="422"/>
      <c r="R31" s="463"/>
      <c r="S31" s="490"/>
      <c r="T31" s="490"/>
      <c r="U31" s="506"/>
      <c r="V31" s="506"/>
      <c r="W31" s="506"/>
      <c r="X31" s="510"/>
      <c r="Y31" s="465"/>
      <c r="AA31" s="422"/>
      <c r="AB31" s="422"/>
      <c r="AC31" s="422"/>
    </row>
    <row r="32" spans="1:29" ht="17.399999999999999" customHeight="1">
      <c r="A32" s="471"/>
      <c r="B32" s="472"/>
      <c r="C32" s="473"/>
      <c r="D32" s="474"/>
      <c r="E32" s="473"/>
      <c r="F32" s="475"/>
      <c r="G32" s="476"/>
      <c r="H32" s="477"/>
      <c r="I32" s="436"/>
      <c r="J32" s="436"/>
      <c r="K32" s="437"/>
      <c r="L32" s="437"/>
      <c r="M32" s="478"/>
      <c r="N32" s="479"/>
      <c r="O32" s="478"/>
      <c r="P32" s="731"/>
      <c r="Q32" s="422"/>
      <c r="R32" s="481"/>
      <c r="S32" s="487"/>
      <c r="T32" s="487"/>
      <c r="U32" s="507"/>
      <c r="V32" s="507"/>
      <c r="W32" s="507"/>
      <c r="X32" s="511"/>
      <c r="Y32" s="483"/>
      <c r="AA32" s="422"/>
      <c r="AB32" s="422"/>
      <c r="AC32" s="422"/>
    </row>
  </sheetData>
  <mergeCells count="22">
    <mergeCell ref="A2:A4"/>
    <mergeCell ref="B2:C4"/>
    <mergeCell ref="D2:E4"/>
    <mergeCell ref="F2:F4"/>
    <mergeCell ref="G2:L2"/>
    <mergeCell ref="Y2:Y3"/>
    <mergeCell ref="G3:G4"/>
    <mergeCell ref="H3:H4"/>
    <mergeCell ref="L3:L4"/>
    <mergeCell ref="R4:Y4"/>
    <mergeCell ref="R2:R3"/>
    <mergeCell ref="W2:X2"/>
    <mergeCell ref="P7:P8"/>
    <mergeCell ref="P11:P12"/>
    <mergeCell ref="P15:P16"/>
    <mergeCell ref="P19:P20"/>
    <mergeCell ref="E1:P1"/>
    <mergeCell ref="P31:P32"/>
    <mergeCell ref="S2:S3"/>
    <mergeCell ref="T2:T3"/>
    <mergeCell ref="U2:V2"/>
    <mergeCell ref="P23:P24"/>
  </mergeCells>
  <phoneticPr fontId="48"/>
  <pageMargins left="0.59055118110236227" right="0.59055118110236227" top="0.59055118110236227" bottom="0.43307086614173229" header="0.59055118110236227" footer="0.35433070866141736"/>
  <pageSetup paperSize="9" orientation="landscape" horizontalDpi="1200" verticalDpi="1200" r:id="rId1"/>
  <headerFooter>
    <oddFooter>&amp;RNo&amp;P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DDF3B-7581-4965-971C-04025799FE07}">
  <sheetPr>
    <tabColor theme="8" tint="-0.249977111117893"/>
  </sheetPr>
  <dimension ref="A1:P35"/>
  <sheetViews>
    <sheetView showGridLines="0" showZeros="0" view="pageBreakPreview" topLeftCell="B1" zoomScale="120" zoomScaleNormal="80" zoomScaleSheetLayoutView="120" workbookViewId="0">
      <selection activeCell="B1" sqref="B1:B2"/>
    </sheetView>
  </sheetViews>
  <sheetFormatPr defaultColWidth="9" defaultRowHeight="13.2"/>
  <cols>
    <col min="1" max="1" width="0.88671875" style="423" customWidth="1"/>
    <col min="2" max="2" width="18.109375" style="563" customWidth="1"/>
    <col min="3" max="3" width="0.88671875" style="563" customWidth="1"/>
    <col min="4" max="4" width="17.6640625" style="563" customWidth="1"/>
    <col min="5" max="5" width="4.77734375" style="563" bestFit="1" customWidth="1"/>
    <col min="6" max="6" width="4.77734375" style="564" bestFit="1" customWidth="1"/>
    <col min="7" max="7" width="10.33203125" style="563" bestFit="1" customWidth="1"/>
    <col min="8" max="8" width="7" style="563" customWidth="1"/>
    <col min="9" max="9" width="4.33203125" style="563" customWidth="1"/>
    <col min="10" max="16" width="9.6640625" style="563" customWidth="1"/>
    <col min="17" max="16384" width="9" style="423"/>
  </cols>
  <sheetData>
    <row r="1" spans="1:16" ht="15.9" customHeight="1">
      <c r="A1" s="512"/>
      <c r="B1" s="766" t="s">
        <v>482</v>
      </c>
      <c r="C1" s="513"/>
      <c r="D1" s="766" t="s">
        <v>390</v>
      </c>
      <c r="E1" s="514"/>
      <c r="F1" s="726" t="s">
        <v>1010</v>
      </c>
      <c r="G1" s="727"/>
      <c r="H1" s="727"/>
      <c r="I1" s="727"/>
      <c r="J1" s="771"/>
      <c r="K1" s="727"/>
      <c r="L1" s="727"/>
      <c r="M1" s="727"/>
      <c r="N1" s="727"/>
      <c r="O1" s="727"/>
      <c r="P1" s="727"/>
    </row>
    <row r="2" spans="1:16" ht="15.9" customHeight="1">
      <c r="A2" s="515"/>
      <c r="B2" s="769"/>
      <c r="C2" s="517"/>
      <c r="D2" s="768"/>
      <c r="E2" s="518"/>
      <c r="F2" s="440"/>
      <c r="G2" s="518"/>
      <c r="H2" s="518"/>
      <c r="I2" s="518"/>
      <c r="J2" s="518"/>
      <c r="K2" s="519"/>
      <c r="L2" s="519"/>
      <c r="M2" s="519"/>
      <c r="N2" s="519"/>
      <c r="O2" s="519"/>
      <c r="P2" s="519"/>
    </row>
    <row r="3" spans="1:16" ht="15.9" customHeight="1">
      <c r="A3" s="520"/>
      <c r="B3" s="764" t="s">
        <v>391</v>
      </c>
      <c r="C3" s="499"/>
      <c r="D3" s="764" t="s">
        <v>392</v>
      </c>
      <c r="E3" s="758" t="s">
        <v>70</v>
      </c>
      <c r="F3" s="758" t="s">
        <v>5</v>
      </c>
      <c r="G3" s="758" t="s">
        <v>77</v>
      </c>
      <c r="H3" s="425" t="s">
        <v>71</v>
      </c>
      <c r="I3" s="752" t="s">
        <v>393</v>
      </c>
      <c r="J3" s="764"/>
      <c r="K3" s="521">
        <v>1</v>
      </c>
      <c r="L3" s="522" t="s">
        <v>394</v>
      </c>
      <c r="M3" s="425">
        <v>2</v>
      </c>
      <c r="N3" s="523" t="s">
        <v>476</v>
      </c>
      <c r="O3" s="521">
        <v>3</v>
      </c>
      <c r="P3" s="633" t="s">
        <v>477</v>
      </c>
    </row>
    <row r="4" spans="1:16" ht="15.9" customHeight="1">
      <c r="A4" s="515"/>
      <c r="B4" s="770"/>
      <c r="C4" s="440"/>
      <c r="D4" s="770"/>
      <c r="E4" s="763"/>
      <c r="F4" s="763"/>
      <c r="G4" s="763"/>
      <c r="H4" s="524">
        <v>0.8</v>
      </c>
      <c r="I4" s="525">
        <v>1</v>
      </c>
      <c r="J4" s="526" t="s">
        <v>395</v>
      </c>
      <c r="K4" s="527" t="s">
        <v>320</v>
      </c>
      <c r="L4" s="437" t="s">
        <v>396</v>
      </c>
      <c r="M4" s="437" t="s">
        <v>320</v>
      </c>
      <c r="N4" s="437" t="s">
        <v>396</v>
      </c>
      <c r="O4" s="437" t="s">
        <v>320</v>
      </c>
      <c r="P4" s="528" t="s">
        <v>396</v>
      </c>
    </row>
    <row r="5" spans="1:16" ht="15.9" customHeight="1">
      <c r="A5" s="529"/>
      <c r="B5" s="530" t="s">
        <v>397</v>
      </c>
      <c r="C5" s="531"/>
      <c r="D5" s="530" t="s">
        <v>398</v>
      </c>
      <c r="E5" s="532" t="s">
        <v>268</v>
      </c>
      <c r="F5" s="533">
        <v>1</v>
      </c>
      <c r="G5" s="534">
        <f>ROUNDDOWN(H5*J5,-2)</f>
        <v>992000</v>
      </c>
      <c r="H5" s="535">
        <f t="shared" ref="H5:I6" si="0">H4</f>
        <v>0.8</v>
      </c>
      <c r="I5" s="536">
        <f t="shared" si="0"/>
        <v>1</v>
      </c>
      <c r="J5" s="537">
        <f t="shared" ref="J5:J32" si="1">K5</f>
        <v>1240000</v>
      </c>
      <c r="K5" s="538">
        <v>1240000</v>
      </c>
      <c r="L5" s="538">
        <f>F5*K5</f>
        <v>1240000</v>
      </c>
      <c r="M5" s="539">
        <v>1350000</v>
      </c>
      <c r="N5" s="538">
        <f>F5*M5</f>
        <v>1350000</v>
      </c>
      <c r="O5" s="539">
        <v>1400000</v>
      </c>
      <c r="P5" s="540">
        <f>F5*O5</f>
        <v>1400000</v>
      </c>
    </row>
    <row r="6" spans="1:16" ht="15.9" customHeight="1">
      <c r="A6" s="541"/>
      <c r="B6" s="530" t="s">
        <v>334</v>
      </c>
      <c r="C6" s="531"/>
      <c r="D6" s="530" t="s">
        <v>399</v>
      </c>
      <c r="E6" s="532" t="s">
        <v>268</v>
      </c>
      <c r="F6" s="542">
        <v>1</v>
      </c>
      <c r="G6" s="543">
        <f t="shared" ref="G6:G25" si="2">ROUNDDOWN(H6*J6,-2)</f>
        <v>104000</v>
      </c>
      <c r="H6" s="544">
        <f t="shared" si="0"/>
        <v>0.8</v>
      </c>
      <c r="I6" s="545">
        <f t="shared" si="0"/>
        <v>1</v>
      </c>
      <c r="J6" s="546">
        <f t="shared" si="1"/>
        <v>130000</v>
      </c>
      <c r="K6" s="546">
        <v>130000</v>
      </c>
      <c r="L6" s="546">
        <f t="shared" ref="L6:L33" si="3">F6*K6</f>
        <v>130000</v>
      </c>
      <c r="M6" s="547">
        <v>150000</v>
      </c>
      <c r="N6" s="546">
        <f t="shared" ref="N6:N16" si="4">F6*M6</f>
        <v>150000</v>
      </c>
      <c r="O6" s="547">
        <v>170000</v>
      </c>
      <c r="P6" s="548">
        <f t="shared" ref="P6:P16" si="5">F6*O6</f>
        <v>170000</v>
      </c>
    </row>
    <row r="7" spans="1:16" ht="15.9" customHeight="1">
      <c r="A7" s="541"/>
      <c r="B7" s="530"/>
      <c r="C7" s="531"/>
      <c r="D7" s="530"/>
      <c r="E7" s="532"/>
      <c r="F7" s="542"/>
      <c r="G7" s="543"/>
      <c r="H7" s="544"/>
      <c r="I7" s="545"/>
      <c r="J7" s="546"/>
      <c r="K7" s="546"/>
      <c r="L7" s="546"/>
      <c r="M7" s="547"/>
      <c r="N7" s="546"/>
      <c r="O7" s="547"/>
      <c r="P7" s="548">
        <f t="shared" si="5"/>
        <v>0</v>
      </c>
    </row>
    <row r="8" spans="1:16" ht="15.9" customHeight="1">
      <c r="A8" s="541"/>
      <c r="B8" s="530"/>
      <c r="C8" s="531"/>
      <c r="D8" s="530"/>
      <c r="E8" s="532"/>
      <c r="F8" s="542"/>
      <c r="G8" s="543"/>
      <c r="H8" s="544"/>
      <c r="I8" s="545"/>
      <c r="J8" s="546"/>
      <c r="K8" s="546"/>
      <c r="L8" s="546"/>
      <c r="M8" s="547"/>
      <c r="N8" s="546"/>
      <c r="O8" s="547"/>
      <c r="P8" s="548">
        <f t="shared" si="5"/>
        <v>0</v>
      </c>
    </row>
    <row r="9" spans="1:16" ht="15.9" customHeight="1">
      <c r="A9" s="541"/>
      <c r="B9" s="530"/>
      <c r="C9" s="531"/>
      <c r="D9" s="530"/>
      <c r="E9" s="532"/>
      <c r="F9" s="542"/>
      <c r="G9" s="543"/>
      <c r="H9" s="544"/>
      <c r="I9" s="545"/>
      <c r="J9" s="546"/>
      <c r="K9" s="546"/>
      <c r="L9" s="546"/>
      <c r="M9" s="547"/>
      <c r="N9" s="546">
        <f t="shared" si="4"/>
        <v>0</v>
      </c>
      <c r="O9" s="547"/>
      <c r="P9" s="548">
        <f t="shared" si="5"/>
        <v>0</v>
      </c>
    </row>
    <row r="10" spans="1:16" ht="15.9" customHeight="1">
      <c r="A10" s="541"/>
      <c r="B10" s="530"/>
      <c r="C10" s="531"/>
      <c r="D10" s="530"/>
      <c r="E10" s="532"/>
      <c r="F10" s="542"/>
      <c r="G10" s="543"/>
      <c r="H10" s="544"/>
      <c r="I10" s="545"/>
      <c r="J10" s="546"/>
      <c r="K10" s="546"/>
      <c r="L10" s="546"/>
      <c r="M10" s="547"/>
      <c r="N10" s="546">
        <f t="shared" si="4"/>
        <v>0</v>
      </c>
      <c r="O10" s="547"/>
      <c r="P10" s="548">
        <f t="shared" si="5"/>
        <v>0</v>
      </c>
    </row>
    <row r="11" spans="1:16" ht="15.9" customHeight="1">
      <c r="A11" s="541"/>
      <c r="B11" s="530"/>
      <c r="C11" s="531"/>
      <c r="D11" s="530"/>
      <c r="E11" s="532"/>
      <c r="F11" s="542"/>
      <c r="G11" s="543"/>
      <c r="H11" s="544"/>
      <c r="I11" s="545"/>
      <c r="J11" s="546"/>
      <c r="K11" s="546"/>
      <c r="L11" s="546"/>
      <c r="M11" s="547"/>
      <c r="N11" s="546">
        <f t="shared" si="4"/>
        <v>0</v>
      </c>
      <c r="O11" s="547"/>
      <c r="P11" s="548">
        <f t="shared" si="5"/>
        <v>0</v>
      </c>
    </row>
    <row r="12" spans="1:16" ht="15.9" customHeight="1">
      <c r="A12" s="541"/>
      <c r="B12" s="530"/>
      <c r="C12" s="531"/>
      <c r="D12" s="530"/>
      <c r="E12" s="532"/>
      <c r="F12" s="542"/>
      <c r="G12" s="543">
        <f t="shared" si="2"/>
        <v>0</v>
      </c>
      <c r="H12" s="544"/>
      <c r="I12" s="545"/>
      <c r="J12" s="546">
        <f t="shared" si="1"/>
        <v>0</v>
      </c>
      <c r="K12" s="546"/>
      <c r="L12" s="546">
        <f t="shared" si="3"/>
        <v>0</v>
      </c>
      <c r="M12" s="547"/>
      <c r="N12" s="546">
        <f t="shared" si="4"/>
        <v>0</v>
      </c>
      <c r="O12" s="547"/>
      <c r="P12" s="548">
        <f t="shared" si="5"/>
        <v>0</v>
      </c>
    </row>
    <row r="13" spans="1:16" ht="15.9" customHeight="1">
      <c r="A13" s="541"/>
      <c r="B13" s="530"/>
      <c r="C13" s="531"/>
      <c r="D13" s="530"/>
      <c r="E13" s="532"/>
      <c r="F13" s="542"/>
      <c r="G13" s="543"/>
      <c r="H13" s="544"/>
      <c r="I13" s="545"/>
      <c r="J13" s="546"/>
      <c r="K13" s="546"/>
      <c r="L13" s="546"/>
      <c r="M13" s="547"/>
      <c r="N13" s="546"/>
      <c r="O13" s="547"/>
      <c r="P13" s="548"/>
    </row>
    <row r="14" spans="1:16" ht="15.9" customHeight="1">
      <c r="A14" s="541"/>
      <c r="B14" s="530"/>
      <c r="C14" s="531"/>
      <c r="D14" s="530"/>
      <c r="E14" s="532"/>
      <c r="F14" s="542"/>
      <c r="G14" s="543">
        <f t="shared" si="2"/>
        <v>0</v>
      </c>
      <c r="H14" s="544"/>
      <c r="I14" s="545"/>
      <c r="J14" s="546">
        <f t="shared" si="1"/>
        <v>0</v>
      </c>
      <c r="K14" s="546"/>
      <c r="L14" s="546">
        <f t="shared" si="3"/>
        <v>0</v>
      </c>
      <c r="M14" s="547"/>
      <c r="N14" s="546">
        <f t="shared" si="4"/>
        <v>0</v>
      </c>
      <c r="O14" s="547"/>
      <c r="P14" s="548">
        <f t="shared" si="5"/>
        <v>0</v>
      </c>
    </row>
    <row r="15" spans="1:16" ht="15.9" customHeight="1">
      <c r="A15" s="541"/>
      <c r="B15" s="530"/>
      <c r="C15" s="531"/>
      <c r="D15" s="530"/>
      <c r="E15" s="532"/>
      <c r="F15" s="542"/>
      <c r="G15" s="543">
        <f t="shared" si="2"/>
        <v>0</v>
      </c>
      <c r="H15" s="544"/>
      <c r="I15" s="545"/>
      <c r="J15" s="546">
        <f t="shared" si="1"/>
        <v>0</v>
      </c>
      <c r="K15" s="546"/>
      <c r="L15" s="546">
        <f t="shared" si="3"/>
        <v>0</v>
      </c>
      <c r="M15" s="547"/>
      <c r="N15" s="546">
        <f t="shared" si="4"/>
        <v>0</v>
      </c>
      <c r="O15" s="547"/>
      <c r="P15" s="548">
        <f t="shared" si="5"/>
        <v>0</v>
      </c>
    </row>
    <row r="16" spans="1:16" ht="15.9" customHeight="1">
      <c r="A16" s="541"/>
      <c r="B16" s="530"/>
      <c r="C16" s="531"/>
      <c r="D16" s="530"/>
      <c r="E16" s="532"/>
      <c r="F16" s="542"/>
      <c r="G16" s="543">
        <f t="shared" si="2"/>
        <v>0</v>
      </c>
      <c r="H16" s="544"/>
      <c r="I16" s="545"/>
      <c r="J16" s="546">
        <f t="shared" si="1"/>
        <v>0</v>
      </c>
      <c r="K16" s="546"/>
      <c r="L16" s="546">
        <f t="shared" si="3"/>
        <v>0</v>
      </c>
      <c r="M16" s="547"/>
      <c r="N16" s="546">
        <f t="shared" si="4"/>
        <v>0</v>
      </c>
      <c r="O16" s="547"/>
      <c r="P16" s="548">
        <f t="shared" si="5"/>
        <v>0</v>
      </c>
    </row>
    <row r="17" spans="1:16" ht="15.9" customHeight="1">
      <c r="A17" s="541"/>
      <c r="B17" s="530"/>
      <c r="C17" s="531"/>
      <c r="D17" s="530"/>
      <c r="E17" s="532"/>
      <c r="F17" s="542"/>
      <c r="G17" s="543">
        <f t="shared" si="2"/>
        <v>0</v>
      </c>
      <c r="H17" s="544"/>
      <c r="I17" s="545"/>
      <c r="J17" s="546">
        <f t="shared" si="1"/>
        <v>0</v>
      </c>
      <c r="K17" s="546"/>
      <c r="L17" s="546">
        <f t="shared" si="3"/>
        <v>0</v>
      </c>
      <c r="M17" s="547"/>
      <c r="N17" s="546">
        <f t="shared" ref="N17:N33" si="6">M17*F17</f>
        <v>0</v>
      </c>
      <c r="O17" s="547"/>
      <c r="P17" s="548">
        <f t="shared" ref="P17:P33" si="7">O17*F17</f>
        <v>0</v>
      </c>
    </row>
    <row r="18" spans="1:16" ht="15.9" customHeight="1">
      <c r="A18" s="541"/>
      <c r="B18" s="530"/>
      <c r="C18" s="531"/>
      <c r="D18" s="530"/>
      <c r="E18" s="532"/>
      <c r="F18" s="542"/>
      <c r="G18" s="543">
        <f t="shared" si="2"/>
        <v>0</v>
      </c>
      <c r="H18" s="544"/>
      <c r="I18" s="545"/>
      <c r="J18" s="546">
        <f t="shared" si="1"/>
        <v>0</v>
      </c>
      <c r="K18" s="546"/>
      <c r="L18" s="546">
        <f t="shared" si="3"/>
        <v>0</v>
      </c>
      <c r="M18" s="547"/>
      <c r="N18" s="546">
        <f t="shared" si="6"/>
        <v>0</v>
      </c>
      <c r="O18" s="547"/>
      <c r="P18" s="548">
        <f t="shared" si="7"/>
        <v>0</v>
      </c>
    </row>
    <row r="19" spans="1:16" ht="15.9" customHeight="1">
      <c r="A19" s="541"/>
      <c r="B19" s="530"/>
      <c r="C19" s="531"/>
      <c r="D19" s="530"/>
      <c r="E19" s="532"/>
      <c r="F19" s="542"/>
      <c r="G19" s="543">
        <f t="shared" si="2"/>
        <v>0</v>
      </c>
      <c r="H19" s="544"/>
      <c r="I19" s="545"/>
      <c r="J19" s="546">
        <f t="shared" si="1"/>
        <v>0</v>
      </c>
      <c r="K19" s="546"/>
      <c r="L19" s="546">
        <f t="shared" si="3"/>
        <v>0</v>
      </c>
      <c r="M19" s="547"/>
      <c r="N19" s="546">
        <f t="shared" si="6"/>
        <v>0</v>
      </c>
      <c r="O19" s="547"/>
      <c r="P19" s="548">
        <f t="shared" si="7"/>
        <v>0</v>
      </c>
    </row>
    <row r="20" spans="1:16" ht="15.9" customHeight="1">
      <c r="A20" s="541"/>
      <c r="B20" s="530"/>
      <c r="C20" s="531"/>
      <c r="D20" s="530"/>
      <c r="E20" s="532"/>
      <c r="F20" s="549"/>
      <c r="G20" s="543">
        <f t="shared" si="2"/>
        <v>0</v>
      </c>
      <c r="H20" s="544"/>
      <c r="I20" s="545"/>
      <c r="J20" s="546">
        <f t="shared" si="1"/>
        <v>0</v>
      </c>
      <c r="K20" s="546"/>
      <c r="L20" s="546">
        <f t="shared" si="3"/>
        <v>0</v>
      </c>
      <c r="M20" s="547"/>
      <c r="N20" s="546">
        <f t="shared" si="6"/>
        <v>0</v>
      </c>
      <c r="O20" s="547"/>
      <c r="P20" s="548">
        <f t="shared" si="7"/>
        <v>0</v>
      </c>
    </row>
    <row r="21" spans="1:16" ht="15.9" customHeight="1">
      <c r="A21" s="541"/>
      <c r="B21" s="530"/>
      <c r="C21" s="531"/>
      <c r="D21" s="530"/>
      <c r="E21" s="532"/>
      <c r="F21" s="549"/>
      <c r="G21" s="543">
        <f t="shared" si="2"/>
        <v>0</v>
      </c>
      <c r="H21" s="544"/>
      <c r="I21" s="545"/>
      <c r="J21" s="546">
        <f t="shared" si="1"/>
        <v>0</v>
      </c>
      <c r="K21" s="546"/>
      <c r="L21" s="546">
        <f t="shared" si="3"/>
        <v>0</v>
      </c>
      <c r="M21" s="547"/>
      <c r="N21" s="546">
        <f t="shared" si="6"/>
        <v>0</v>
      </c>
      <c r="O21" s="547"/>
      <c r="P21" s="548">
        <f t="shared" si="7"/>
        <v>0</v>
      </c>
    </row>
    <row r="22" spans="1:16" ht="15.9" customHeight="1">
      <c r="A22" s="541"/>
      <c r="B22" s="530"/>
      <c r="C22" s="531"/>
      <c r="D22" s="530"/>
      <c r="E22" s="532"/>
      <c r="F22" s="549"/>
      <c r="G22" s="543">
        <f t="shared" si="2"/>
        <v>0</v>
      </c>
      <c r="H22" s="544"/>
      <c r="I22" s="545"/>
      <c r="J22" s="546">
        <f t="shared" si="1"/>
        <v>0</v>
      </c>
      <c r="K22" s="546"/>
      <c r="L22" s="546">
        <f t="shared" si="3"/>
        <v>0</v>
      </c>
      <c r="M22" s="547"/>
      <c r="N22" s="546">
        <f t="shared" si="6"/>
        <v>0</v>
      </c>
      <c r="O22" s="547"/>
      <c r="P22" s="548">
        <f t="shared" si="7"/>
        <v>0</v>
      </c>
    </row>
    <row r="23" spans="1:16" ht="15.9" customHeight="1">
      <c r="A23" s="541"/>
      <c r="B23" s="530"/>
      <c r="C23" s="531"/>
      <c r="D23" s="530"/>
      <c r="E23" s="532"/>
      <c r="F23" s="549"/>
      <c r="G23" s="543">
        <f t="shared" si="2"/>
        <v>0</v>
      </c>
      <c r="H23" s="544"/>
      <c r="I23" s="550"/>
      <c r="J23" s="546">
        <f t="shared" si="1"/>
        <v>0</v>
      </c>
      <c r="K23" s="546"/>
      <c r="L23" s="546">
        <f t="shared" si="3"/>
        <v>0</v>
      </c>
      <c r="M23" s="547"/>
      <c r="N23" s="546">
        <f t="shared" si="6"/>
        <v>0</v>
      </c>
      <c r="O23" s="547"/>
      <c r="P23" s="548">
        <f t="shared" si="7"/>
        <v>0</v>
      </c>
    </row>
    <row r="24" spans="1:16" ht="15.9" customHeight="1">
      <c r="A24" s="541"/>
      <c r="B24" s="530"/>
      <c r="C24" s="531"/>
      <c r="D24" s="530"/>
      <c r="E24" s="532"/>
      <c r="F24" s="549"/>
      <c r="G24" s="543">
        <f t="shared" si="2"/>
        <v>0</v>
      </c>
      <c r="H24" s="544"/>
      <c r="I24" s="550"/>
      <c r="J24" s="546">
        <f t="shared" si="1"/>
        <v>0</v>
      </c>
      <c r="K24" s="546"/>
      <c r="L24" s="546">
        <f t="shared" si="3"/>
        <v>0</v>
      </c>
      <c r="M24" s="547"/>
      <c r="N24" s="546">
        <f t="shared" si="6"/>
        <v>0</v>
      </c>
      <c r="O24" s="547"/>
      <c r="P24" s="548">
        <f t="shared" si="7"/>
        <v>0</v>
      </c>
    </row>
    <row r="25" spans="1:16" ht="15.9" customHeight="1">
      <c r="A25" s="541"/>
      <c r="B25" s="530"/>
      <c r="C25" s="531"/>
      <c r="D25" s="530"/>
      <c r="E25" s="532"/>
      <c r="F25" s="549"/>
      <c r="G25" s="543">
        <f t="shared" si="2"/>
        <v>0</v>
      </c>
      <c r="H25" s="544"/>
      <c r="I25" s="550"/>
      <c r="J25" s="546">
        <f t="shared" si="1"/>
        <v>0</v>
      </c>
      <c r="K25" s="546"/>
      <c r="L25" s="546">
        <f t="shared" si="3"/>
        <v>0</v>
      </c>
      <c r="M25" s="547"/>
      <c r="N25" s="546">
        <f t="shared" si="6"/>
        <v>0</v>
      </c>
      <c r="O25" s="547"/>
      <c r="P25" s="548">
        <f t="shared" si="7"/>
        <v>0</v>
      </c>
    </row>
    <row r="26" spans="1:16" ht="15.9" customHeight="1">
      <c r="A26" s="541"/>
      <c r="B26" s="530"/>
      <c r="C26" s="531"/>
      <c r="D26" s="530"/>
      <c r="E26" s="532"/>
      <c r="F26" s="549"/>
      <c r="G26" s="543"/>
      <c r="H26" s="544"/>
      <c r="I26" s="550"/>
      <c r="J26" s="546">
        <f t="shared" si="1"/>
        <v>0</v>
      </c>
      <c r="K26" s="546"/>
      <c r="L26" s="546">
        <f t="shared" si="3"/>
        <v>0</v>
      </c>
      <c r="M26" s="547"/>
      <c r="N26" s="546">
        <f t="shared" si="6"/>
        <v>0</v>
      </c>
      <c r="O26" s="547"/>
      <c r="P26" s="548">
        <f t="shared" si="7"/>
        <v>0</v>
      </c>
    </row>
    <row r="27" spans="1:16" ht="15.9" customHeight="1">
      <c r="A27" s="541"/>
      <c r="B27" s="530"/>
      <c r="C27" s="531"/>
      <c r="D27" s="530"/>
      <c r="E27" s="532"/>
      <c r="F27" s="549"/>
      <c r="G27" s="543"/>
      <c r="H27" s="544"/>
      <c r="I27" s="550"/>
      <c r="J27" s="546">
        <f t="shared" si="1"/>
        <v>0</v>
      </c>
      <c r="K27" s="546"/>
      <c r="L27" s="546">
        <f t="shared" si="3"/>
        <v>0</v>
      </c>
      <c r="M27" s="547"/>
      <c r="N27" s="546">
        <f t="shared" si="6"/>
        <v>0</v>
      </c>
      <c r="O27" s="547"/>
      <c r="P27" s="548">
        <f t="shared" si="7"/>
        <v>0</v>
      </c>
    </row>
    <row r="28" spans="1:16" ht="15.9" customHeight="1">
      <c r="A28" s="541"/>
      <c r="B28" s="530"/>
      <c r="C28" s="531"/>
      <c r="D28" s="530"/>
      <c r="E28" s="532"/>
      <c r="F28" s="549"/>
      <c r="G28" s="543"/>
      <c r="H28" s="544"/>
      <c r="I28" s="550"/>
      <c r="J28" s="546">
        <f t="shared" si="1"/>
        <v>0</v>
      </c>
      <c r="K28" s="546"/>
      <c r="L28" s="546">
        <f t="shared" si="3"/>
        <v>0</v>
      </c>
      <c r="M28" s="547"/>
      <c r="N28" s="546">
        <f t="shared" si="6"/>
        <v>0</v>
      </c>
      <c r="O28" s="547"/>
      <c r="P28" s="548">
        <f t="shared" si="7"/>
        <v>0</v>
      </c>
    </row>
    <row r="29" spans="1:16" ht="15.9" customHeight="1">
      <c r="A29" s="541"/>
      <c r="B29" s="530"/>
      <c r="C29" s="531"/>
      <c r="D29" s="530"/>
      <c r="E29" s="532"/>
      <c r="F29" s="549"/>
      <c r="G29" s="543"/>
      <c r="H29" s="544"/>
      <c r="I29" s="550"/>
      <c r="J29" s="546">
        <f t="shared" si="1"/>
        <v>0</v>
      </c>
      <c r="K29" s="546"/>
      <c r="L29" s="546">
        <f t="shared" si="3"/>
        <v>0</v>
      </c>
      <c r="M29" s="547"/>
      <c r="N29" s="546">
        <f t="shared" si="6"/>
        <v>0</v>
      </c>
      <c r="O29" s="547"/>
      <c r="P29" s="548">
        <f t="shared" si="7"/>
        <v>0</v>
      </c>
    </row>
    <row r="30" spans="1:16" ht="15.9" customHeight="1">
      <c r="A30" s="541"/>
      <c r="B30" s="530"/>
      <c r="C30" s="531"/>
      <c r="D30" s="530"/>
      <c r="E30" s="532"/>
      <c r="F30" s="549"/>
      <c r="G30" s="543"/>
      <c r="H30" s="544"/>
      <c r="I30" s="550"/>
      <c r="J30" s="546">
        <f t="shared" si="1"/>
        <v>0</v>
      </c>
      <c r="K30" s="546"/>
      <c r="L30" s="546">
        <f t="shared" si="3"/>
        <v>0</v>
      </c>
      <c r="M30" s="547"/>
      <c r="N30" s="546">
        <f t="shared" si="6"/>
        <v>0</v>
      </c>
      <c r="O30" s="547"/>
      <c r="P30" s="548">
        <f t="shared" si="7"/>
        <v>0</v>
      </c>
    </row>
    <row r="31" spans="1:16" ht="15.9" customHeight="1">
      <c r="A31" s="541"/>
      <c r="B31" s="530"/>
      <c r="C31" s="531"/>
      <c r="D31" s="551"/>
      <c r="E31" s="532"/>
      <c r="F31" s="549"/>
      <c r="G31" s="543"/>
      <c r="H31" s="544"/>
      <c r="I31" s="550"/>
      <c r="J31" s="546">
        <f t="shared" si="1"/>
        <v>0</v>
      </c>
      <c r="K31" s="546"/>
      <c r="L31" s="546">
        <f t="shared" si="3"/>
        <v>0</v>
      </c>
      <c r="M31" s="547"/>
      <c r="N31" s="546">
        <f t="shared" si="6"/>
        <v>0</v>
      </c>
      <c r="O31" s="547"/>
      <c r="P31" s="548">
        <f t="shared" si="7"/>
        <v>0</v>
      </c>
    </row>
    <row r="32" spans="1:16" ht="15.9" customHeight="1">
      <c r="A32" s="541"/>
      <c r="B32" s="530"/>
      <c r="C32" s="531"/>
      <c r="D32" s="551"/>
      <c r="E32" s="532"/>
      <c r="F32" s="549"/>
      <c r="G32" s="543"/>
      <c r="H32" s="544"/>
      <c r="I32" s="550"/>
      <c r="J32" s="546">
        <f t="shared" si="1"/>
        <v>0</v>
      </c>
      <c r="K32" s="546"/>
      <c r="L32" s="546">
        <f t="shared" si="3"/>
        <v>0</v>
      </c>
      <c r="M32" s="547"/>
      <c r="N32" s="546">
        <f t="shared" si="6"/>
        <v>0</v>
      </c>
      <c r="O32" s="547"/>
      <c r="P32" s="548">
        <f t="shared" si="7"/>
        <v>0</v>
      </c>
    </row>
    <row r="33" spans="1:16" ht="15.9" customHeight="1">
      <c r="A33" s="552"/>
      <c r="B33" s="553">
        <f>+B29</f>
        <v>0</v>
      </c>
      <c r="C33" s="554"/>
      <c r="D33" s="555"/>
      <c r="E33" s="556"/>
      <c r="F33" s="542"/>
      <c r="G33" s="543">
        <f>SUM(G5:G32)</f>
        <v>1096000</v>
      </c>
      <c r="H33" s="544"/>
      <c r="I33" s="557"/>
      <c r="J33" s="558">
        <f>M33</f>
        <v>0</v>
      </c>
      <c r="K33" s="546"/>
      <c r="L33" s="546">
        <f t="shared" si="3"/>
        <v>0</v>
      </c>
      <c r="M33" s="546"/>
      <c r="N33" s="546">
        <f t="shared" si="6"/>
        <v>0</v>
      </c>
      <c r="O33" s="546"/>
      <c r="P33" s="548">
        <f t="shared" si="7"/>
        <v>0</v>
      </c>
    </row>
    <row r="34" spans="1:16" ht="15.9" customHeight="1">
      <c r="A34" s="512"/>
      <c r="B34" s="765"/>
      <c r="C34" s="765"/>
      <c r="D34" s="765"/>
      <c r="E34" s="765"/>
      <c r="F34" s="765"/>
      <c r="G34" s="765"/>
      <c r="H34" s="765"/>
      <c r="I34" s="765"/>
      <c r="J34" s="766"/>
      <c r="K34" s="559">
        <f>SUM(K5:K33)</f>
        <v>1370000</v>
      </c>
      <c r="L34" s="560">
        <f t="shared" ref="L34:P34" si="8">SUM(L5:L33)</f>
        <v>1370000</v>
      </c>
      <c r="M34" s="560">
        <f t="shared" si="8"/>
        <v>1500000</v>
      </c>
      <c r="N34" s="560">
        <f t="shared" si="8"/>
        <v>1500000</v>
      </c>
      <c r="O34" s="560">
        <f t="shared" si="8"/>
        <v>1570000</v>
      </c>
      <c r="P34" s="561">
        <f t="shared" si="8"/>
        <v>1570000</v>
      </c>
    </row>
    <row r="35" spans="1:16" ht="15.9" customHeight="1">
      <c r="A35" s="515"/>
      <c r="B35" s="767"/>
      <c r="C35" s="767"/>
      <c r="D35" s="767"/>
      <c r="E35" s="767"/>
      <c r="F35" s="767"/>
      <c r="G35" s="767"/>
      <c r="H35" s="767"/>
      <c r="I35" s="767"/>
      <c r="J35" s="768"/>
      <c r="K35" s="562" t="s">
        <v>400</v>
      </c>
      <c r="L35" s="438" t="s">
        <v>401</v>
      </c>
      <c r="M35" s="438" t="s">
        <v>402</v>
      </c>
      <c r="N35" s="438" t="s">
        <v>403</v>
      </c>
      <c r="O35" s="438" t="s">
        <v>404</v>
      </c>
      <c r="P35" s="439" t="s">
        <v>405</v>
      </c>
    </row>
  </sheetData>
  <mergeCells count="10">
    <mergeCell ref="G3:G4"/>
    <mergeCell ref="I3:J3"/>
    <mergeCell ref="B34:J35"/>
    <mergeCell ref="B1:B2"/>
    <mergeCell ref="D1:D2"/>
    <mergeCell ref="B3:B4"/>
    <mergeCell ref="D3:D4"/>
    <mergeCell ref="E3:E4"/>
    <mergeCell ref="F3:F4"/>
    <mergeCell ref="F1:P1"/>
  </mergeCells>
  <phoneticPr fontId="48"/>
  <pageMargins left="0.59055118110236227" right="0.59055118110236227" top="0.59055118110236227" bottom="0.43307086614173229" header="0.59055118110236227" footer="0.35433070866141736"/>
  <pageSetup paperSize="9" orientation="landscape" horizontalDpi="4294967292" verticalDpi="1200" r:id="rId1"/>
  <headerFooter>
    <oddFooter>&amp;RNo&amp;P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DCC74-7F3C-4431-94AE-A9423CCD21CD}">
  <sheetPr>
    <tabColor theme="8" tint="-0.249977111117893"/>
  </sheetPr>
  <dimension ref="A1:P35"/>
  <sheetViews>
    <sheetView showGridLines="0" showZeros="0" view="pageBreakPreview" topLeftCell="B3" zoomScale="120" zoomScaleNormal="80" zoomScaleSheetLayoutView="120" workbookViewId="0">
      <selection activeCell="D15" sqref="D15"/>
    </sheetView>
  </sheetViews>
  <sheetFormatPr defaultColWidth="9" defaultRowHeight="13.2"/>
  <cols>
    <col min="1" max="1" width="0.88671875" style="423" customWidth="1"/>
    <col min="2" max="2" width="18.109375" style="563" customWidth="1"/>
    <col min="3" max="3" width="0.88671875" style="563" customWidth="1"/>
    <col min="4" max="4" width="17.6640625" style="563" customWidth="1"/>
    <col min="5" max="5" width="4.77734375" style="563" bestFit="1" customWidth="1"/>
    <col min="6" max="6" width="4.77734375" style="564" bestFit="1" customWidth="1"/>
    <col min="7" max="7" width="10.33203125" style="563" bestFit="1" customWidth="1"/>
    <col min="8" max="8" width="7" style="563" customWidth="1"/>
    <col min="9" max="9" width="4.33203125" style="563" customWidth="1"/>
    <col min="10" max="16" width="9.6640625" style="563" customWidth="1"/>
    <col min="17" max="16384" width="9" style="423"/>
  </cols>
  <sheetData>
    <row r="1" spans="1:16" ht="15.9" customHeight="1">
      <c r="A1" s="512"/>
      <c r="B1" s="766" t="s">
        <v>483</v>
      </c>
      <c r="C1" s="513"/>
      <c r="D1" s="766" t="s">
        <v>327</v>
      </c>
      <c r="E1" s="514"/>
      <c r="F1" s="421"/>
      <c r="G1" s="421"/>
      <c r="H1" s="421"/>
      <c r="I1" s="421"/>
      <c r="J1" s="514"/>
      <c r="K1" s="421"/>
      <c r="L1" s="421"/>
      <c r="M1" s="421"/>
      <c r="N1" s="421"/>
      <c r="O1" s="421"/>
      <c r="P1" s="421"/>
    </row>
    <row r="2" spans="1:16" ht="15.9" customHeight="1">
      <c r="A2" s="515"/>
      <c r="B2" s="769"/>
      <c r="C2" s="517"/>
      <c r="D2" s="768"/>
      <c r="E2" s="518"/>
      <c r="F2" s="440"/>
      <c r="G2" s="518"/>
      <c r="H2" s="518"/>
      <c r="I2" s="518"/>
      <c r="J2" s="518"/>
      <c r="K2" s="519"/>
      <c r="L2" s="519"/>
      <c r="M2" s="519"/>
      <c r="N2" s="519"/>
      <c r="O2" s="519"/>
      <c r="P2" s="519"/>
    </row>
    <row r="3" spans="1:16" ht="15.9" customHeight="1">
      <c r="A3" s="520"/>
      <c r="B3" s="764" t="s">
        <v>391</v>
      </c>
      <c r="C3" s="499"/>
      <c r="D3" s="764" t="s">
        <v>392</v>
      </c>
      <c r="E3" s="758" t="s">
        <v>70</v>
      </c>
      <c r="F3" s="758" t="s">
        <v>5</v>
      </c>
      <c r="G3" s="758" t="s">
        <v>77</v>
      </c>
      <c r="H3" s="425" t="s">
        <v>71</v>
      </c>
      <c r="I3" s="752" t="s">
        <v>393</v>
      </c>
      <c r="J3" s="764"/>
      <c r="K3" s="521">
        <v>1</v>
      </c>
      <c r="L3" s="522" t="s">
        <v>486</v>
      </c>
      <c r="M3" s="425">
        <v>2</v>
      </c>
      <c r="N3" s="523" t="s">
        <v>487</v>
      </c>
      <c r="O3" s="521">
        <v>3</v>
      </c>
      <c r="P3" s="633"/>
    </row>
    <row r="4" spans="1:16" ht="15.9" customHeight="1">
      <c r="A4" s="515"/>
      <c r="B4" s="770"/>
      <c r="C4" s="440"/>
      <c r="D4" s="770"/>
      <c r="E4" s="763"/>
      <c r="F4" s="763"/>
      <c r="G4" s="763"/>
      <c r="H4" s="524">
        <v>1</v>
      </c>
      <c r="I4" s="525">
        <v>1</v>
      </c>
      <c r="J4" s="526" t="s">
        <v>395</v>
      </c>
      <c r="K4" s="527" t="s">
        <v>320</v>
      </c>
      <c r="L4" s="437" t="s">
        <v>396</v>
      </c>
      <c r="M4" s="437" t="s">
        <v>320</v>
      </c>
      <c r="N4" s="437" t="s">
        <v>396</v>
      </c>
      <c r="O4" s="437" t="s">
        <v>320</v>
      </c>
      <c r="P4" s="528" t="s">
        <v>396</v>
      </c>
    </row>
    <row r="5" spans="1:16" ht="15.9" customHeight="1">
      <c r="A5" s="529"/>
      <c r="B5" s="634" t="s">
        <v>488</v>
      </c>
      <c r="C5" s="531"/>
      <c r="D5" s="530" t="s">
        <v>484</v>
      </c>
      <c r="E5" s="532" t="s">
        <v>125</v>
      </c>
      <c r="F5" s="533">
        <v>1</v>
      </c>
      <c r="G5" s="534">
        <f>ROUNDDOWN(H5*J5,-2)</f>
        <v>8200</v>
      </c>
      <c r="H5" s="535">
        <f t="shared" ref="H5:I6" si="0">H4</f>
        <v>1</v>
      </c>
      <c r="I5" s="536">
        <f t="shared" si="0"/>
        <v>1</v>
      </c>
      <c r="J5" s="537">
        <f t="shared" ref="J5:J32" si="1">K5</f>
        <v>8200</v>
      </c>
      <c r="K5" s="538">
        <v>8200</v>
      </c>
      <c r="L5" s="538">
        <f>F5*K5</f>
        <v>8200</v>
      </c>
      <c r="M5" s="539">
        <v>15360</v>
      </c>
      <c r="N5" s="538">
        <f>F5*M5</f>
        <v>15360</v>
      </c>
      <c r="O5" s="539"/>
      <c r="P5" s="540">
        <f>F5*O5</f>
        <v>0</v>
      </c>
    </row>
    <row r="6" spans="1:16" ht="15.9" customHeight="1">
      <c r="A6" s="541"/>
      <c r="B6" s="634" t="s">
        <v>489</v>
      </c>
      <c r="C6" s="531"/>
      <c r="D6" s="530" t="s">
        <v>485</v>
      </c>
      <c r="E6" s="532" t="s">
        <v>125</v>
      </c>
      <c r="F6" s="542">
        <v>1</v>
      </c>
      <c r="G6" s="543">
        <f t="shared" ref="G6:G25" si="2">ROUNDDOWN(H6*J6,-2)</f>
        <v>17000</v>
      </c>
      <c r="H6" s="544">
        <f t="shared" si="0"/>
        <v>1</v>
      </c>
      <c r="I6" s="545">
        <f t="shared" si="0"/>
        <v>1</v>
      </c>
      <c r="J6" s="546">
        <f t="shared" si="1"/>
        <v>17000</v>
      </c>
      <c r="K6" s="546">
        <v>17000</v>
      </c>
      <c r="L6" s="546">
        <f t="shared" ref="L6:L33" si="3">F6*K6</f>
        <v>17000</v>
      </c>
      <c r="M6" s="547">
        <v>29100</v>
      </c>
      <c r="N6" s="546">
        <f t="shared" ref="N6:N16" si="4">F6*M6</f>
        <v>29100</v>
      </c>
      <c r="O6" s="547"/>
      <c r="P6" s="548">
        <f t="shared" ref="P6:P16" si="5">F6*O6</f>
        <v>0</v>
      </c>
    </row>
    <row r="7" spans="1:16" ht="15.9" customHeight="1">
      <c r="A7" s="541"/>
      <c r="B7" s="530"/>
      <c r="C7" s="531"/>
      <c r="D7" s="530"/>
      <c r="E7" s="532"/>
      <c r="F7" s="542"/>
      <c r="G7" s="543"/>
      <c r="H7" s="544"/>
      <c r="I7" s="545"/>
      <c r="J7" s="546"/>
      <c r="K7" s="546"/>
      <c r="L7" s="546"/>
      <c r="M7" s="547"/>
      <c r="N7" s="546"/>
      <c r="O7" s="547"/>
      <c r="P7" s="548">
        <f t="shared" si="5"/>
        <v>0</v>
      </c>
    </row>
    <row r="8" spans="1:16" ht="15.9" customHeight="1">
      <c r="A8" s="541"/>
      <c r="B8" s="530"/>
      <c r="C8" s="531"/>
      <c r="D8" s="530"/>
      <c r="E8" s="532"/>
      <c r="F8" s="542"/>
      <c r="G8" s="543"/>
      <c r="H8" s="544"/>
      <c r="I8" s="545"/>
      <c r="J8" s="546"/>
      <c r="K8" s="546"/>
      <c r="L8" s="546"/>
      <c r="M8" s="547"/>
      <c r="N8" s="546"/>
      <c r="O8" s="547"/>
      <c r="P8" s="548">
        <f t="shared" si="5"/>
        <v>0</v>
      </c>
    </row>
    <row r="9" spans="1:16" ht="15.9" customHeight="1">
      <c r="A9" s="541"/>
      <c r="B9" s="530"/>
      <c r="C9" s="531"/>
      <c r="D9" s="530"/>
      <c r="E9" s="532"/>
      <c r="F9" s="542"/>
      <c r="G9" s="543"/>
      <c r="H9" s="544"/>
      <c r="I9" s="545"/>
      <c r="J9" s="546"/>
      <c r="K9" s="546"/>
      <c r="L9" s="546"/>
      <c r="M9" s="547"/>
      <c r="N9" s="546">
        <f t="shared" si="4"/>
        <v>0</v>
      </c>
      <c r="O9" s="547"/>
      <c r="P9" s="548">
        <f t="shared" si="5"/>
        <v>0</v>
      </c>
    </row>
    <row r="10" spans="1:16" ht="15.9" customHeight="1">
      <c r="A10" s="541"/>
      <c r="B10" s="530"/>
      <c r="C10" s="531"/>
      <c r="D10" s="530"/>
      <c r="E10" s="532"/>
      <c r="F10" s="542"/>
      <c r="G10" s="543"/>
      <c r="H10" s="544"/>
      <c r="I10" s="545"/>
      <c r="J10" s="546"/>
      <c r="K10" s="546"/>
      <c r="L10" s="546"/>
      <c r="M10" s="547"/>
      <c r="N10" s="546">
        <f t="shared" si="4"/>
        <v>0</v>
      </c>
      <c r="O10" s="547"/>
      <c r="P10" s="548">
        <f t="shared" si="5"/>
        <v>0</v>
      </c>
    </row>
    <row r="11" spans="1:16" ht="15.9" customHeight="1">
      <c r="A11" s="541"/>
      <c r="B11" s="530"/>
      <c r="C11" s="531"/>
      <c r="D11" s="530"/>
      <c r="E11" s="532"/>
      <c r="F11" s="542"/>
      <c r="G11" s="543"/>
      <c r="H11" s="544"/>
      <c r="I11" s="545"/>
      <c r="J11" s="546"/>
      <c r="K11" s="546"/>
      <c r="L11" s="546"/>
      <c r="M11" s="547"/>
      <c r="N11" s="546">
        <f t="shared" si="4"/>
        <v>0</v>
      </c>
      <c r="O11" s="547"/>
      <c r="P11" s="548">
        <f t="shared" si="5"/>
        <v>0</v>
      </c>
    </row>
    <row r="12" spans="1:16" ht="15.9" customHeight="1">
      <c r="A12" s="541"/>
      <c r="B12" s="530"/>
      <c r="C12" s="531"/>
      <c r="D12" s="530"/>
      <c r="E12" s="532"/>
      <c r="F12" s="542"/>
      <c r="G12" s="543">
        <f t="shared" si="2"/>
        <v>0</v>
      </c>
      <c r="H12" s="544"/>
      <c r="I12" s="545"/>
      <c r="J12" s="546">
        <f t="shared" si="1"/>
        <v>0</v>
      </c>
      <c r="K12" s="546"/>
      <c r="L12" s="546">
        <f t="shared" si="3"/>
        <v>0</v>
      </c>
      <c r="M12" s="547"/>
      <c r="N12" s="546">
        <f t="shared" si="4"/>
        <v>0</v>
      </c>
      <c r="O12" s="547"/>
      <c r="P12" s="548">
        <f t="shared" si="5"/>
        <v>0</v>
      </c>
    </row>
    <row r="13" spans="1:16" ht="15.9" customHeight="1">
      <c r="A13" s="541"/>
      <c r="B13" s="530"/>
      <c r="C13" s="531"/>
      <c r="D13" s="530"/>
      <c r="E13" s="532"/>
      <c r="F13" s="542"/>
      <c r="G13" s="543"/>
      <c r="H13" s="544"/>
      <c r="I13" s="545"/>
      <c r="J13" s="546"/>
      <c r="K13" s="546"/>
      <c r="L13" s="546"/>
      <c r="M13" s="547"/>
      <c r="N13" s="546"/>
      <c r="O13" s="547"/>
      <c r="P13" s="548"/>
    </row>
    <row r="14" spans="1:16" ht="15.9" customHeight="1">
      <c r="A14" s="541"/>
      <c r="B14" s="530"/>
      <c r="C14" s="531"/>
      <c r="D14" s="530"/>
      <c r="E14" s="532"/>
      <c r="F14" s="542"/>
      <c r="G14" s="543">
        <f t="shared" si="2"/>
        <v>0</v>
      </c>
      <c r="H14" s="544"/>
      <c r="I14" s="545"/>
      <c r="J14" s="546">
        <f t="shared" si="1"/>
        <v>0</v>
      </c>
      <c r="K14" s="546"/>
      <c r="L14" s="546">
        <f t="shared" si="3"/>
        <v>0</v>
      </c>
      <c r="M14" s="547"/>
      <c r="N14" s="546">
        <f t="shared" si="4"/>
        <v>0</v>
      </c>
      <c r="O14" s="547"/>
      <c r="P14" s="548">
        <f t="shared" si="5"/>
        <v>0</v>
      </c>
    </row>
    <row r="15" spans="1:16" ht="15.9" customHeight="1">
      <c r="A15" s="541"/>
      <c r="B15" s="530"/>
      <c r="C15" s="531"/>
      <c r="D15" s="530"/>
      <c r="E15" s="532"/>
      <c r="F15" s="542"/>
      <c r="G15" s="543">
        <f t="shared" si="2"/>
        <v>0</v>
      </c>
      <c r="H15" s="544"/>
      <c r="I15" s="545"/>
      <c r="J15" s="546">
        <f t="shared" si="1"/>
        <v>0</v>
      </c>
      <c r="K15" s="546"/>
      <c r="L15" s="546">
        <f t="shared" si="3"/>
        <v>0</v>
      </c>
      <c r="M15" s="547"/>
      <c r="N15" s="546">
        <f t="shared" si="4"/>
        <v>0</v>
      </c>
      <c r="O15" s="547"/>
      <c r="P15" s="548">
        <f t="shared" si="5"/>
        <v>0</v>
      </c>
    </row>
    <row r="16" spans="1:16" ht="15.9" customHeight="1">
      <c r="A16" s="541"/>
      <c r="B16" s="530"/>
      <c r="C16" s="531"/>
      <c r="D16" s="530"/>
      <c r="E16" s="532"/>
      <c r="F16" s="542"/>
      <c r="G16" s="543">
        <f t="shared" si="2"/>
        <v>0</v>
      </c>
      <c r="H16" s="544"/>
      <c r="I16" s="545"/>
      <c r="J16" s="546">
        <f t="shared" si="1"/>
        <v>0</v>
      </c>
      <c r="K16" s="546"/>
      <c r="L16" s="546">
        <f t="shared" si="3"/>
        <v>0</v>
      </c>
      <c r="M16" s="547"/>
      <c r="N16" s="546">
        <f t="shared" si="4"/>
        <v>0</v>
      </c>
      <c r="O16" s="547"/>
      <c r="P16" s="548">
        <f t="shared" si="5"/>
        <v>0</v>
      </c>
    </row>
    <row r="17" spans="1:16" ht="15.9" customHeight="1">
      <c r="A17" s="541"/>
      <c r="B17" s="530"/>
      <c r="C17" s="531"/>
      <c r="D17" s="530"/>
      <c r="E17" s="532"/>
      <c r="F17" s="542"/>
      <c r="G17" s="543">
        <f t="shared" si="2"/>
        <v>0</v>
      </c>
      <c r="H17" s="544"/>
      <c r="I17" s="545"/>
      <c r="J17" s="546">
        <f t="shared" si="1"/>
        <v>0</v>
      </c>
      <c r="K17" s="546"/>
      <c r="L17" s="546">
        <f t="shared" si="3"/>
        <v>0</v>
      </c>
      <c r="M17" s="547"/>
      <c r="N17" s="546">
        <f t="shared" ref="N17:N33" si="6">M17*F17</f>
        <v>0</v>
      </c>
      <c r="O17" s="547"/>
      <c r="P17" s="548">
        <f t="shared" ref="P17:P33" si="7">O17*F17</f>
        <v>0</v>
      </c>
    </row>
    <row r="18" spans="1:16" ht="15.9" customHeight="1">
      <c r="A18" s="541"/>
      <c r="B18" s="530"/>
      <c r="C18" s="531"/>
      <c r="D18" s="530"/>
      <c r="E18" s="532"/>
      <c r="F18" s="542"/>
      <c r="G18" s="543">
        <f t="shared" si="2"/>
        <v>0</v>
      </c>
      <c r="H18" s="544"/>
      <c r="I18" s="545"/>
      <c r="J18" s="546">
        <f t="shared" si="1"/>
        <v>0</v>
      </c>
      <c r="K18" s="546"/>
      <c r="L18" s="546">
        <f t="shared" si="3"/>
        <v>0</v>
      </c>
      <c r="M18" s="547"/>
      <c r="N18" s="546">
        <f t="shared" si="6"/>
        <v>0</v>
      </c>
      <c r="O18" s="547"/>
      <c r="P18" s="548">
        <f t="shared" si="7"/>
        <v>0</v>
      </c>
    </row>
    <row r="19" spans="1:16" ht="15.9" customHeight="1">
      <c r="A19" s="541"/>
      <c r="B19" s="530"/>
      <c r="C19" s="531"/>
      <c r="D19" s="530"/>
      <c r="E19" s="532"/>
      <c r="F19" s="542"/>
      <c r="G19" s="543">
        <f t="shared" si="2"/>
        <v>0</v>
      </c>
      <c r="H19" s="544"/>
      <c r="I19" s="545"/>
      <c r="J19" s="546">
        <f t="shared" si="1"/>
        <v>0</v>
      </c>
      <c r="K19" s="546"/>
      <c r="L19" s="546">
        <f t="shared" si="3"/>
        <v>0</v>
      </c>
      <c r="M19" s="547"/>
      <c r="N19" s="546">
        <f t="shared" si="6"/>
        <v>0</v>
      </c>
      <c r="O19" s="547"/>
      <c r="P19" s="548">
        <f t="shared" si="7"/>
        <v>0</v>
      </c>
    </row>
    <row r="20" spans="1:16" ht="15.9" customHeight="1">
      <c r="A20" s="541"/>
      <c r="B20" s="530"/>
      <c r="C20" s="531"/>
      <c r="D20" s="530"/>
      <c r="E20" s="532"/>
      <c r="F20" s="549"/>
      <c r="G20" s="543">
        <f t="shared" si="2"/>
        <v>0</v>
      </c>
      <c r="H20" s="544"/>
      <c r="I20" s="545"/>
      <c r="J20" s="546">
        <f t="shared" si="1"/>
        <v>0</v>
      </c>
      <c r="K20" s="546"/>
      <c r="L20" s="546">
        <f t="shared" si="3"/>
        <v>0</v>
      </c>
      <c r="M20" s="547"/>
      <c r="N20" s="546">
        <f t="shared" si="6"/>
        <v>0</v>
      </c>
      <c r="O20" s="547"/>
      <c r="P20" s="548">
        <f t="shared" si="7"/>
        <v>0</v>
      </c>
    </row>
    <row r="21" spans="1:16" ht="15.9" customHeight="1">
      <c r="A21" s="541"/>
      <c r="B21" s="530"/>
      <c r="C21" s="531"/>
      <c r="D21" s="530"/>
      <c r="E21" s="532"/>
      <c r="F21" s="549"/>
      <c r="G21" s="543">
        <f t="shared" si="2"/>
        <v>0</v>
      </c>
      <c r="H21" s="544"/>
      <c r="I21" s="545"/>
      <c r="J21" s="546">
        <f t="shared" si="1"/>
        <v>0</v>
      </c>
      <c r="K21" s="546"/>
      <c r="L21" s="546">
        <f t="shared" si="3"/>
        <v>0</v>
      </c>
      <c r="M21" s="547"/>
      <c r="N21" s="546">
        <f t="shared" si="6"/>
        <v>0</v>
      </c>
      <c r="O21" s="547"/>
      <c r="P21" s="548">
        <f t="shared" si="7"/>
        <v>0</v>
      </c>
    </row>
    <row r="22" spans="1:16" ht="15.9" customHeight="1">
      <c r="A22" s="541"/>
      <c r="B22" s="530"/>
      <c r="C22" s="531"/>
      <c r="D22" s="530"/>
      <c r="E22" s="532"/>
      <c r="F22" s="549"/>
      <c r="G22" s="543">
        <f t="shared" si="2"/>
        <v>0</v>
      </c>
      <c r="H22" s="544"/>
      <c r="I22" s="545"/>
      <c r="J22" s="546">
        <f t="shared" si="1"/>
        <v>0</v>
      </c>
      <c r="K22" s="546"/>
      <c r="L22" s="546">
        <f t="shared" si="3"/>
        <v>0</v>
      </c>
      <c r="M22" s="547"/>
      <c r="N22" s="546">
        <f t="shared" si="6"/>
        <v>0</v>
      </c>
      <c r="O22" s="547"/>
      <c r="P22" s="548">
        <f t="shared" si="7"/>
        <v>0</v>
      </c>
    </row>
    <row r="23" spans="1:16" ht="15.9" customHeight="1">
      <c r="A23" s="541"/>
      <c r="B23" s="530"/>
      <c r="C23" s="531"/>
      <c r="D23" s="530"/>
      <c r="E23" s="532"/>
      <c r="F23" s="549"/>
      <c r="G23" s="543">
        <f t="shared" si="2"/>
        <v>0</v>
      </c>
      <c r="H23" s="544"/>
      <c r="I23" s="550"/>
      <c r="J23" s="546">
        <f t="shared" si="1"/>
        <v>0</v>
      </c>
      <c r="K23" s="546"/>
      <c r="L23" s="546">
        <f t="shared" si="3"/>
        <v>0</v>
      </c>
      <c r="M23" s="547"/>
      <c r="N23" s="546">
        <f t="shared" si="6"/>
        <v>0</v>
      </c>
      <c r="O23" s="547"/>
      <c r="P23" s="548">
        <f t="shared" si="7"/>
        <v>0</v>
      </c>
    </row>
    <row r="24" spans="1:16" ht="15.9" customHeight="1">
      <c r="A24" s="541"/>
      <c r="B24" s="530"/>
      <c r="C24" s="531"/>
      <c r="D24" s="530"/>
      <c r="E24" s="532"/>
      <c r="F24" s="549"/>
      <c r="G24" s="543">
        <f t="shared" si="2"/>
        <v>0</v>
      </c>
      <c r="H24" s="544"/>
      <c r="I24" s="550"/>
      <c r="J24" s="546">
        <f t="shared" si="1"/>
        <v>0</v>
      </c>
      <c r="K24" s="546"/>
      <c r="L24" s="546">
        <f t="shared" si="3"/>
        <v>0</v>
      </c>
      <c r="M24" s="547"/>
      <c r="N24" s="546">
        <f t="shared" si="6"/>
        <v>0</v>
      </c>
      <c r="O24" s="547"/>
      <c r="P24" s="548">
        <f t="shared" si="7"/>
        <v>0</v>
      </c>
    </row>
    <row r="25" spans="1:16" ht="15.9" customHeight="1">
      <c r="A25" s="541"/>
      <c r="B25" s="530"/>
      <c r="C25" s="531"/>
      <c r="D25" s="530"/>
      <c r="E25" s="532"/>
      <c r="F25" s="549"/>
      <c r="G25" s="543">
        <f t="shared" si="2"/>
        <v>0</v>
      </c>
      <c r="H25" s="544"/>
      <c r="I25" s="550"/>
      <c r="J25" s="546">
        <f t="shared" si="1"/>
        <v>0</v>
      </c>
      <c r="K25" s="546"/>
      <c r="L25" s="546">
        <f t="shared" si="3"/>
        <v>0</v>
      </c>
      <c r="M25" s="547"/>
      <c r="N25" s="546">
        <f t="shared" si="6"/>
        <v>0</v>
      </c>
      <c r="O25" s="547"/>
      <c r="P25" s="548">
        <f t="shared" si="7"/>
        <v>0</v>
      </c>
    </row>
    <row r="26" spans="1:16" ht="15.9" customHeight="1">
      <c r="A26" s="541"/>
      <c r="B26" s="530"/>
      <c r="C26" s="531"/>
      <c r="D26" s="530"/>
      <c r="E26" s="532"/>
      <c r="F26" s="549"/>
      <c r="G26" s="543"/>
      <c r="H26" s="544"/>
      <c r="I26" s="550"/>
      <c r="J26" s="546">
        <f t="shared" si="1"/>
        <v>0</v>
      </c>
      <c r="K26" s="546"/>
      <c r="L26" s="546">
        <f t="shared" si="3"/>
        <v>0</v>
      </c>
      <c r="M26" s="547"/>
      <c r="N26" s="546">
        <f t="shared" si="6"/>
        <v>0</v>
      </c>
      <c r="O26" s="547"/>
      <c r="P26" s="548">
        <f t="shared" si="7"/>
        <v>0</v>
      </c>
    </row>
    <row r="27" spans="1:16" ht="15.9" customHeight="1">
      <c r="A27" s="541"/>
      <c r="B27" s="530"/>
      <c r="C27" s="531"/>
      <c r="D27" s="530"/>
      <c r="E27" s="532"/>
      <c r="F27" s="549"/>
      <c r="G27" s="543"/>
      <c r="H27" s="544"/>
      <c r="I27" s="550"/>
      <c r="J27" s="546">
        <f t="shared" si="1"/>
        <v>0</v>
      </c>
      <c r="K27" s="546"/>
      <c r="L27" s="546">
        <f t="shared" si="3"/>
        <v>0</v>
      </c>
      <c r="M27" s="547"/>
      <c r="N27" s="546">
        <f t="shared" si="6"/>
        <v>0</v>
      </c>
      <c r="O27" s="547"/>
      <c r="P27" s="548">
        <f t="shared" si="7"/>
        <v>0</v>
      </c>
    </row>
    <row r="28" spans="1:16" ht="15.9" customHeight="1">
      <c r="A28" s="541"/>
      <c r="B28" s="530"/>
      <c r="C28" s="531"/>
      <c r="D28" s="530"/>
      <c r="E28" s="532"/>
      <c r="F28" s="549"/>
      <c r="G28" s="543"/>
      <c r="H28" s="544"/>
      <c r="I28" s="550"/>
      <c r="J28" s="546">
        <f t="shared" si="1"/>
        <v>0</v>
      </c>
      <c r="K28" s="546"/>
      <c r="L28" s="546">
        <f t="shared" si="3"/>
        <v>0</v>
      </c>
      <c r="M28" s="547"/>
      <c r="N28" s="546">
        <f t="shared" si="6"/>
        <v>0</v>
      </c>
      <c r="O28" s="547"/>
      <c r="P28" s="548">
        <f t="shared" si="7"/>
        <v>0</v>
      </c>
    </row>
    <row r="29" spans="1:16" ht="15.9" customHeight="1">
      <c r="A29" s="541"/>
      <c r="B29" s="530"/>
      <c r="C29" s="531"/>
      <c r="D29" s="530"/>
      <c r="E29" s="532"/>
      <c r="F29" s="549"/>
      <c r="G29" s="543"/>
      <c r="H29" s="544"/>
      <c r="I29" s="550"/>
      <c r="J29" s="546">
        <f t="shared" si="1"/>
        <v>0</v>
      </c>
      <c r="K29" s="546"/>
      <c r="L29" s="546">
        <f t="shared" si="3"/>
        <v>0</v>
      </c>
      <c r="M29" s="547"/>
      <c r="N29" s="546">
        <f t="shared" si="6"/>
        <v>0</v>
      </c>
      <c r="O29" s="547"/>
      <c r="P29" s="548">
        <f t="shared" si="7"/>
        <v>0</v>
      </c>
    </row>
    <row r="30" spans="1:16" ht="15.9" customHeight="1">
      <c r="A30" s="541"/>
      <c r="B30" s="530"/>
      <c r="C30" s="531"/>
      <c r="D30" s="530"/>
      <c r="E30" s="532"/>
      <c r="F30" s="549"/>
      <c r="G30" s="543"/>
      <c r="H30" s="544"/>
      <c r="I30" s="550"/>
      <c r="J30" s="546">
        <f t="shared" si="1"/>
        <v>0</v>
      </c>
      <c r="K30" s="546"/>
      <c r="L30" s="546">
        <f t="shared" si="3"/>
        <v>0</v>
      </c>
      <c r="M30" s="547"/>
      <c r="N30" s="546">
        <f t="shared" si="6"/>
        <v>0</v>
      </c>
      <c r="O30" s="547"/>
      <c r="P30" s="548">
        <f t="shared" si="7"/>
        <v>0</v>
      </c>
    </row>
    <row r="31" spans="1:16" ht="15.9" customHeight="1">
      <c r="A31" s="541"/>
      <c r="B31" s="530"/>
      <c r="C31" s="531"/>
      <c r="D31" s="551"/>
      <c r="E31" s="532"/>
      <c r="F31" s="549"/>
      <c r="G31" s="543"/>
      <c r="H31" s="544"/>
      <c r="I31" s="550"/>
      <c r="J31" s="546">
        <f t="shared" si="1"/>
        <v>0</v>
      </c>
      <c r="K31" s="546"/>
      <c r="L31" s="546">
        <f t="shared" si="3"/>
        <v>0</v>
      </c>
      <c r="M31" s="547"/>
      <c r="N31" s="546">
        <f t="shared" si="6"/>
        <v>0</v>
      </c>
      <c r="O31" s="547"/>
      <c r="P31" s="548">
        <f t="shared" si="7"/>
        <v>0</v>
      </c>
    </row>
    <row r="32" spans="1:16" ht="15.9" customHeight="1">
      <c r="A32" s="541"/>
      <c r="B32" s="530"/>
      <c r="C32" s="531"/>
      <c r="D32" s="551"/>
      <c r="E32" s="532"/>
      <c r="F32" s="549"/>
      <c r="G32" s="543"/>
      <c r="H32" s="544"/>
      <c r="I32" s="550"/>
      <c r="J32" s="546">
        <f t="shared" si="1"/>
        <v>0</v>
      </c>
      <c r="K32" s="546"/>
      <c r="L32" s="546">
        <f t="shared" si="3"/>
        <v>0</v>
      </c>
      <c r="M32" s="547"/>
      <c r="N32" s="546">
        <f t="shared" si="6"/>
        <v>0</v>
      </c>
      <c r="O32" s="547"/>
      <c r="P32" s="548">
        <f t="shared" si="7"/>
        <v>0</v>
      </c>
    </row>
    <row r="33" spans="1:16" ht="15.9" customHeight="1">
      <c r="A33" s="552"/>
      <c r="B33" s="553">
        <f>+B29</f>
        <v>0</v>
      </c>
      <c r="C33" s="554"/>
      <c r="D33" s="555"/>
      <c r="E33" s="556"/>
      <c r="F33" s="542"/>
      <c r="G33" s="543">
        <f>SUM(G5:G32)</f>
        <v>25200</v>
      </c>
      <c r="H33" s="544"/>
      <c r="I33" s="557"/>
      <c r="J33" s="558">
        <f>M33</f>
        <v>0</v>
      </c>
      <c r="K33" s="546"/>
      <c r="L33" s="546">
        <f t="shared" si="3"/>
        <v>0</v>
      </c>
      <c r="M33" s="546"/>
      <c r="N33" s="546">
        <f t="shared" si="6"/>
        <v>0</v>
      </c>
      <c r="O33" s="546"/>
      <c r="P33" s="548">
        <f t="shared" si="7"/>
        <v>0</v>
      </c>
    </row>
    <row r="34" spans="1:16" ht="15.9" customHeight="1">
      <c r="A34" s="512"/>
      <c r="B34" s="765"/>
      <c r="C34" s="765"/>
      <c r="D34" s="765"/>
      <c r="E34" s="765"/>
      <c r="F34" s="765"/>
      <c r="G34" s="765"/>
      <c r="H34" s="765"/>
      <c r="I34" s="765"/>
      <c r="J34" s="766"/>
      <c r="K34" s="559">
        <f>SUM(K5:K33)</f>
        <v>25200</v>
      </c>
      <c r="L34" s="560">
        <f t="shared" ref="L34:P34" si="8">SUM(L5:L33)</f>
        <v>25200</v>
      </c>
      <c r="M34" s="560">
        <f t="shared" si="8"/>
        <v>44460</v>
      </c>
      <c r="N34" s="560">
        <f t="shared" si="8"/>
        <v>44460</v>
      </c>
      <c r="O34" s="560">
        <f t="shared" si="8"/>
        <v>0</v>
      </c>
      <c r="P34" s="561">
        <f t="shared" si="8"/>
        <v>0</v>
      </c>
    </row>
    <row r="35" spans="1:16" ht="15.9" customHeight="1">
      <c r="A35" s="515"/>
      <c r="B35" s="767"/>
      <c r="C35" s="767"/>
      <c r="D35" s="767"/>
      <c r="E35" s="767"/>
      <c r="F35" s="767"/>
      <c r="G35" s="767"/>
      <c r="H35" s="767"/>
      <c r="I35" s="767"/>
      <c r="J35" s="768"/>
      <c r="K35" s="562" t="s">
        <v>400</v>
      </c>
      <c r="L35" s="438" t="s">
        <v>401</v>
      </c>
      <c r="M35" s="438" t="s">
        <v>402</v>
      </c>
      <c r="N35" s="438" t="s">
        <v>403</v>
      </c>
      <c r="O35" s="438" t="s">
        <v>404</v>
      </c>
      <c r="P35" s="439" t="s">
        <v>405</v>
      </c>
    </row>
  </sheetData>
  <mergeCells count="9">
    <mergeCell ref="G3:G4"/>
    <mergeCell ref="I3:J3"/>
    <mergeCell ref="B34:J35"/>
    <mergeCell ref="B1:B2"/>
    <mergeCell ref="D1:D2"/>
    <mergeCell ref="B3:B4"/>
    <mergeCell ref="D3:D4"/>
    <mergeCell ref="E3:E4"/>
    <mergeCell ref="F3:F4"/>
  </mergeCells>
  <phoneticPr fontId="48"/>
  <pageMargins left="0.59055118110236227" right="0.59055118110236227" top="0.59055118110236227" bottom="0.43307086614173229" header="0.59055118110236227" footer="0.35433070866141736"/>
  <pageSetup paperSize="9" orientation="landscape" horizontalDpi="4294967292" verticalDpi="1200" r:id="rId1"/>
  <headerFooter>
    <oddFooter>&amp;RNo&amp;P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972A3-5426-4A4C-A3B9-FA69074A7A93}">
  <sheetPr>
    <tabColor theme="8" tint="-0.249977111117893"/>
  </sheetPr>
  <dimension ref="A1:R35"/>
  <sheetViews>
    <sheetView showGridLines="0" showZeros="0" view="pageBreakPreview" topLeftCell="A14" zoomScale="120" zoomScaleNormal="100" zoomScaleSheetLayoutView="120" workbookViewId="0">
      <selection activeCell="J36" sqref="J36"/>
    </sheetView>
  </sheetViews>
  <sheetFormatPr defaultColWidth="9" defaultRowHeight="13.2"/>
  <cols>
    <col min="1" max="1" width="0.88671875" style="423" customWidth="1"/>
    <col min="2" max="2" width="15.109375" style="423" customWidth="1"/>
    <col min="3" max="3" width="0.88671875" style="423" customWidth="1"/>
    <col min="4" max="4" width="12.21875" style="423" customWidth="1"/>
    <col min="5" max="5" width="5.21875" style="423" bestFit="1" customWidth="1"/>
    <col min="6" max="16" width="7.6640625" style="423" customWidth="1"/>
    <col min="17" max="17" width="8.88671875" style="423" customWidth="1"/>
    <col min="18" max="18" width="6.88671875" style="423" customWidth="1"/>
    <col min="19" max="16384" width="9" style="423"/>
  </cols>
  <sheetData>
    <row r="1" spans="1:18" ht="15.9" customHeight="1">
      <c r="A1" s="565"/>
      <c r="B1" s="774" t="s">
        <v>406</v>
      </c>
      <c r="C1" s="774"/>
      <c r="D1" s="774"/>
      <c r="E1" s="774"/>
      <c r="F1" s="774"/>
      <c r="G1" s="774"/>
      <c r="H1" s="774"/>
      <c r="I1" s="774"/>
      <c r="J1" s="774"/>
      <c r="K1" s="774"/>
      <c r="L1" s="774"/>
      <c r="M1" s="774"/>
      <c r="N1" s="774"/>
      <c r="O1" s="774"/>
      <c r="P1" s="774"/>
      <c r="Q1" s="775"/>
      <c r="R1" s="775"/>
    </row>
    <row r="2" spans="1:18" ht="15.9" customHeight="1">
      <c r="A2" s="566"/>
      <c r="B2" s="567" t="s">
        <v>391</v>
      </c>
      <c r="C2" s="776" t="s">
        <v>407</v>
      </c>
      <c r="D2" s="777"/>
      <c r="E2" s="569"/>
      <c r="F2" s="776" t="s">
        <v>408</v>
      </c>
      <c r="G2" s="782"/>
      <c r="H2" s="570" t="s">
        <v>409</v>
      </c>
      <c r="I2" s="783" t="s">
        <v>398</v>
      </c>
      <c r="J2" s="784"/>
      <c r="K2" s="571" t="s">
        <v>409</v>
      </c>
      <c r="L2" s="785" t="s">
        <v>478</v>
      </c>
      <c r="M2" s="785"/>
      <c r="N2" s="571" t="s">
        <v>409</v>
      </c>
      <c r="O2" s="785"/>
      <c r="P2" s="786"/>
      <c r="Q2" s="785" t="s">
        <v>410</v>
      </c>
      <c r="R2" s="786"/>
    </row>
    <row r="3" spans="1:18" ht="15.9" customHeight="1">
      <c r="A3" s="572"/>
      <c r="B3" s="573" t="s">
        <v>411</v>
      </c>
      <c r="C3" s="778"/>
      <c r="D3" s="779"/>
      <c r="E3" s="574" t="s">
        <v>70</v>
      </c>
      <c r="F3" s="787" t="s">
        <v>412</v>
      </c>
      <c r="G3" s="788"/>
      <c r="H3" s="789" t="s">
        <v>5</v>
      </c>
      <c r="I3" s="772"/>
      <c r="J3" s="575" t="s">
        <v>413</v>
      </c>
      <c r="K3" s="772" t="s">
        <v>5</v>
      </c>
      <c r="L3" s="773"/>
      <c r="M3" s="568" t="s">
        <v>413</v>
      </c>
      <c r="N3" s="772" t="s">
        <v>5</v>
      </c>
      <c r="O3" s="773"/>
      <c r="P3" s="575" t="s">
        <v>413</v>
      </c>
      <c r="Q3" s="576" t="s">
        <v>414</v>
      </c>
      <c r="R3" s="575" t="s">
        <v>415</v>
      </c>
    </row>
    <row r="4" spans="1:18" ht="15.9" customHeight="1">
      <c r="A4" s="577"/>
      <c r="B4" s="578" t="s">
        <v>416</v>
      </c>
      <c r="C4" s="780"/>
      <c r="D4" s="781"/>
      <c r="E4" s="578"/>
      <c r="F4" s="579" t="s">
        <v>417</v>
      </c>
      <c r="G4" s="580" t="s">
        <v>418</v>
      </c>
      <c r="H4" s="581" t="s">
        <v>417</v>
      </c>
      <c r="I4" s="582" t="s">
        <v>418</v>
      </c>
      <c r="J4" s="583" t="s">
        <v>419</v>
      </c>
      <c r="K4" s="581" t="s">
        <v>417</v>
      </c>
      <c r="L4" s="582" t="s">
        <v>418</v>
      </c>
      <c r="M4" s="580" t="s">
        <v>419</v>
      </c>
      <c r="N4" s="581" t="s">
        <v>417</v>
      </c>
      <c r="O4" s="582" t="s">
        <v>418</v>
      </c>
      <c r="P4" s="584" t="s">
        <v>419</v>
      </c>
      <c r="Q4" s="585" t="s">
        <v>420</v>
      </c>
      <c r="R4" s="584" t="s">
        <v>420</v>
      </c>
    </row>
    <row r="5" spans="1:18" ht="15.9" customHeight="1">
      <c r="A5" s="586"/>
      <c r="B5" s="587" t="s">
        <v>421</v>
      </c>
      <c r="C5" s="588"/>
      <c r="D5" s="587"/>
      <c r="E5" s="589" t="s">
        <v>125</v>
      </c>
      <c r="F5" s="590">
        <v>0.21099999999999999</v>
      </c>
      <c r="G5" s="590">
        <v>0.26300000000000001</v>
      </c>
      <c r="H5" s="591"/>
      <c r="I5" s="592"/>
      <c r="J5" s="593">
        <f>IF(E5="","",(F5*H5)+(G5*I5))</f>
        <v>0</v>
      </c>
      <c r="K5" s="594"/>
      <c r="L5" s="592"/>
      <c r="M5" s="593">
        <f>IF(E5="","",(F5*K5)+(G5*L5))</f>
        <v>0</v>
      </c>
      <c r="N5" s="595"/>
      <c r="O5" s="592"/>
      <c r="P5" s="593">
        <f>IF(E5="","",(F5*N5)+(G5*O5))</f>
        <v>0</v>
      </c>
      <c r="Q5" s="463" t="s">
        <v>422</v>
      </c>
      <c r="R5" s="596">
        <v>3</v>
      </c>
    </row>
    <row r="6" spans="1:18" ht="15.9" customHeight="1">
      <c r="A6" s="586"/>
      <c r="B6" s="587" t="s">
        <v>423</v>
      </c>
      <c r="C6" s="588"/>
      <c r="D6" s="587"/>
      <c r="E6" s="589" t="s">
        <v>125</v>
      </c>
      <c r="F6" s="590">
        <v>0.30199999999999999</v>
      </c>
      <c r="G6" s="590">
        <v>0.377</v>
      </c>
      <c r="H6" s="591"/>
      <c r="I6" s="592"/>
      <c r="J6" s="593">
        <f t="shared" ref="J6:J31" si="0">IF(E6="","",(F6*H6)+(G6*I6))</f>
        <v>0</v>
      </c>
      <c r="K6" s="594"/>
      <c r="L6" s="592"/>
      <c r="M6" s="593">
        <f t="shared" ref="M6:M31" si="1">IF(E6="","",(F6*K6)+(G6*L6))</f>
        <v>0</v>
      </c>
      <c r="N6" s="595"/>
      <c r="O6" s="592"/>
      <c r="P6" s="593">
        <f t="shared" ref="P6:P31" si="2">IF(E6="","",(F6*N6)+(G6*O6))</f>
        <v>0</v>
      </c>
      <c r="Q6" s="463" t="s">
        <v>424</v>
      </c>
      <c r="R6" s="596">
        <v>4</v>
      </c>
    </row>
    <row r="7" spans="1:18" ht="15.9" customHeight="1">
      <c r="A7" s="597"/>
      <c r="B7" s="587" t="s">
        <v>425</v>
      </c>
      <c r="C7" s="588"/>
      <c r="D7" s="587"/>
      <c r="E7" s="589" t="s">
        <v>125</v>
      </c>
      <c r="F7" s="590">
        <v>0.26400000000000001</v>
      </c>
      <c r="G7" s="590">
        <v>0.33</v>
      </c>
      <c r="H7" s="598"/>
      <c r="I7" s="599"/>
      <c r="J7" s="593">
        <f t="shared" si="0"/>
        <v>0</v>
      </c>
      <c r="K7" s="600"/>
      <c r="L7" s="599"/>
      <c r="M7" s="593">
        <f t="shared" si="1"/>
        <v>0</v>
      </c>
      <c r="N7" s="601"/>
      <c r="O7" s="599"/>
      <c r="P7" s="593">
        <f t="shared" si="2"/>
        <v>0</v>
      </c>
      <c r="Q7" s="463" t="s">
        <v>426</v>
      </c>
      <c r="R7" s="596">
        <v>5</v>
      </c>
    </row>
    <row r="8" spans="1:18" ht="15.9" customHeight="1">
      <c r="A8" s="597"/>
      <c r="B8" s="587" t="s">
        <v>427</v>
      </c>
      <c r="C8" s="588"/>
      <c r="D8" s="587"/>
      <c r="E8" s="589" t="s">
        <v>125</v>
      </c>
      <c r="F8" s="590">
        <v>0.38</v>
      </c>
      <c r="G8" s="590">
        <v>0.45700000000000002</v>
      </c>
      <c r="H8" s="598"/>
      <c r="I8" s="599"/>
      <c r="J8" s="593">
        <f t="shared" si="0"/>
        <v>0</v>
      </c>
      <c r="K8" s="600"/>
      <c r="L8" s="599"/>
      <c r="M8" s="593">
        <f t="shared" si="1"/>
        <v>0</v>
      </c>
      <c r="N8" s="601"/>
      <c r="O8" s="599"/>
      <c r="P8" s="593">
        <f t="shared" si="2"/>
        <v>0</v>
      </c>
      <c r="Q8" s="463" t="s">
        <v>428</v>
      </c>
      <c r="R8" s="596">
        <v>6</v>
      </c>
    </row>
    <row r="9" spans="1:18" ht="15.9" customHeight="1">
      <c r="A9" s="597"/>
      <c r="B9" s="587" t="s">
        <v>429</v>
      </c>
      <c r="C9" s="588"/>
      <c r="D9" s="587"/>
      <c r="E9" s="589" t="s">
        <v>125</v>
      </c>
      <c r="F9" s="590">
        <v>0.52600000000000002</v>
      </c>
      <c r="G9" s="590">
        <v>0.65700000000000003</v>
      </c>
      <c r="H9" s="598"/>
      <c r="I9" s="599"/>
      <c r="J9" s="593">
        <f t="shared" si="0"/>
        <v>0</v>
      </c>
      <c r="K9" s="600"/>
      <c r="L9" s="599"/>
      <c r="M9" s="593">
        <f t="shared" si="1"/>
        <v>0</v>
      </c>
      <c r="N9" s="601"/>
      <c r="O9" s="599"/>
      <c r="P9" s="593">
        <f t="shared" si="2"/>
        <v>0</v>
      </c>
      <c r="Q9" s="463" t="s">
        <v>430</v>
      </c>
      <c r="R9" s="596">
        <v>7</v>
      </c>
    </row>
    <row r="10" spans="1:18" ht="15.9" customHeight="1">
      <c r="A10" s="597"/>
      <c r="B10" s="587" t="s">
        <v>431</v>
      </c>
      <c r="C10" s="588"/>
      <c r="D10" s="587"/>
      <c r="E10" s="589" t="s">
        <v>125</v>
      </c>
      <c r="F10" s="590">
        <v>0.74099999999999999</v>
      </c>
      <c r="G10" s="590">
        <v>0.92600000000000005</v>
      </c>
      <c r="H10" s="598"/>
      <c r="I10" s="599"/>
      <c r="J10" s="593">
        <f t="shared" si="0"/>
        <v>0</v>
      </c>
      <c r="K10" s="600"/>
      <c r="L10" s="599"/>
      <c r="M10" s="593">
        <f t="shared" si="1"/>
        <v>0</v>
      </c>
      <c r="N10" s="601"/>
      <c r="O10" s="599"/>
      <c r="P10" s="593">
        <f t="shared" si="2"/>
        <v>0</v>
      </c>
      <c r="Q10" s="463" t="s">
        <v>432</v>
      </c>
      <c r="R10" s="596">
        <v>8</v>
      </c>
    </row>
    <row r="11" spans="1:18" ht="15.9" customHeight="1">
      <c r="A11" s="597"/>
      <c r="B11" s="587" t="s">
        <v>433</v>
      </c>
      <c r="C11" s="588"/>
      <c r="D11" s="587"/>
      <c r="E11" s="589" t="s">
        <v>125</v>
      </c>
      <c r="F11" s="590">
        <v>0.89400000000000002</v>
      </c>
      <c r="G11" s="590">
        <v>1.1200000000000001</v>
      </c>
      <c r="H11" s="598"/>
      <c r="I11" s="599"/>
      <c r="J11" s="593">
        <f t="shared" si="0"/>
        <v>0</v>
      </c>
      <c r="K11" s="600"/>
      <c r="L11" s="599"/>
      <c r="M11" s="593">
        <f t="shared" si="1"/>
        <v>0</v>
      </c>
      <c r="N11" s="601"/>
      <c r="O11" s="599"/>
      <c r="P11" s="593">
        <f t="shared" si="2"/>
        <v>0</v>
      </c>
      <c r="Q11" s="463" t="s">
        <v>434</v>
      </c>
      <c r="R11" s="596">
        <v>10</v>
      </c>
    </row>
    <row r="12" spans="1:18" ht="15.9" customHeight="1">
      <c r="A12" s="597"/>
      <c r="B12" s="587" t="s">
        <v>435</v>
      </c>
      <c r="C12" s="588"/>
      <c r="D12" s="587"/>
      <c r="E12" s="589" t="s">
        <v>125</v>
      </c>
      <c r="F12" s="590">
        <v>0.38700000000000001</v>
      </c>
      <c r="G12" s="590">
        <v>0.48299999999999998</v>
      </c>
      <c r="H12" s="598"/>
      <c r="I12" s="599"/>
      <c r="J12" s="593">
        <f t="shared" si="0"/>
        <v>0</v>
      </c>
      <c r="K12" s="600"/>
      <c r="L12" s="599"/>
      <c r="M12" s="593">
        <f t="shared" si="1"/>
        <v>0</v>
      </c>
      <c r="N12" s="601"/>
      <c r="O12" s="599"/>
      <c r="P12" s="593">
        <f t="shared" si="2"/>
        <v>0</v>
      </c>
      <c r="Q12" s="463" t="s">
        <v>436</v>
      </c>
      <c r="R12" s="596">
        <v>11</v>
      </c>
    </row>
    <row r="13" spans="1:18" ht="15.9" customHeight="1">
      <c r="A13" s="597"/>
      <c r="B13" s="587" t="s">
        <v>437</v>
      </c>
      <c r="C13" s="588"/>
      <c r="D13" s="587"/>
      <c r="E13" s="589" t="s">
        <v>125</v>
      </c>
      <c r="F13" s="590">
        <v>0.55800000000000005</v>
      </c>
      <c r="G13" s="590">
        <v>0.69799999999999995</v>
      </c>
      <c r="H13" s="598">
        <v>7</v>
      </c>
      <c r="I13" s="599"/>
      <c r="J13" s="593">
        <f t="shared" si="0"/>
        <v>3.9060000000000006</v>
      </c>
      <c r="K13" s="600"/>
      <c r="L13" s="599"/>
      <c r="M13" s="593">
        <f t="shared" si="1"/>
        <v>0</v>
      </c>
      <c r="N13" s="601"/>
      <c r="O13" s="599"/>
      <c r="P13" s="593">
        <f t="shared" si="2"/>
        <v>0</v>
      </c>
      <c r="Q13" s="463" t="s">
        <v>438</v>
      </c>
      <c r="R13" s="596">
        <v>12</v>
      </c>
    </row>
    <row r="14" spans="1:18" ht="15.9" customHeight="1">
      <c r="A14" s="597"/>
      <c r="B14" s="587" t="s">
        <v>439</v>
      </c>
      <c r="C14" s="588"/>
      <c r="D14" s="587"/>
      <c r="E14" s="589" t="s">
        <v>125</v>
      </c>
      <c r="F14" s="590">
        <v>0.70799999999999996</v>
      </c>
      <c r="G14" s="590">
        <v>0.88500000000000001</v>
      </c>
      <c r="H14" s="598">
        <v>2</v>
      </c>
      <c r="I14" s="599"/>
      <c r="J14" s="593">
        <f t="shared" si="0"/>
        <v>1.4159999999999999</v>
      </c>
      <c r="K14" s="600">
        <v>1</v>
      </c>
      <c r="L14" s="599"/>
      <c r="M14" s="593">
        <f t="shared" si="1"/>
        <v>0.70799999999999996</v>
      </c>
      <c r="N14" s="601"/>
      <c r="O14" s="599"/>
      <c r="P14" s="593">
        <f t="shared" si="2"/>
        <v>0</v>
      </c>
      <c r="Q14" s="463" t="s">
        <v>440</v>
      </c>
      <c r="R14" s="596">
        <v>15</v>
      </c>
    </row>
    <row r="15" spans="1:18" ht="15.9" customHeight="1">
      <c r="A15" s="597"/>
      <c r="B15" s="587" t="s">
        <v>441</v>
      </c>
      <c r="C15" s="588"/>
      <c r="D15" s="587"/>
      <c r="E15" s="589" t="s">
        <v>125</v>
      </c>
      <c r="F15" s="590">
        <v>1.04</v>
      </c>
      <c r="G15" s="590">
        <v>1.3</v>
      </c>
      <c r="H15" s="598"/>
      <c r="I15" s="599"/>
      <c r="J15" s="593">
        <f t="shared" si="0"/>
        <v>0</v>
      </c>
      <c r="K15" s="600"/>
      <c r="L15" s="599"/>
      <c r="M15" s="593">
        <f t="shared" si="1"/>
        <v>0</v>
      </c>
      <c r="N15" s="601"/>
      <c r="O15" s="599"/>
      <c r="P15" s="593">
        <f t="shared" si="2"/>
        <v>0</v>
      </c>
      <c r="Q15" s="463" t="s">
        <v>442</v>
      </c>
      <c r="R15" s="596">
        <v>18</v>
      </c>
    </row>
    <row r="16" spans="1:18" ht="15.9" customHeight="1">
      <c r="A16" s="597"/>
      <c r="B16" s="587" t="s">
        <v>443</v>
      </c>
      <c r="C16" s="588"/>
      <c r="D16" s="587"/>
      <c r="E16" s="589" t="s">
        <v>125</v>
      </c>
      <c r="F16" s="590">
        <v>1.26</v>
      </c>
      <c r="G16" s="590">
        <v>1.58</v>
      </c>
      <c r="H16" s="598"/>
      <c r="I16" s="599"/>
      <c r="J16" s="593">
        <f t="shared" si="0"/>
        <v>0</v>
      </c>
      <c r="K16" s="600"/>
      <c r="L16" s="599"/>
      <c r="M16" s="593">
        <f t="shared" si="1"/>
        <v>0</v>
      </c>
      <c r="N16" s="601"/>
      <c r="O16" s="599"/>
      <c r="P16" s="593">
        <f t="shared" si="2"/>
        <v>0</v>
      </c>
      <c r="Q16" s="463" t="s">
        <v>444</v>
      </c>
      <c r="R16" s="596">
        <v>21</v>
      </c>
    </row>
    <row r="17" spans="1:18" ht="15.9" customHeight="1">
      <c r="A17" s="597"/>
      <c r="B17" s="587" t="s">
        <v>445</v>
      </c>
      <c r="C17" s="588"/>
      <c r="D17" s="587" t="s">
        <v>446</v>
      </c>
      <c r="E17" s="589" t="s">
        <v>125</v>
      </c>
      <c r="F17" s="590">
        <v>0.2</v>
      </c>
      <c r="G17" s="590"/>
      <c r="H17" s="598"/>
      <c r="I17" s="599"/>
      <c r="J17" s="593">
        <f t="shared" si="0"/>
        <v>0</v>
      </c>
      <c r="K17" s="600"/>
      <c r="L17" s="599"/>
      <c r="M17" s="593">
        <f t="shared" si="1"/>
        <v>0</v>
      </c>
      <c r="N17" s="601"/>
      <c r="O17" s="599"/>
      <c r="P17" s="593">
        <f t="shared" si="2"/>
        <v>0</v>
      </c>
      <c r="Q17" s="463" t="s">
        <v>447</v>
      </c>
      <c r="R17" s="596">
        <v>24</v>
      </c>
    </row>
    <row r="18" spans="1:18" ht="15.9" customHeight="1">
      <c r="A18" s="597"/>
      <c r="B18" s="587" t="s">
        <v>445</v>
      </c>
      <c r="C18" s="588"/>
      <c r="D18" s="587" t="s">
        <v>448</v>
      </c>
      <c r="E18" s="589" t="s">
        <v>125</v>
      </c>
      <c r="F18" s="590">
        <v>0.19</v>
      </c>
      <c r="G18" s="590"/>
      <c r="H18" s="598"/>
      <c r="I18" s="599"/>
      <c r="J18" s="593">
        <f t="shared" si="0"/>
        <v>0</v>
      </c>
      <c r="K18" s="600"/>
      <c r="L18" s="599"/>
      <c r="M18" s="593">
        <f t="shared" si="1"/>
        <v>0</v>
      </c>
      <c r="N18" s="601"/>
      <c r="O18" s="599"/>
      <c r="P18" s="593">
        <f t="shared" si="2"/>
        <v>0</v>
      </c>
      <c r="Q18" s="463" t="s">
        <v>449</v>
      </c>
      <c r="R18" s="596">
        <v>28</v>
      </c>
    </row>
    <row r="19" spans="1:18" ht="15.9" customHeight="1">
      <c r="A19" s="597"/>
      <c r="B19" s="587"/>
      <c r="C19" s="588"/>
      <c r="D19" s="587"/>
      <c r="E19" s="589"/>
      <c r="F19" s="590"/>
      <c r="G19" s="590"/>
      <c r="H19" s="598"/>
      <c r="I19" s="599"/>
      <c r="J19" s="593" t="str">
        <f t="shared" si="0"/>
        <v/>
      </c>
      <c r="K19" s="600"/>
      <c r="L19" s="599"/>
      <c r="M19" s="593" t="str">
        <f t="shared" si="1"/>
        <v/>
      </c>
      <c r="N19" s="601"/>
      <c r="O19" s="599"/>
      <c r="P19" s="593" t="str">
        <f t="shared" si="2"/>
        <v/>
      </c>
      <c r="Q19" s="463" t="s">
        <v>450</v>
      </c>
      <c r="R19" s="596">
        <v>33</v>
      </c>
    </row>
    <row r="20" spans="1:18" ht="15.9" customHeight="1">
      <c r="A20" s="597"/>
      <c r="B20" s="587" t="s">
        <v>451</v>
      </c>
      <c r="C20" s="588"/>
      <c r="D20" s="587" t="s">
        <v>452</v>
      </c>
      <c r="E20" s="589" t="s">
        <v>125</v>
      </c>
      <c r="F20" s="590">
        <v>8.4000000000000005E-2</v>
      </c>
      <c r="G20" s="590"/>
      <c r="H20" s="598"/>
      <c r="I20" s="599"/>
      <c r="J20" s="593">
        <f t="shared" si="0"/>
        <v>0</v>
      </c>
      <c r="K20" s="600"/>
      <c r="L20" s="599"/>
      <c r="M20" s="593">
        <f t="shared" si="1"/>
        <v>0</v>
      </c>
      <c r="N20" s="601"/>
      <c r="O20" s="599"/>
      <c r="P20" s="593">
        <f t="shared" si="2"/>
        <v>0</v>
      </c>
      <c r="Q20" s="602" t="s">
        <v>453</v>
      </c>
      <c r="R20" s="465"/>
    </row>
    <row r="21" spans="1:18" ht="15.9" customHeight="1">
      <c r="A21" s="597"/>
      <c r="B21" s="587" t="s">
        <v>454</v>
      </c>
      <c r="C21" s="588"/>
      <c r="D21" s="587"/>
      <c r="E21" s="589" t="s">
        <v>125</v>
      </c>
      <c r="F21" s="590">
        <v>0.05</v>
      </c>
      <c r="G21" s="590"/>
      <c r="H21" s="598"/>
      <c r="I21" s="599"/>
      <c r="J21" s="593">
        <f t="shared" si="0"/>
        <v>0</v>
      </c>
      <c r="K21" s="600"/>
      <c r="L21" s="599"/>
      <c r="M21" s="593">
        <f t="shared" si="1"/>
        <v>0</v>
      </c>
      <c r="N21" s="601"/>
      <c r="O21" s="599"/>
      <c r="P21" s="593">
        <f t="shared" si="2"/>
        <v>0</v>
      </c>
      <c r="Q21" s="602" t="s">
        <v>455</v>
      </c>
      <c r="R21" s="465"/>
    </row>
    <row r="22" spans="1:18" ht="15.9" customHeight="1">
      <c r="A22" s="597"/>
      <c r="B22" s="587" t="s">
        <v>451</v>
      </c>
      <c r="C22" s="588"/>
      <c r="D22" s="587" t="s">
        <v>456</v>
      </c>
      <c r="E22" s="589" t="s">
        <v>125</v>
      </c>
      <c r="F22" s="590">
        <v>6.2E-2</v>
      </c>
      <c r="G22" s="590"/>
      <c r="H22" s="598"/>
      <c r="I22" s="599"/>
      <c r="J22" s="593">
        <f t="shared" si="0"/>
        <v>0</v>
      </c>
      <c r="K22" s="600"/>
      <c r="L22" s="599"/>
      <c r="M22" s="593">
        <f t="shared" si="1"/>
        <v>0</v>
      </c>
      <c r="N22" s="601"/>
      <c r="O22" s="599"/>
      <c r="P22" s="593">
        <f t="shared" si="2"/>
        <v>0</v>
      </c>
      <c r="Q22" s="603"/>
      <c r="R22" s="465"/>
    </row>
    <row r="23" spans="1:18" ht="15.9" customHeight="1">
      <c r="A23" s="597"/>
      <c r="B23" s="587" t="s">
        <v>451</v>
      </c>
      <c r="C23" s="588"/>
      <c r="D23" s="587" t="s">
        <v>457</v>
      </c>
      <c r="E23" s="589" t="s">
        <v>125</v>
      </c>
      <c r="F23" s="590">
        <v>0.2</v>
      </c>
      <c r="G23" s="590"/>
      <c r="H23" s="598"/>
      <c r="I23" s="599"/>
      <c r="J23" s="593">
        <f t="shared" si="0"/>
        <v>0</v>
      </c>
      <c r="K23" s="600"/>
      <c r="L23" s="599"/>
      <c r="M23" s="593">
        <f t="shared" si="1"/>
        <v>0</v>
      </c>
      <c r="N23" s="601"/>
      <c r="O23" s="599"/>
      <c r="P23" s="593">
        <f t="shared" si="2"/>
        <v>0</v>
      </c>
      <c r="Q23" s="602"/>
      <c r="R23" s="465"/>
    </row>
    <row r="24" spans="1:18" ht="15.9" customHeight="1">
      <c r="A24" s="597"/>
      <c r="B24" s="587" t="s">
        <v>458</v>
      </c>
      <c r="C24" s="588"/>
      <c r="D24" s="587" t="s">
        <v>459</v>
      </c>
      <c r="E24" s="589" t="s">
        <v>125</v>
      </c>
      <c r="F24" s="590">
        <v>2.5000000000000001E-2</v>
      </c>
      <c r="G24" s="590"/>
      <c r="H24" s="598"/>
      <c r="I24" s="599"/>
      <c r="J24" s="593">
        <f t="shared" si="0"/>
        <v>0</v>
      </c>
      <c r="K24" s="600"/>
      <c r="L24" s="599"/>
      <c r="M24" s="593">
        <f t="shared" si="1"/>
        <v>0</v>
      </c>
      <c r="N24" s="601"/>
      <c r="O24" s="599"/>
      <c r="P24" s="593">
        <f t="shared" si="2"/>
        <v>0</v>
      </c>
      <c r="Q24" s="603"/>
      <c r="R24" s="465"/>
    </row>
    <row r="25" spans="1:18" ht="15.9" customHeight="1">
      <c r="A25" s="597"/>
      <c r="B25" s="587" t="s">
        <v>458</v>
      </c>
      <c r="C25" s="588"/>
      <c r="D25" s="587" t="s">
        <v>460</v>
      </c>
      <c r="E25" s="589" t="s">
        <v>125</v>
      </c>
      <c r="F25" s="590">
        <v>0.05</v>
      </c>
      <c r="G25" s="590"/>
      <c r="H25" s="598"/>
      <c r="I25" s="599"/>
      <c r="J25" s="593">
        <f t="shared" si="0"/>
        <v>0</v>
      </c>
      <c r="K25" s="600"/>
      <c r="L25" s="599"/>
      <c r="M25" s="593">
        <f t="shared" si="1"/>
        <v>0</v>
      </c>
      <c r="N25" s="601"/>
      <c r="O25" s="599"/>
      <c r="P25" s="593">
        <f t="shared" si="2"/>
        <v>0</v>
      </c>
      <c r="Q25" s="603"/>
      <c r="R25" s="465"/>
    </row>
    <row r="26" spans="1:18" ht="15.9" customHeight="1">
      <c r="A26" s="597"/>
      <c r="B26" s="587" t="s">
        <v>461</v>
      </c>
      <c r="C26" s="588"/>
      <c r="D26" s="587"/>
      <c r="E26" s="589" t="s">
        <v>125</v>
      </c>
      <c r="F26" s="590">
        <v>0.14599999999999999</v>
      </c>
      <c r="G26" s="590"/>
      <c r="H26" s="598"/>
      <c r="I26" s="599"/>
      <c r="J26" s="593">
        <f t="shared" si="0"/>
        <v>0</v>
      </c>
      <c r="K26" s="600"/>
      <c r="L26" s="599"/>
      <c r="M26" s="593">
        <f t="shared" si="1"/>
        <v>0</v>
      </c>
      <c r="N26" s="601"/>
      <c r="O26" s="599"/>
      <c r="P26" s="593">
        <f t="shared" si="2"/>
        <v>0</v>
      </c>
      <c r="Q26" s="603"/>
      <c r="R26" s="465"/>
    </row>
    <row r="27" spans="1:18" ht="15.9" customHeight="1">
      <c r="A27" s="597"/>
      <c r="B27" s="587" t="s">
        <v>462</v>
      </c>
      <c r="C27" s="588"/>
      <c r="D27" s="587" t="s">
        <v>463</v>
      </c>
      <c r="E27" s="589" t="s">
        <v>125</v>
      </c>
      <c r="F27" s="590">
        <v>0.125</v>
      </c>
      <c r="G27" s="590"/>
      <c r="H27" s="598"/>
      <c r="I27" s="599"/>
      <c r="J27" s="593">
        <f t="shared" si="0"/>
        <v>0</v>
      </c>
      <c r="K27" s="600"/>
      <c r="L27" s="599"/>
      <c r="M27" s="593">
        <f t="shared" si="1"/>
        <v>0</v>
      </c>
      <c r="N27" s="601"/>
      <c r="O27" s="599"/>
      <c r="P27" s="593">
        <f t="shared" si="2"/>
        <v>0</v>
      </c>
      <c r="Q27" s="603"/>
      <c r="R27" s="465"/>
    </row>
    <row r="28" spans="1:18" ht="15.9" customHeight="1">
      <c r="A28" s="597"/>
      <c r="B28" s="587" t="s">
        <v>464</v>
      </c>
      <c r="C28" s="588"/>
      <c r="D28" s="587" t="s">
        <v>465</v>
      </c>
      <c r="E28" s="589" t="s">
        <v>125</v>
      </c>
      <c r="F28" s="590">
        <v>0.05</v>
      </c>
      <c r="G28" s="590"/>
      <c r="H28" s="598"/>
      <c r="I28" s="599"/>
      <c r="J28" s="593">
        <f t="shared" si="0"/>
        <v>0</v>
      </c>
      <c r="K28" s="600"/>
      <c r="L28" s="599"/>
      <c r="M28" s="593">
        <f t="shared" si="1"/>
        <v>0</v>
      </c>
      <c r="N28" s="601"/>
      <c r="O28" s="599"/>
      <c r="P28" s="593">
        <f t="shared" si="2"/>
        <v>0</v>
      </c>
      <c r="Q28" s="603"/>
      <c r="R28" s="465"/>
    </row>
    <row r="29" spans="1:18" ht="15.9" customHeight="1">
      <c r="A29" s="597"/>
      <c r="B29" s="587" t="s">
        <v>466</v>
      </c>
      <c r="C29" s="588"/>
      <c r="D29" s="587" t="s">
        <v>467</v>
      </c>
      <c r="E29" s="589" t="s">
        <v>125</v>
      </c>
      <c r="F29" s="590">
        <v>0.05</v>
      </c>
      <c r="G29" s="590"/>
      <c r="H29" s="598"/>
      <c r="I29" s="599"/>
      <c r="J29" s="593">
        <f t="shared" si="0"/>
        <v>0</v>
      </c>
      <c r="K29" s="600"/>
      <c r="L29" s="599"/>
      <c r="M29" s="593">
        <f t="shared" si="1"/>
        <v>0</v>
      </c>
      <c r="N29" s="601"/>
      <c r="O29" s="599"/>
      <c r="P29" s="593">
        <f t="shared" si="2"/>
        <v>0</v>
      </c>
      <c r="Q29" s="603"/>
      <c r="R29" s="465"/>
    </row>
    <row r="30" spans="1:18" ht="15.9" customHeight="1">
      <c r="A30" s="597"/>
      <c r="B30" s="587" t="s">
        <v>468</v>
      </c>
      <c r="C30" s="588"/>
      <c r="D30" s="587" t="s">
        <v>469</v>
      </c>
      <c r="E30" s="589" t="s">
        <v>125</v>
      </c>
      <c r="F30" s="590">
        <v>0.125</v>
      </c>
      <c r="G30" s="590"/>
      <c r="H30" s="598"/>
      <c r="I30" s="599"/>
      <c r="J30" s="593">
        <f t="shared" si="0"/>
        <v>0</v>
      </c>
      <c r="K30" s="600"/>
      <c r="L30" s="599"/>
      <c r="M30" s="593">
        <f t="shared" si="1"/>
        <v>0</v>
      </c>
      <c r="N30" s="601"/>
      <c r="O30" s="599"/>
      <c r="P30" s="593">
        <f t="shared" si="2"/>
        <v>0</v>
      </c>
      <c r="Q30" s="603"/>
      <c r="R30" s="465"/>
    </row>
    <row r="31" spans="1:18" ht="15.9" customHeight="1">
      <c r="A31" s="597"/>
      <c r="B31" s="587" t="s">
        <v>470</v>
      </c>
      <c r="C31" s="588"/>
      <c r="D31" s="587"/>
      <c r="E31" s="589" t="s">
        <v>125</v>
      </c>
      <c r="F31" s="590">
        <v>0.217</v>
      </c>
      <c r="G31" s="590"/>
      <c r="H31" s="598"/>
      <c r="I31" s="599"/>
      <c r="J31" s="593">
        <f t="shared" si="0"/>
        <v>0</v>
      </c>
      <c r="K31" s="600"/>
      <c r="L31" s="599"/>
      <c r="M31" s="593">
        <f t="shared" si="1"/>
        <v>0</v>
      </c>
      <c r="N31" s="601"/>
      <c r="O31" s="599"/>
      <c r="P31" s="593">
        <f t="shared" si="2"/>
        <v>0</v>
      </c>
      <c r="Q31" s="603"/>
      <c r="R31" s="465"/>
    </row>
    <row r="32" spans="1:18" ht="15.9" customHeight="1">
      <c r="A32" s="597"/>
      <c r="B32" s="604" t="s">
        <v>471</v>
      </c>
      <c r="C32" s="605"/>
      <c r="D32" s="604"/>
      <c r="E32" s="604"/>
      <c r="F32" s="606"/>
      <c r="G32" s="607"/>
      <c r="H32" s="608"/>
      <c r="I32" s="609"/>
      <c r="J32" s="610">
        <f>SUM(J4:J31)</f>
        <v>5.322000000000001</v>
      </c>
      <c r="K32" s="611"/>
      <c r="L32" s="609"/>
      <c r="M32" s="607">
        <f>SUM(M4:M31)</f>
        <v>0.70799999999999996</v>
      </c>
      <c r="N32" s="612"/>
      <c r="O32" s="609"/>
      <c r="P32" s="613">
        <f>SUM(P4:P31)</f>
        <v>0</v>
      </c>
      <c r="Q32" s="603"/>
      <c r="R32" s="465"/>
    </row>
    <row r="33" spans="1:18" ht="15.9" customHeight="1">
      <c r="A33" s="614"/>
      <c r="B33" s="604"/>
      <c r="C33" s="605"/>
      <c r="D33" s="604"/>
      <c r="E33" s="604"/>
      <c r="F33" s="606"/>
      <c r="G33" s="607"/>
      <c r="H33" s="608"/>
      <c r="I33" s="609"/>
      <c r="J33" s="610"/>
      <c r="K33" s="611"/>
      <c r="L33" s="609"/>
      <c r="M33" s="607"/>
      <c r="N33" s="612"/>
      <c r="O33" s="609"/>
      <c r="P33" s="613"/>
      <c r="Q33" s="615"/>
      <c r="R33" s="616"/>
    </row>
    <row r="34" spans="1:18" ht="15.9" customHeight="1">
      <c r="A34" s="597"/>
      <c r="B34" s="617" t="s">
        <v>472</v>
      </c>
      <c r="C34" s="618"/>
      <c r="D34" s="617" t="s">
        <v>473</v>
      </c>
      <c r="E34" s="587"/>
      <c r="F34" s="619"/>
      <c r="G34" s="590"/>
      <c r="H34" s="598"/>
      <c r="I34" s="599"/>
      <c r="J34" s="593">
        <v>5</v>
      </c>
      <c r="K34" s="600"/>
      <c r="L34" s="599"/>
      <c r="M34" s="590"/>
      <c r="N34" s="601"/>
      <c r="O34" s="599"/>
      <c r="P34" s="620"/>
      <c r="Q34" s="603"/>
      <c r="R34" s="465"/>
    </row>
    <row r="35" spans="1:18" ht="15.9" customHeight="1">
      <c r="A35" s="621"/>
      <c r="B35" s="622"/>
      <c r="C35" s="623"/>
      <c r="D35" s="622"/>
      <c r="E35" s="622"/>
      <c r="F35" s="624"/>
      <c r="G35" s="625"/>
      <c r="H35" s="626"/>
      <c r="I35" s="624"/>
      <c r="J35" s="516"/>
      <c r="K35" s="627"/>
      <c r="L35" s="624"/>
      <c r="M35" s="516"/>
      <c r="N35" s="628"/>
      <c r="O35" s="624"/>
      <c r="P35" s="516"/>
      <c r="Q35" s="629"/>
      <c r="R35" s="630"/>
    </row>
  </sheetData>
  <mergeCells count="12">
    <mergeCell ref="K3:L3"/>
    <mergeCell ref="N3:O3"/>
    <mergeCell ref="B1:P1"/>
    <mergeCell ref="Q1:R1"/>
    <mergeCell ref="C2:D4"/>
    <mergeCell ref="F2:G2"/>
    <mergeCell ref="I2:J2"/>
    <mergeCell ref="L2:M2"/>
    <mergeCell ref="O2:P2"/>
    <mergeCell ref="Q2:R2"/>
    <mergeCell ref="F3:G3"/>
    <mergeCell ref="H3:I3"/>
  </mergeCells>
  <phoneticPr fontId="48"/>
  <pageMargins left="0.78740157480314965" right="0.39370078740157483" top="0.59055118110236227" bottom="0.43307086614173229" header="0.59055118110236227" footer="0.51181102362204722"/>
  <pageSetup paperSize="9" scale="99" orientation="landscape" horizontalDpi="1200" verticalDpi="1200" r:id="rId1"/>
  <headerFooter>
    <oddFooter>&amp;RNo&amp;P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0CAAB-FCA5-4971-9AB6-98AB6AB1F884}">
  <sheetPr>
    <tabColor theme="6" tint="-0.499984740745262"/>
  </sheetPr>
  <dimension ref="A1:H69"/>
  <sheetViews>
    <sheetView workbookViewId="0">
      <selection activeCell="K39" sqref="K39"/>
    </sheetView>
  </sheetViews>
  <sheetFormatPr defaultRowHeight="13.2"/>
  <cols>
    <col min="1" max="1" width="5.88671875" customWidth="1"/>
    <col min="2" max="2" width="28.6640625" customWidth="1"/>
    <col min="3" max="3" width="25.88671875" customWidth="1"/>
    <col min="4" max="4" width="9.6640625" customWidth="1"/>
    <col min="5" max="5" width="5.6640625" customWidth="1"/>
    <col min="6" max="6" width="11.6640625" customWidth="1"/>
    <col min="7" max="7" width="15.88671875" customWidth="1"/>
    <col min="8" max="8" width="26.88671875" customWidth="1"/>
  </cols>
  <sheetData>
    <row r="1" spans="1:8">
      <c r="A1" s="709" t="s">
        <v>719</v>
      </c>
      <c r="B1" s="709"/>
      <c r="C1" s="115" t="s">
        <v>720</v>
      </c>
      <c r="D1" s="116"/>
      <c r="E1" s="116"/>
      <c r="F1" s="117"/>
      <c r="G1" s="116"/>
      <c r="H1" s="116"/>
    </row>
    <row r="2" spans="1:8">
      <c r="A2" s="115"/>
      <c r="B2" s="115"/>
      <c r="C2" s="121" t="str">
        <f>[26]表紙!A12</f>
        <v>大藪小学校屋内運動場空調設備設置工事</v>
      </c>
      <c r="D2" s="114"/>
      <c r="E2" s="116"/>
      <c r="F2" s="117"/>
      <c r="G2" s="116"/>
      <c r="H2" s="216" t="s">
        <v>128</v>
      </c>
    </row>
    <row r="3" spans="1:8">
      <c r="A3" s="122" t="s">
        <v>111</v>
      </c>
      <c r="B3" s="123" t="s">
        <v>112</v>
      </c>
      <c r="C3" s="123" t="s">
        <v>113</v>
      </c>
      <c r="D3" s="124" t="s">
        <v>114</v>
      </c>
      <c r="E3" s="123" t="s">
        <v>115</v>
      </c>
      <c r="F3" s="125" t="s">
        <v>20</v>
      </c>
      <c r="G3" s="123" t="s">
        <v>21</v>
      </c>
      <c r="H3" s="126" t="s">
        <v>116</v>
      </c>
    </row>
    <row r="4" spans="1:8">
      <c r="A4" s="128"/>
      <c r="B4" s="129" t="s">
        <v>117</v>
      </c>
      <c r="C4" s="129"/>
      <c r="D4" s="130"/>
      <c r="E4" s="131"/>
      <c r="F4" s="132"/>
      <c r="G4" s="132"/>
      <c r="H4" s="133"/>
    </row>
    <row r="5" spans="1:8">
      <c r="A5" s="128"/>
      <c r="B5" s="129" t="s">
        <v>721</v>
      </c>
      <c r="C5" s="129"/>
      <c r="D5" s="130"/>
      <c r="E5" s="131"/>
      <c r="F5" s="132"/>
      <c r="G5" s="132"/>
      <c r="H5" s="133"/>
    </row>
    <row r="6" spans="1:8">
      <c r="A6" s="134"/>
      <c r="B6" s="131" t="s">
        <v>722</v>
      </c>
      <c r="C6" s="135"/>
      <c r="D6" s="141">
        <v>3.9</v>
      </c>
      <c r="E6" s="137" t="s">
        <v>545</v>
      </c>
      <c r="F6" s="138">
        <v>7360</v>
      </c>
      <c r="G6" s="138">
        <f>D6*F6</f>
        <v>28704</v>
      </c>
      <c r="H6" s="139"/>
    </row>
    <row r="7" spans="1:8">
      <c r="A7" s="140"/>
      <c r="B7" s="137" t="s">
        <v>723</v>
      </c>
      <c r="C7" s="135" t="s">
        <v>724</v>
      </c>
      <c r="D7" s="141">
        <v>1</v>
      </c>
      <c r="E7" s="137" t="s">
        <v>725</v>
      </c>
      <c r="F7" s="132">
        <v>26500</v>
      </c>
      <c r="G7" s="132">
        <f t="shared" ref="G7:G8" si="0">D7*F7</f>
        <v>26500</v>
      </c>
      <c r="H7" s="139"/>
    </row>
    <row r="8" spans="1:8">
      <c r="A8" s="140"/>
      <c r="B8" s="131" t="s">
        <v>726</v>
      </c>
      <c r="C8" s="635" t="s">
        <v>727</v>
      </c>
      <c r="D8" s="141">
        <v>0.3</v>
      </c>
      <c r="E8" s="137" t="s">
        <v>728</v>
      </c>
      <c r="F8" s="132">
        <v>12700</v>
      </c>
      <c r="G8" s="132">
        <f t="shared" si="0"/>
        <v>3810</v>
      </c>
      <c r="H8" s="139"/>
    </row>
    <row r="9" spans="1:8">
      <c r="A9" s="142"/>
      <c r="B9" s="137" t="s">
        <v>17</v>
      </c>
      <c r="C9" s="135"/>
      <c r="D9" s="141"/>
      <c r="E9" s="137"/>
      <c r="F9" s="132"/>
      <c r="G9" s="132">
        <f>SUM(G6:G8)</f>
        <v>59014</v>
      </c>
      <c r="H9" s="139"/>
    </row>
    <row r="10" spans="1:8">
      <c r="A10" s="142"/>
      <c r="B10" s="137" t="s">
        <v>729</v>
      </c>
      <c r="C10" s="135" t="s">
        <v>730</v>
      </c>
      <c r="D10" s="141"/>
      <c r="E10" s="137"/>
      <c r="F10" s="132"/>
      <c r="G10" s="132">
        <v>59000</v>
      </c>
      <c r="H10" s="139"/>
    </row>
    <row r="11" spans="1:8">
      <c r="A11" s="128"/>
      <c r="B11" s="135"/>
      <c r="C11" s="135"/>
      <c r="D11" s="141"/>
      <c r="E11" s="137"/>
      <c r="F11" s="132"/>
      <c r="G11" s="132"/>
      <c r="H11" s="139"/>
    </row>
    <row r="12" spans="1:8">
      <c r="A12" s="128"/>
      <c r="B12" s="135" t="s">
        <v>121</v>
      </c>
      <c r="C12" s="135"/>
      <c r="D12" s="141"/>
      <c r="E12" s="137"/>
      <c r="F12" s="132"/>
      <c r="G12" s="132"/>
      <c r="H12" s="139"/>
    </row>
    <row r="13" spans="1:8">
      <c r="A13" s="128"/>
      <c r="B13" s="646" t="s">
        <v>731</v>
      </c>
      <c r="C13" s="135"/>
      <c r="D13" s="141"/>
      <c r="E13" s="137"/>
      <c r="F13" s="132"/>
      <c r="G13" s="132"/>
      <c r="H13" s="139"/>
    </row>
    <row r="14" spans="1:8">
      <c r="A14" s="128"/>
      <c r="B14" s="137" t="s">
        <v>722</v>
      </c>
      <c r="C14" s="129"/>
      <c r="D14" s="143">
        <v>1.3</v>
      </c>
      <c r="E14" s="131" t="s">
        <v>622</v>
      </c>
      <c r="F14" s="132">
        <v>7360</v>
      </c>
      <c r="G14" s="132">
        <f t="shared" ref="G14:G16" si="1">D14*F14</f>
        <v>9568</v>
      </c>
      <c r="H14" s="133"/>
    </row>
    <row r="15" spans="1:8">
      <c r="A15" s="128"/>
      <c r="B15" s="137" t="s">
        <v>723</v>
      </c>
      <c r="C15" s="135"/>
      <c r="D15" s="141">
        <v>1</v>
      </c>
      <c r="E15" s="137" t="s">
        <v>725</v>
      </c>
      <c r="F15" s="132">
        <v>26500</v>
      </c>
      <c r="G15" s="132">
        <f t="shared" si="1"/>
        <v>26500</v>
      </c>
      <c r="H15" s="139"/>
    </row>
    <row r="16" spans="1:8">
      <c r="A16" s="128"/>
      <c r="B16" s="131" t="s">
        <v>726</v>
      </c>
      <c r="C16" s="135"/>
      <c r="D16" s="141">
        <v>1.2</v>
      </c>
      <c r="E16" s="137" t="s">
        <v>665</v>
      </c>
      <c r="F16" s="132">
        <v>14900</v>
      </c>
      <c r="G16" s="132">
        <f t="shared" si="1"/>
        <v>17880</v>
      </c>
      <c r="H16" s="133"/>
    </row>
    <row r="17" spans="1:8">
      <c r="A17" s="128"/>
      <c r="B17" s="137" t="s">
        <v>17</v>
      </c>
      <c r="C17" s="135"/>
      <c r="D17" s="141"/>
      <c r="E17" s="137"/>
      <c r="F17" s="132"/>
      <c r="G17" s="132">
        <f>SUM(G14:G16)</f>
        <v>53948</v>
      </c>
      <c r="H17" s="139"/>
    </row>
    <row r="18" spans="1:8">
      <c r="A18" s="128"/>
      <c r="B18" s="137" t="s">
        <v>729</v>
      </c>
      <c r="C18" s="135" t="s">
        <v>730</v>
      </c>
      <c r="D18" s="141"/>
      <c r="E18" s="137"/>
      <c r="F18" s="132"/>
      <c r="G18" s="132">
        <v>53900</v>
      </c>
      <c r="H18" s="139"/>
    </row>
    <row r="19" spans="1:8">
      <c r="A19" s="128"/>
      <c r="B19" s="135"/>
      <c r="C19" s="135"/>
      <c r="D19" s="141"/>
      <c r="E19" s="137"/>
      <c r="F19" s="132"/>
      <c r="G19" s="132">
        <f>D19*F19</f>
        <v>0</v>
      </c>
      <c r="H19" s="139"/>
    </row>
    <row r="20" spans="1:8">
      <c r="A20" s="128"/>
      <c r="B20" s="135"/>
      <c r="C20" s="135"/>
      <c r="D20" s="141"/>
      <c r="E20" s="137"/>
      <c r="F20" s="132"/>
      <c r="G20" s="132"/>
      <c r="H20" s="139"/>
    </row>
    <row r="21" spans="1:8">
      <c r="A21" s="128"/>
      <c r="B21" s="135"/>
      <c r="C21" s="135"/>
      <c r="D21" s="141"/>
      <c r="E21" s="137"/>
      <c r="F21" s="132"/>
      <c r="G21" s="132"/>
      <c r="H21" s="139"/>
    </row>
    <row r="22" spans="1:8">
      <c r="A22" s="128"/>
      <c r="B22" s="129"/>
      <c r="C22" s="129"/>
      <c r="D22" s="130"/>
      <c r="E22" s="131"/>
      <c r="F22" s="132"/>
      <c r="G22" s="132"/>
      <c r="H22" s="133"/>
    </row>
    <row r="23" spans="1:8">
      <c r="A23" s="146"/>
      <c r="B23" s="147"/>
      <c r="C23" s="147"/>
      <c r="D23" s="148"/>
      <c r="E23" s="149"/>
      <c r="F23" s="150"/>
      <c r="G23" s="150">
        <f>G21+G22</f>
        <v>0</v>
      </c>
      <c r="H23" s="151"/>
    </row>
    <row r="24" spans="1:8">
      <c r="A24" s="709" t="s">
        <v>732</v>
      </c>
      <c r="B24" s="709"/>
      <c r="C24" s="115" t="s">
        <v>733</v>
      </c>
      <c r="D24" s="116"/>
      <c r="E24" s="116"/>
      <c r="F24" s="117"/>
      <c r="G24" s="116"/>
      <c r="H24" s="116"/>
    </row>
    <row r="25" spans="1:8">
      <c r="A25" s="121"/>
      <c r="B25" s="121"/>
      <c r="C25" s="121" t="str">
        <f>C2</f>
        <v>大藪小学校屋内運動場空調設備設置工事</v>
      </c>
      <c r="D25" s="114"/>
      <c r="E25" s="114"/>
      <c r="F25" s="121"/>
      <c r="G25" s="114"/>
      <c r="H25" s="216" t="s">
        <v>129</v>
      </c>
    </row>
    <row r="26" spans="1:8">
      <c r="A26" s="122" t="s">
        <v>111</v>
      </c>
      <c r="B26" s="123" t="s">
        <v>112</v>
      </c>
      <c r="C26" s="123" t="s">
        <v>113</v>
      </c>
      <c r="D26" s="124" t="s">
        <v>114</v>
      </c>
      <c r="E26" s="123" t="s">
        <v>115</v>
      </c>
      <c r="F26" s="125" t="s">
        <v>20</v>
      </c>
      <c r="G26" s="123" t="s">
        <v>21</v>
      </c>
      <c r="H26" s="126" t="s">
        <v>116</v>
      </c>
    </row>
    <row r="27" spans="1:8">
      <c r="A27" s="128"/>
      <c r="B27" s="129" t="s">
        <v>92</v>
      </c>
      <c r="C27" s="129"/>
      <c r="D27" s="130"/>
      <c r="E27" s="131"/>
      <c r="F27" s="132"/>
      <c r="G27" s="132"/>
      <c r="H27" s="139"/>
    </row>
    <row r="28" spans="1:8">
      <c r="A28" s="134"/>
      <c r="B28" s="129" t="s">
        <v>734</v>
      </c>
      <c r="C28" s="135" t="s">
        <v>735</v>
      </c>
      <c r="D28" s="136">
        <v>2</v>
      </c>
      <c r="E28" s="137" t="s">
        <v>736</v>
      </c>
      <c r="F28" s="138">
        <v>2710</v>
      </c>
      <c r="G28" s="138">
        <f>D28*F28</f>
        <v>5420</v>
      </c>
      <c r="H28" s="139"/>
    </row>
    <row r="29" spans="1:8">
      <c r="A29" s="140"/>
      <c r="B29" s="135"/>
      <c r="C29" s="135" t="s">
        <v>381</v>
      </c>
      <c r="D29" s="647">
        <v>2.3E-2</v>
      </c>
      <c r="E29" s="137" t="s">
        <v>737</v>
      </c>
      <c r="F29" s="132">
        <v>25400</v>
      </c>
      <c r="G29" s="132">
        <f>D29*F29</f>
        <v>584.20000000000005</v>
      </c>
      <c r="H29" s="139"/>
    </row>
    <row r="30" spans="1:8">
      <c r="A30" s="142"/>
      <c r="B30" s="131" t="s">
        <v>17</v>
      </c>
      <c r="C30" s="135"/>
      <c r="D30" s="647"/>
      <c r="E30" s="137"/>
      <c r="F30" s="132"/>
      <c r="G30" s="132">
        <f>G28+G29</f>
        <v>6004.2</v>
      </c>
      <c r="H30" s="139"/>
    </row>
    <row r="31" spans="1:8">
      <c r="A31" s="134"/>
      <c r="B31" s="131" t="s">
        <v>729</v>
      </c>
      <c r="C31" s="135" t="s">
        <v>730</v>
      </c>
      <c r="D31" s="141"/>
      <c r="E31" s="137" t="s">
        <v>738</v>
      </c>
      <c r="F31" s="132"/>
      <c r="G31" s="132">
        <v>6000</v>
      </c>
      <c r="H31" s="139"/>
    </row>
    <row r="32" spans="1:8">
      <c r="A32" s="140"/>
      <c r="B32" s="131"/>
      <c r="C32" s="135"/>
      <c r="D32" s="141"/>
      <c r="E32" s="137"/>
      <c r="F32" s="132"/>
      <c r="G32" s="132"/>
      <c r="H32" s="139"/>
    </row>
    <row r="33" spans="1:8">
      <c r="A33" s="140"/>
      <c r="B33" s="129" t="s">
        <v>739</v>
      </c>
      <c r="C33" s="135"/>
      <c r="D33" s="141"/>
      <c r="E33" s="137"/>
      <c r="F33" s="132"/>
      <c r="G33" s="132"/>
      <c r="H33" s="139"/>
    </row>
    <row r="34" spans="1:8">
      <c r="A34" s="140"/>
      <c r="B34" s="129" t="s">
        <v>740</v>
      </c>
      <c r="C34" s="135" t="s">
        <v>741</v>
      </c>
      <c r="D34" s="141">
        <v>1</v>
      </c>
      <c r="E34" s="137" t="s">
        <v>738</v>
      </c>
      <c r="F34" s="132">
        <v>17500</v>
      </c>
      <c r="G34" s="132">
        <f t="shared" ref="G34:G35" si="2">D34*F34</f>
        <v>17500</v>
      </c>
      <c r="H34" s="139"/>
    </row>
    <row r="35" spans="1:8">
      <c r="A35" s="140"/>
      <c r="B35" s="129"/>
      <c r="C35" s="135" t="s">
        <v>742</v>
      </c>
      <c r="D35" s="647">
        <v>0.02</v>
      </c>
      <c r="E35" s="137" t="s">
        <v>737</v>
      </c>
      <c r="F35" s="132">
        <v>28800</v>
      </c>
      <c r="G35" s="132">
        <f t="shared" si="2"/>
        <v>576</v>
      </c>
      <c r="H35" s="139"/>
    </row>
    <row r="36" spans="1:8">
      <c r="A36" s="140"/>
      <c r="B36" s="131" t="s">
        <v>17</v>
      </c>
      <c r="C36" s="135"/>
      <c r="D36" s="141"/>
      <c r="E36" s="137"/>
      <c r="F36" s="132"/>
      <c r="G36" s="132">
        <f>G34+G35</f>
        <v>18076</v>
      </c>
      <c r="H36" s="139"/>
    </row>
    <row r="37" spans="1:8">
      <c r="A37" s="142"/>
      <c r="B37" s="131" t="s">
        <v>729</v>
      </c>
      <c r="C37" s="135" t="s">
        <v>730</v>
      </c>
      <c r="D37" s="141"/>
      <c r="E37" s="137" t="s">
        <v>738</v>
      </c>
      <c r="F37" s="132"/>
      <c r="G37" s="132">
        <v>18100</v>
      </c>
      <c r="H37" s="139"/>
    </row>
    <row r="38" spans="1:8">
      <c r="A38" s="128"/>
      <c r="B38" s="135"/>
      <c r="C38" s="135"/>
      <c r="D38" s="143"/>
      <c r="E38" s="137"/>
      <c r="F38" s="132"/>
      <c r="G38" s="132"/>
      <c r="H38" s="133"/>
    </row>
    <row r="39" spans="1:8">
      <c r="A39" s="128"/>
      <c r="B39" s="135" t="s">
        <v>743</v>
      </c>
      <c r="C39" s="135"/>
      <c r="D39" s="143"/>
      <c r="E39" s="137"/>
      <c r="F39" s="132"/>
      <c r="G39" s="132"/>
      <c r="H39" s="133"/>
    </row>
    <row r="40" spans="1:8">
      <c r="A40" s="128"/>
      <c r="B40" s="135" t="s">
        <v>744</v>
      </c>
      <c r="C40" s="135" t="s">
        <v>745</v>
      </c>
      <c r="D40" s="143">
        <v>1</v>
      </c>
      <c r="E40" s="137" t="s">
        <v>690</v>
      </c>
      <c r="F40" s="132">
        <v>119000</v>
      </c>
      <c r="G40" s="132">
        <f t="shared" ref="G40:G41" si="3">D40*F40</f>
        <v>119000</v>
      </c>
      <c r="H40" s="133"/>
    </row>
    <row r="41" spans="1:8">
      <c r="A41" s="128"/>
      <c r="B41" s="129"/>
      <c r="C41" s="129" t="s">
        <v>746</v>
      </c>
      <c r="D41" s="144">
        <v>0.46</v>
      </c>
      <c r="E41" s="131" t="s">
        <v>747</v>
      </c>
      <c r="F41" s="132">
        <v>28800</v>
      </c>
      <c r="G41" s="132">
        <f t="shared" si="3"/>
        <v>13248</v>
      </c>
      <c r="H41" s="133"/>
    </row>
    <row r="42" spans="1:8">
      <c r="A42" s="128"/>
      <c r="B42" s="131" t="s">
        <v>17</v>
      </c>
      <c r="C42" s="135"/>
      <c r="D42" s="130"/>
      <c r="E42" s="131"/>
      <c r="F42" s="132"/>
      <c r="G42" s="132">
        <f>G40+G41</f>
        <v>132248</v>
      </c>
      <c r="H42" s="133"/>
    </row>
    <row r="43" spans="1:8">
      <c r="A43" s="128"/>
      <c r="B43" s="131" t="s">
        <v>729</v>
      </c>
      <c r="C43" s="135" t="s">
        <v>730</v>
      </c>
      <c r="D43" s="130"/>
      <c r="E43" s="131" t="s">
        <v>748</v>
      </c>
      <c r="F43" s="132"/>
      <c r="G43" s="132">
        <v>132200</v>
      </c>
      <c r="H43" s="133"/>
    </row>
    <row r="44" spans="1:8">
      <c r="A44" s="128"/>
      <c r="B44" s="129"/>
      <c r="C44" s="129"/>
      <c r="D44" s="130"/>
      <c r="E44" s="131"/>
      <c r="F44" s="132"/>
      <c r="G44" s="132"/>
      <c r="H44" s="133"/>
    </row>
    <row r="45" spans="1:8">
      <c r="A45" s="128"/>
      <c r="B45" s="129"/>
      <c r="C45" s="129"/>
      <c r="D45" s="130"/>
      <c r="E45" s="131"/>
      <c r="F45" s="132"/>
      <c r="G45" s="132"/>
      <c r="H45" s="133"/>
    </row>
    <row r="46" spans="1:8">
      <c r="A46" s="146"/>
      <c r="B46" s="147"/>
      <c r="C46" s="147"/>
      <c r="D46" s="148"/>
      <c r="E46" s="149"/>
      <c r="F46" s="150"/>
      <c r="G46" s="150"/>
      <c r="H46" s="151"/>
    </row>
    <row r="47" spans="1:8">
      <c r="A47" s="709" t="s">
        <v>732</v>
      </c>
      <c r="B47" s="709"/>
      <c r="C47" s="115" t="s">
        <v>733</v>
      </c>
      <c r="D47" s="116"/>
      <c r="E47" s="116"/>
      <c r="F47" s="117"/>
      <c r="G47" s="116"/>
      <c r="H47" s="116"/>
    </row>
    <row r="48" spans="1:8">
      <c r="A48" s="121"/>
      <c r="B48" s="121"/>
      <c r="C48" s="121" t="str">
        <f>C25</f>
        <v>大藪小学校屋内運動場空調設備設置工事</v>
      </c>
      <c r="D48" s="114"/>
      <c r="E48" s="114"/>
      <c r="F48" s="121"/>
      <c r="G48" s="114"/>
      <c r="H48" s="216" t="s">
        <v>130</v>
      </c>
    </row>
    <row r="49" spans="1:8">
      <c r="A49" s="122" t="s">
        <v>111</v>
      </c>
      <c r="B49" s="123" t="s">
        <v>112</v>
      </c>
      <c r="C49" s="123" t="s">
        <v>113</v>
      </c>
      <c r="D49" s="124" t="s">
        <v>114</v>
      </c>
      <c r="E49" s="123" t="s">
        <v>115</v>
      </c>
      <c r="F49" s="125" t="s">
        <v>20</v>
      </c>
      <c r="G49" s="123" t="s">
        <v>21</v>
      </c>
      <c r="H49" s="126" t="s">
        <v>116</v>
      </c>
    </row>
    <row r="50" spans="1:8">
      <c r="A50" s="134"/>
      <c r="B50" s="129" t="s">
        <v>749</v>
      </c>
      <c r="C50" s="135"/>
      <c r="D50" s="136"/>
      <c r="E50" s="137"/>
      <c r="F50" s="138"/>
      <c r="G50" s="138"/>
      <c r="H50" s="139"/>
    </row>
    <row r="51" spans="1:8">
      <c r="A51" s="140"/>
      <c r="B51" s="135" t="s">
        <v>750</v>
      </c>
      <c r="C51" s="135" t="s">
        <v>751</v>
      </c>
      <c r="D51" s="141">
        <v>2</v>
      </c>
      <c r="E51" s="137"/>
      <c r="F51" s="132">
        <v>35000</v>
      </c>
      <c r="G51" s="132">
        <f t="shared" ref="G51" si="4">D51*F51</f>
        <v>70000</v>
      </c>
      <c r="H51" s="139"/>
    </row>
    <row r="52" spans="1:8">
      <c r="A52" s="140"/>
      <c r="B52" s="131" t="s">
        <v>17</v>
      </c>
      <c r="C52" s="135"/>
      <c r="D52" s="141"/>
      <c r="E52" s="137"/>
      <c r="F52" s="132"/>
      <c r="G52" s="132">
        <f>G51</f>
        <v>70000</v>
      </c>
      <c r="H52" s="367"/>
    </row>
    <row r="53" spans="1:8">
      <c r="A53" s="140"/>
      <c r="B53" s="135"/>
      <c r="C53" s="135"/>
      <c r="D53" s="141"/>
      <c r="E53" s="137"/>
      <c r="F53" s="132"/>
      <c r="G53" s="132">
        <f t="shared" ref="G53" si="5">D53*F53</f>
        <v>0</v>
      </c>
      <c r="H53" s="367"/>
    </row>
    <row r="54" spans="1:8">
      <c r="A54" s="142"/>
      <c r="B54" s="135" t="s">
        <v>752</v>
      </c>
      <c r="C54" s="135"/>
      <c r="D54" s="213"/>
      <c r="E54" s="137"/>
      <c r="F54" s="132"/>
      <c r="G54" s="132"/>
      <c r="H54" s="139"/>
    </row>
    <row r="55" spans="1:8">
      <c r="A55" s="128"/>
      <c r="B55" s="135" t="s">
        <v>753</v>
      </c>
      <c r="C55" s="135" t="s">
        <v>754</v>
      </c>
      <c r="D55" s="143">
        <v>1</v>
      </c>
      <c r="E55" s="137" t="s">
        <v>755</v>
      </c>
      <c r="F55" s="132">
        <v>1150</v>
      </c>
      <c r="G55" s="132">
        <f t="shared" ref="G55:G56" si="6">D55*F55</f>
        <v>1150</v>
      </c>
      <c r="H55" s="133"/>
    </row>
    <row r="56" spans="1:8">
      <c r="A56" s="128"/>
      <c r="B56" s="135" t="s">
        <v>387</v>
      </c>
      <c r="C56" s="135"/>
      <c r="D56" s="648">
        <v>2.3E-2</v>
      </c>
      <c r="E56" s="137" t="s">
        <v>756</v>
      </c>
      <c r="F56" s="132">
        <v>31700</v>
      </c>
      <c r="G56" s="132">
        <f t="shared" si="6"/>
        <v>729.1</v>
      </c>
      <c r="H56" s="133"/>
    </row>
    <row r="57" spans="1:8">
      <c r="A57" s="128"/>
      <c r="B57" s="137" t="s">
        <v>17</v>
      </c>
      <c r="C57" s="135"/>
      <c r="D57" s="143"/>
      <c r="E57" s="137"/>
      <c r="F57" s="132"/>
      <c r="G57" s="132">
        <f>G55+G56</f>
        <v>1879.1</v>
      </c>
      <c r="H57" s="133"/>
    </row>
    <row r="58" spans="1:8">
      <c r="A58" s="128"/>
      <c r="B58" s="131" t="s">
        <v>729</v>
      </c>
      <c r="C58" s="135" t="s">
        <v>730</v>
      </c>
      <c r="D58" s="144"/>
      <c r="E58" s="137" t="s">
        <v>628</v>
      </c>
      <c r="F58" s="132"/>
      <c r="G58" s="132">
        <v>1880</v>
      </c>
      <c r="H58" s="133"/>
    </row>
    <row r="59" spans="1:8">
      <c r="A59" s="128"/>
      <c r="B59" s="135"/>
      <c r="C59" s="135"/>
      <c r="D59" s="143"/>
      <c r="E59" s="137"/>
      <c r="F59" s="132"/>
      <c r="G59" s="132"/>
      <c r="H59" s="133"/>
    </row>
    <row r="60" spans="1:8">
      <c r="A60" s="128"/>
      <c r="B60" s="129"/>
      <c r="C60" s="129"/>
      <c r="D60" s="143"/>
      <c r="E60" s="131"/>
      <c r="F60" s="132"/>
      <c r="G60" s="132"/>
      <c r="H60" s="133"/>
    </row>
    <row r="61" spans="1:8">
      <c r="A61" s="128"/>
      <c r="B61" s="129"/>
      <c r="C61" s="129"/>
      <c r="D61" s="130"/>
      <c r="E61" s="131"/>
      <c r="F61" s="132"/>
      <c r="G61" s="132"/>
      <c r="H61" s="133"/>
    </row>
    <row r="62" spans="1:8">
      <c r="A62" s="128"/>
      <c r="B62" s="129"/>
      <c r="C62" s="129"/>
      <c r="D62" s="130"/>
      <c r="E62" s="131"/>
      <c r="F62" s="132"/>
      <c r="G62" s="132"/>
      <c r="H62" s="133"/>
    </row>
    <row r="63" spans="1:8">
      <c r="A63" s="128"/>
      <c r="B63" s="129"/>
      <c r="C63" s="129"/>
      <c r="D63" s="130"/>
      <c r="E63" s="131"/>
      <c r="F63" s="132"/>
      <c r="G63" s="132"/>
      <c r="H63" s="133"/>
    </row>
    <row r="64" spans="1:8">
      <c r="A64" s="128"/>
      <c r="B64" s="129"/>
      <c r="C64" s="129"/>
      <c r="D64" s="130"/>
      <c r="E64" s="131"/>
      <c r="F64" s="132"/>
      <c r="G64" s="132"/>
      <c r="H64" s="133"/>
    </row>
    <row r="65" spans="1:8">
      <c r="A65" s="128"/>
      <c r="B65" s="129"/>
      <c r="C65" s="129"/>
      <c r="D65" s="130"/>
      <c r="E65" s="131"/>
      <c r="F65" s="132"/>
      <c r="G65" s="132"/>
      <c r="H65" s="133"/>
    </row>
    <row r="66" spans="1:8">
      <c r="A66" s="128"/>
      <c r="B66" s="129"/>
      <c r="C66" s="129"/>
      <c r="D66" s="130"/>
      <c r="E66" s="131"/>
      <c r="F66" s="132"/>
      <c r="G66" s="132"/>
      <c r="H66" s="133"/>
    </row>
    <row r="67" spans="1:8">
      <c r="A67" s="128"/>
      <c r="B67" s="129"/>
      <c r="C67" s="129"/>
      <c r="D67" s="130"/>
      <c r="E67" s="131"/>
      <c r="F67" s="132"/>
      <c r="G67" s="132"/>
      <c r="H67" s="133"/>
    </row>
    <row r="68" spans="1:8">
      <c r="A68" s="128"/>
      <c r="B68" s="129"/>
      <c r="C68" s="129"/>
      <c r="D68" s="130"/>
      <c r="E68" s="131"/>
      <c r="F68" s="132"/>
      <c r="G68" s="132"/>
      <c r="H68" s="133"/>
    </row>
    <row r="69" spans="1:8">
      <c r="A69" s="146"/>
      <c r="B69" s="147"/>
      <c r="C69" s="147"/>
      <c r="D69" s="148"/>
      <c r="E69" s="149"/>
      <c r="F69" s="150"/>
      <c r="G69" s="150">
        <f>ROUNDDOWN(G67+G68,-2)</f>
        <v>0</v>
      </c>
      <c r="H69" s="151"/>
    </row>
  </sheetData>
  <mergeCells count="3">
    <mergeCell ref="A1:B1"/>
    <mergeCell ref="A24:B24"/>
    <mergeCell ref="A47:B47"/>
  </mergeCells>
  <phoneticPr fontId="48"/>
  <dataValidations count="1">
    <dataValidation imeMode="hiragana" allowBlank="1" showInputMessage="1" showErrorMessage="1" sqref="E6:E19 C57:C59 E28:E41 C6:C19 C50:C55 E50:E60 C28:C43" xr:uid="{9AA31EF4-7113-42D1-A50F-ED1F22670239}"/>
  </dataValidation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AF745-06F3-4527-BDF1-42D9207CE38E}">
  <sheetPr>
    <tabColor theme="8" tint="-0.249977111117893"/>
  </sheetPr>
  <dimension ref="A1:O35"/>
  <sheetViews>
    <sheetView workbookViewId="0">
      <selection sqref="A1:O35"/>
    </sheetView>
  </sheetViews>
  <sheetFormatPr defaultRowHeight="13.2"/>
  <cols>
    <col min="1" max="1" width="18.109375" customWidth="1"/>
    <col min="2" max="2" width="0.88671875" customWidth="1"/>
    <col min="3" max="3" width="17.6640625" customWidth="1"/>
    <col min="4" max="5" width="4.77734375" bestFit="1" customWidth="1"/>
    <col min="6" max="6" width="10.33203125" bestFit="1" customWidth="1"/>
    <col min="7" max="7" width="7" customWidth="1"/>
    <col min="8" max="8" width="4.33203125" customWidth="1"/>
    <col min="9" max="15" width="9.6640625" customWidth="1"/>
  </cols>
  <sheetData>
    <row r="1" spans="1:15">
      <c r="A1" s="766" t="s">
        <v>757</v>
      </c>
      <c r="B1" s="513"/>
      <c r="C1" s="766" t="s">
        <v>758</v>
      </c>
      <c r="D1" s="514"/>
      <c r="E1" s="421"/>
      <c r="F1" s="421"/>
      <c r="G1" s="421"/>
      <c r="H1" s="421"/>
      <c r="I1" s="514"/>
      <c r="J1" s="421"/>
      <c r="K1" s="421"/>
      <c r="L1" s="421"/>
      <c r="M1" s="421"/>
      <c r="N1" s="421"/>
      <c r="O1" s="421"/>
    </row>
    <row r="2" spans="1:15">
      <c r="A2" s="769"/>
      <c r="B2" s="517"/>
      <c r="C2" s="768"/>
      <c r="D2" s="518"/>
      <c r="E2" s="440"/>
      <c r="F2" s="518"/>
      <c r="G2" s="518"/>
      <c r="H2" s="518"/>
      <c r="I2" s="518"/>
      <c r="J2" s="519"/>
      <c r="K2" s="519"/>
      <c r="L2" s="519"/>
      <c r="M2" s="519"/>
      <c r="N2" s="519"/>
      <c r="O2" s="519"/>
    </row>
    <row r="3" spans="1:15">
      <c r="A3" s="764" t="s">
        <v>391</v>
      </c>
      <c r="B3" s="499"/>
      <c r="C3" s="764" t="s">
        <v>392</v>
      </c>
      <c r="D3" s="758" t="s">
        <v>70</v>
      </c>
      <c r="E3" s="758" t="s">
        <v>5</v>
      </c>
      <c r="F3" s="758" t="s">
        <v>77</v>
      </c>
      <c r="G3" s="425" t="s">
        <v>71</v>
      </c>
      <c r="H3" s="752" t="s">
        <v>393</v>
      </c>
      <c r="I3" s="764"/>
      <c r="J3" s="521">
        <v>1</v>
      </c>
      <c r="K3" s="522" t="s">
        <v>759</v>
      </c>
      <c r="L3" s="425">
        <v>2</v>
      </c>
      <c r="M3" s="523" t="s">
        <v>760</v>
      </c>
      <c r="N3" s="521">
        <v>3</v>
      </c>
      <c r="O3" s="633" t="s">
        <v>761</v>
      </c>
    </row>
    <row r="4" spans="1:15">
      <c r="A4" s="770"/>
      <c r="B4" s="440"/>
      <c r="C4" s="770"/>
      <c r="D4" s="763"/>
      <c r="E4" s="763"/>
      <c r="F4" s="763"/>
      <c r="G4" s="524">
        <v>0.7</v>
      </c>
      <c r="H4" s="525">
        <v>1</v>
      </c>
      <c r="I4" s="526" t="s">
        <v>395</v>
      </c>
      <c r="J4" s="527" t="s">
        <v>320</v>
      </c>
      <c r="K4" s="437" t="s">
        <v>396</v>
      </c>
      <c r="L4" s="437" t="s">
        <v>320</v>
      </c>
      <c r="M4" s="437" t="s">
        <v>396</v>
      </c>
      <c r="N4" s="437" t="s">
        <v>320</v>
      </c>
      <c r="O4" s="528" t="s">
        <v>396</v>
      </c>
    </row>
    <row r="5" spans="1:15">
      <c r="A5" s="530" t="s">
        <v>762</v>
      </c>
      <c r="B5" s="531"/>
      <c r="C5" s="530"/>
      <c r="D5" s="532" t="s">
        <v>763</v>
      </c>
      <c r="E5" s="533"/>
      <c r="F5" s="534">
        <f>ROUNDDOWN(G5*I5,-2)</f>
        <v>105000</v>
      </c>
      <c r="G5" s="535">
        <v>0.7</v>
      </c>
      <c r="H5" s="536"/>
      <c r="I5" s="537">
        <f>MIN(J5,L5,N5)</f>
        <v>150000</v>
      </c>
      <c r="J5" s="538">
        <v>150000</v>
      </c>
      <c r="K5" s="538">
        <f>E5*J5</f>
        <v>0</v>
      </c>
      <c r="L5" s="539">
        <v>165000</v>
      </c>
      <c r="M5" s="538">
        <f>E5*L5</f>
        <v>0</v>
      </c>
      <c r="N5" s="539">
        <v>225000</v>
      </c>
      <c r="O5" s="540">
        <f>E5*N5</f>
        <v>0</v>
      </c>
    </row>
    <row r="6" spans="1:15">
      <c r="A6" s="530" t="s">
        <v>619</v>
      </c>
      <c r="B6" s="531"/>
      <c r="C6" s="530"/>
      <c r="D6" s="532" t="s">
        <v>606</v>
      </c>
      <c r="E6" s="542"/>
      <c r="F6" s="543">
        <f>ROUNDDOWN(G6*I6,-1)</f>
        <v>1400</v>
      </c>
      <c r="G6" s="544">
        <f t="shared" ref="G6" si="0">G5</f>
        <v>0.7</v>
      </c>
      <c r="H6" s="545"/>
      <c r="I6" s="546">
        <f t="shared" ref="I6:I10" si="1">MIN(J6,L6,N6)</f>
        <v>2000</v>
      </c>
      <c r="J6" s="546">
        <v>2000</v>
      </c>
      <c r="K6" s="546">
        <f t="shared" ref="K6:K33" si="2">E6*J6</f>
        <v>0</v>
      </c>
      <c r="L6" s="547">
        <v>2300</v>
      </c>
      <c r="M6" s="546">
        <f t="shared" ref="M6:M16" si="3">E6*L6</f>
        <v>0</v>
      </c>
      <c r="N6" s="547">
        <v>2100</v>
      </c>
      <c r="O6" s="548">
        <f t="shared" ref="O6:O16" si="4">E6*N6</f>
        <v>0</v>
      </c>
    </row>
    <row r="7" spans="1:15">
      <c r="A7" s="530" t="s">
        <v>764</v>
      </c>
      <c r="B7" s="531"/>
      <c r="C7" s="530" t="s">
        <v>765</v>
      </c>
      <c r="D7" s="532" t="s">
        <v>622</v>
      </c>
      <c r="E7" s="542"/>
      <c r="F7" s="543">
        <f t="shared" ref="F7:F10" si="5">ROUNDDOWN(G7*I7,-2)</f>
        <v>38500</v>
      </c>
      <c r="G7" s="544">
        <v>0.7</v>
      </c>
      <c r="H7" s="545"/>
      <c r="I7" s="546">
        <f t="shared" si="1"/>
        <v>55000</v>
      </c>
      <c r="J7" s="546">
        <v>55000</v>
      </c>
      <c r="K7" s="546"/>
      <c r="L7" s="547">
        <v>63300</v>
      </c>
      <c r="M7" s="546"/>
      <c r="N7" s="547">
        <v>62700</v>
      </c>
      <c r="O7" s="548">
        <f t="shared" si="4"/>
        <v>0</v>
      </c>
    </row>
    <row r="8" spans="1:15">
      <c r="A8" s="530" t="s">
        <v>766</v>
      </c>
      <c r="B8" s="531"/>
      <c r="C8" s="530" t="s">
        <v>765</v>
      </c>
      <c r="D8" s="532" t="s">
        <v>606</v>
      </c>
      <c r="E8" s="542"/>
      <c r="F8" s="543">
        <f>ROUNDDOWN(G8*I8,-1)</f>
        <v>2450</v>
      </c>
      <c r="G8" s="544">
        <v>0.7</v>
      </c>
      <c r="H8" s="545"/>
      <c r="I8" s="546">
        <f t="shared" si="1"/>
        <v>3500</v>
      </c>
      <c r="J8" s="546">
        <v>3500</v>
      </c>
      <c r="K8" s="546"/>
      <c r="L8" s="547">
        <v>4100</v>
      </c>
      <c r="M8" s="546"/>
      <c r="N8" s="547">
        <v>3700</v>
      </c>
      <c r="O8" s="548">
        <f t="shared" si="4"/>
        <v>0</v>
      </c>
    </row>
    <row r="9" spans="1:15">
      <c r="A9" s="530" t="s">
        <v>767</v>
      </c>
      <c r="B9" s="531"/>
      <c r="C9" s="530" t="s">
        <v>765</v>
      </c>
      <c r="D9" s="532" t="s">
        <v>622</v>
      </c>
      <c r="E9" s="542"/>
      <c r="F9" s="543">
        <f t="shared" si="5"/>
        <v>10500</v>
      </c>
      <c r="G9" s="544">
        <v>0.7</v>
      </c>
      <c r="H9" s="545"/>
      <c r="I9" s="546">
        <f t="shared" si="1"/>
        <v>15000</v>
      </c>
      <c r="J9" s="546">
        <v>15000</v>
      </c>
      <c r="K9" s="546"/>
      <c r="L9" s="547">
        <v>17100</v>
      </c>
      <c r="M9" s="546">
        <f t="shared" si="3"/>
        <v>0</v>
      </c>
      <c r="N9" s="547">
        <v>17600</v>
      </c>
      <c r="O9" s="548">
        <f t="shared" si="4"/>
        <v>0</v>
      </c>
    </row>
    <row r="10" spans="1:15">
      <c r="A10" s="530" t="s">
        <v>768</v>
      </c>
      <c r="B10" s="531"/>
      <c r="C10" s="530"/>
      <c r="D10" s="532" t="s">
        <v>763</v>
      </c>
      <c r="E10" s="542"/>
      <c r="F10" s="543">
        <f t="shared" si="5"/>
        <v>84000</v>
      </c>
      <c r="G10" s="544">
        <v>0.7</v>
      </c>
      <c r="H10" s="545"/>
      <c r="I10" s="546">
        <f t="shared" si="1"/>
        <v>120000</v>
      </c>
      <c r="J10" s="546">
        <v>120000</v>
      </c>
      <c r="K10" s="546"/>
      <c r="L10" s="547">
        <v>132000</v>
      </c>
      <c r="M10" s="546">
        <f t="shared" si="3"/>
        <v>0</v>
      </c>
      <c r="N10" s="547">
        <v>180000</v>
      </c>
      <c r="O10" s="548">
        <f t="shared" si="4"/>
        <v>0</v>
      </c>
    </row>
    <row r="11" spans="1:15">
      <c r="A11" s="530"/>
      <c r="B11" s="531"/>
      <c r="C11" s="530"/>
      <c r="D11" s="532"/>
      <c r="E11" s="542"/>
      <c r="F11" s="543"/>
      <c r="G11" s="544"/>
      <c r="H11" s="545"/>
      <c r="I11" s="546"/>
      <c r="J11" s="546"/>
      <c r="K11" s="546"/>
      <c r="L11" s="547"/>
      <c r="M11" s="546">
        <f t="shared" si="3"/>
        <v>0</v>
      </c>
      <c r="N11" s="547"/>
      <c r="O11" s="548">
        <f t="shared" si="4"/>
        <v>0</v>
      </c>
    </row>
    <row r="12" spans="1:15">
      <c r="A12" s="530"/>
      <c r="B12" s="531"/>
      <c r="C12" s="530"/>
      <c r="D12" s="532"/>
      <c r="E12" s="542"/>
      <c r="F12" s="543">
        <f t="shared" ref="F12:F25" si="6">ROUNDDOWN(G12*I12,-2)</f>
        <v>0</v>
      </c>
      <c r="G12" s="544"/>
      <c r="H12" s="545"/>
      <c r="I12" s="546">
        <f t="shared" ref="I12:I32" si="7">J12</f>
        <v>0</v>
      </c>
      <c r="J12" s="546"/>
      <c r="K12" s="546">
        <f t="shared" si="2"/>
        <v>0</v>
      </c>
      <c r="L12" s="547"/>
      <c r="M12" s="546">
        <f t="shared" si="3"/>
        <v>0</v>
      </c>
      <c r="N12" s="547"/>
      <c r="O12" s="548">
        <f t="shared" si="4"/>
        <v>0</v>
      </c>
    </row>
    <row r="13" spans="1:15">
      <c r="A13" s="530"/>
      <c r="B13" s="531"/>
      <c r="C13" s="530"/>
      <c r="D13" s="532"/>
      <c r="E13" s="542"/>
      <c r="F13" s="543"/>
      <c r="G13" s="544"/>
      <c r="H13" s="545"/>
      <c r="I13" s="546"/>
      <c r="J13" s="546"/>
      <c r="K13" s="546"/>
      <c r="L13" s="547"/>
      <c r="M13" s="546"/>
      <c r="N13" s="547"/>
      <c r="O13" s="548"/>
    </row>
    <row r="14" spans="1:15">
      <c r="A14" s="530"/>
      <c r="B14" s="531"/>
      <c r="C14" s="530"/>
      <c r="D14" s="532"/>
      <c r="E14" s="542"/>
      <c r="F14" s="543">
        <f t="shared" si="6"/>
        <v>0</v>
      </c>
      <c r="G14" s="544"/>
      <c r="H14" s="545"/>
      <c r="I14" s="546">
        <f t="shared" si="7"/>
        <v>0</v>
      </c>
      <c r="J14" s="546"/>
      <c r="K14" s="546">
        <f t="shared" si="2"/>
        <v>0</v>
      </c>
      <c r="L14" s="547"/>
      <c r="M14" s="546">
        <f t="shared" si="3"/>
        <v>0</v>
      </c>
      <c r="N14" s="547"/>
      <c r="O14" s="548">
        <f t="shared" si="4"/>
        <v>0</v>
      </c>
    </row>
    <row r="15" spans="1:15">
      <c r="A15" s="530"/>
      <c r="B15" s="531"/>
      <c r="C15" s="530"/>
      <c r="D15" s="532"/>
      <c r="E15" s="542"/>
      <c r="F15" s="543">
        <f t="shared" si="6"/>
        <v>0</v>
      </c>
      <c r="G15" s="544"/>
      <c r="H15" s="545"/>
      <c r="I15" s="546">
        <f t="shared" si="7"/>
        <v>0</v>
      </c>
      <c r="J15" s="546"/>
      <c r="K15" s="546">
        <f t="shared" si="2"/>
        <v>0</v>
      </c>
      <c r="L15" s="547"/>
      <c r="M15" s="546">
        <f t="shared" si="3"/>
        <v>0</v>
      </c>
      <c r="N15" s="547"/>
      <c r="O15" s="548">
        <f t="shared" si="4"/>
        <v>0</v>
      </c>
    </row>
    <row r="16" spans="1:15">
      <c r="A16" s="530"/>
      <c r="B16" s="531"/>
      <c r="C16" s="530"/>
      <c r="D16" s="532"/>
      <c r="E16" s="542"/>
      <c r="F16" s="543">
        <f t="shared" si="6"/>
        <v>0</v>
      </c>
      <c r="G16" s="544"/>
      <c r="H16" s="545"/>
      <c r="I16" s="546">
        <f t="shared" si="7"/>
        <v>0</v>
      </c>
      <c r="J16" s="546"/>
      <c r="K16" s="546">
        <f t="shared" si="2"/>
        <v>0</v>
      </c>
      <c r="L16" s="547"/>
      <c r="M16" s="546">
        <f t="shared" si="3"/>
        <v>0</v>
      </c>
      <c r="N16" s="547"/>
      <c r="O16" s="548">
        <f t="shared" si="4"/>
        <v>0</v>
      </c>
    </row>
    <row r="17" spans="1:15">
      <c r="A17" s="530"/>
      <c r="B17" s="531"/>
      <c r="C17" s="530"/>
      <c r="D17" s="532"/>
      <c r="E17" s="542"/>
      <c r="F17" s="543">
        <f t="shared" si="6"/>
        <v>0</v>
      </c>
      <c r="G17" s="544"/>
      <c r="H17" s="545"/>
      <c r="I17" s="546">
        <f t="shared" si="7"/>
        <v>0</v>
      </c>
      <c r="J17" s="546"/>
      <c r="K17" s="546">
        <f t="shared" si="2"/>
        <v>0</v>
      </c>
      <c r="L17" s="547"/>
      <c r="M17" s="546">
        <f t="shared" ref="M17:M33" si="8">L17*E17</f>
        <v>0</v>
      </c>
      <c r="N17" s="547"/>
      <c r="O17" s="548">
        <f t="shared" ref="O17:O33" si="9">N17*E17</f>
        <v>0</v>
      </c>
    </row>
    <row r="18" spans="1:15">
      <c r="A18" s="530"/>
      <c r="B18" s="531"/>
      <c r="C18" s="530"/>
      <c r="D18" s="532"/>
      <c r="E18" s="542"/>
      <c r="F18" s="543">
        <f t="shared" si="6"/>
        <v>0</v>
      </c>
      <c r="G18" s="544"/>
      <c r="H18" s="545"/>
      <c r="I18" s="546">
        <f t="shared" si="7"/>
        <v>0</v>
      </c>
      <c r="J18" s="546"/>
      <c r="K18" s="546">
        <f t="shared" si="2"/>
        <v>0</v>
      </c>
      <c r="L18" s="547"/>
      <c r="M18" s="546">
        <f t="shared" si="8"/>
        <v>0</v>
      </c>
      <c r="N18" s="547"/>
      <c r="O18" s="548">
        <f t="shared" si="9"/>
        <v>0</v>
      </c>
    </row>
    <row r="19" spans="1:15">
      <c r="A19" s="530"/>
      <c r="B19" s="531"/>
      <c r="C19" s="530"/>
      <c r="D19" s="532"/>
      <c r="E19" s="542"/>
      <c r="F19" s="543">
        <f t="shared" si="6"/>
        <v>0</v>
      </c>
      <c r="G19" s="544"/>
      <c r="H19" s="545"/>
      <c r="I19" s="546">
        <f t="shared" si="7"/>
        <v>0</v>
      </c>
      <c r="J19" s="546"/>
      <c r="K19" s="546">
        <f t="shared" si="2"/>
        <v>0</v>
      </c>
      <c r="L19" s="547"/>
      <c r="M19" s="546">
        <f t="shared" si="8"/>
        <v>0</v>
      </c>
      <c r="N19" s="547"/>
      <c r="O19" s="548">
        <f t="shared" si="9"/>
        <v>0</v>
      </c>
    </row>
    <row r="20" spans="1:15">
      <c r="A20" s="530"/>
      <c r="B20" s="531"/>
      <c r="C20" s="530"/>
      <c r="D20" s="532"/>
      <c r="E20" s="549"/>
      <c r="F20" s="543">
        <f t="shared" si="6"/>
        <v>0</v>
      </c>
      <c r="G20" s="544"/>
      <c r="H20" s="545"/>
      <c r="I20" s="546">
        <f t="shared" si="7"/>
        <v>0</v>
      </c>
      <c r="J20" s="546"/>
      <c r="K20" s="546">
        <f t="shared" si="2"/>
        <v>0</v>
      </c>
      <c r="L20" s="547"/>
      <c r="M20" s="546">
        <f t="shared" si="8"/>
        <v>0</v>
      </c>
      <c r="N20" s="547"/>
      <c r="O20" s="548">
        <f t="shared" si="9"/>
        <v>0</v>
      </c>
    </row>
    <row r="21" spans="1:15">
      <c r="A21" s="530"/>
      <c r="B21" s="531"/>
      <c r="C21" s="530"/>
      <c r="D21" s="532"/>
      <c r="E21" s="549"/>
      <c r="F21" s="543">
        <f t="shared" si="6"/>
        <v>0</v>
      </c>
      <c r="G21" s="544"/>
      <c r="H21" s="545"/>
      <c r="I21" s="546">
        <f t="shared" si="7"/>
        <v>0</v>
      </c>
      <c r="J21" s="546"/>
      <c r="K21" s="546">
        <f t="shared" si="2"/>
        <v>0</v>
      </c>
      <c r="L21" s="547"/>
      <c r="M21" s="546">
        <f t="shared" si="8"/>
        <v>0</v>
      </c>
      <c r="N21" s="547"/>
      <c r="O21" s="548">
        <f t="shared" si="9"/>
        <v>0</v>
      </c>
    </row>
    <row r="22" spans="1:15">
      <c r="A22" s="530"/>
      <c r="B22" s="531"/>
      <c r="C22" s="530"/>
      <c r="D22" s="532"/>
      <c r="E22" s="549"/>
      <c r="F22" s="543">
        <f t="shared" si="6"/>
        <v>0</v>
      </c>
      <c r="G22" s="544"/>
      <c r="H22" s="545"/>
      <c r="I22" s="546">
        <f t="shared" si="7"/>
        <v>0</v>
      </c>
      <c r="J22" s="546"/>
      <c r="K22" s="546">
        <f t="shared" si="2"/>
        <v>0</v>
      </c>
      <c r="L22" s="547"/>
      <c r="M22" s="546">
        <f t="shared" si="8"/>
        <v>0</v>
      </c>
      <c r="N22" s="547"/>
      <c r="O22" s="548">
        <f t="shared" si="9"/>
        <v>0</v>
      </c>
    </row>
    <row r="23" spans="1:15">
      <c r="A23" s="530"/>
      <c r="B23" s="531"/>
      <c r="C23" s="530"/>
      <c r="D23" s="532"/>
      <c r="E23" s="549"/>
      <c r="F23" s="543">
        <f t="shared" si="6"/>
        <v>0</v>
      </c>
      <c r="G23" s="544"/>
      <c r="H23" s="550"/>
      <c r="I23" s="546">
        <f t="shared" si="7"/>
        <v>0</v>
      </c>
      <c r="J23" s="546"/>
      <c r="K23" s="546">
        <f t="shared" si="2"/>
        <v>0</v>
      </c>
      <c r="L23" s="547"/>
      <c r="M23" s="546">
        <f t="shared" si="8"/>
        <v>0</v>
      </c>
      <c r="N23" s="547"/>
      <c r="O23" s="548">
        <f t="shared" si="9"/>
        <v>0</v>
      </c>
    </row>
    <row r="24" spans="1:15">
      <c r="A24" s="530"/>
      <c r="B24" s="531"/>
      <c r="C24" s="530"/>
      <c r="D24" s="532"/>
      <c r="E24" s="549"/>
      <c r="F24" s="543">
        <f t="shared" si="6"/>
        <v>0</v>
      </c>
      <c r="G24" s="544"/>
      <c r="H24" s="550"/>
      <c r="I24" s="546">
        <f t="shared" si="7"/>
        <v>0</v>
      </c>
      <c r="J24" s="546"/>
      <c r="K24" s="546">
        <f t="shared" si="2"/>
        <v>0</v>
      </c>
      <c r="L24" s="547"/>
      <c r="M24" s="546">
        <f t="shared" si="8"/>
        <v>0</v>
      </c>
      <c r="N24" s="547"/>
      <c r="O24" s="548">
        <f t="shared" si="9"/>
        <v>0</v>
      </c>
    </row>
    <row r="25" spans="1:15">
      <c r="A25" s="530"/>
      <c r="B25" s="531"/>
      <c r="C25" s="530"/>
      <c r="D25" s="532"/>
      <c r="E25" s="549"/>
      <c r="F25" s="543">
        <f t="shared" si="6"/>
        <v>0</v>
      </c>
      <c r="G25" s="544"/>
      <c r="H25" s="550"/>
      <c r="I25" s="546">
        <f t="shared" si="7"/>
        <v>0</v>
      </c>
      <c r="J25" s="546"/>
      <c r="K25" s="546">
        <f t="shared" si="2"/>
        <v>0</v>
      </c>
      <c r="L25" s="547"/>
      <c r="M25" s="546">
        <f t="shared" si="8"/>
        <v>0</v>
      </c>
      <c r="N25" s="547"/>
      <c r="O25" s="548">
        <f t="shared" si="9"/>
        <v>0</v>
      </c>
    </row>
    <row r="26" spans="1:15">
      <c r="A26" s="530"/>
      <c r="B26" s="531"/>
      <c r="C26" s="530"/>
      <c r="D26" s="532"/>
      <c r="E26" s="549"/>
      <c r="F26" s="543"/>
      <c r="G26" s="544"/>
      <c r="H26" s="550"/>
      <c r="I26" s="546">
        <f t="shared" si="7"/>
        <v>0</v>
      </c>
      <c r="J26" s="546"/>
      <c r="K26" s="546">
        <f t="shared" si="2"/>
        <v>0</v>
      </c>
      <c r="L26" s="547"/>
      <c r="M26" s="546">
        <f t="shared" si="8"/>
        <v>0</v>
      </c>
      <c r="N26" s="547"/>
      <c r="O26" s="548">
        <f t="shared" si="9"/>
        <v>0</v>
      </c>
    </row>
    <row r="27" spans="1:15">
      <c r="A27" s="530"/>
      <c r="B27" s="531"/>
      <c r="C27" s="530"/>
      <c r="D27" s="532"/>
      <c r="E27" s="549"/>
      <c r="F27" s="543"/>
      <c r="G27" s="544"/>
      <c r="H27" s="550"/>
      <c r="I27" s="546">
        <f t="shared" si="7"/>
        <v>0</v>
      </c>
      <c r="J27" s="546"/>
      <c r="K27" s="546">
        <f t="shared" si="2"/>
        <v>0</v>
      </c>
      <c r="L27" s="547"/>
      <c r="M27" s="546">
        <f t="shared" si="8"/>
        <v>0</v>
      </c>
      <c r="N27" s="547"/>
      <c r="O27" s="548">
        <f t="shared" si="9"/>
        <v>0</v>
      </c>
    </row>
    <row r="28" spans="1:15">
      <c r="A28" s="530"/>
      <c r="B28" s="531"/>
      <c r="C28" s="530"/>
      <c r="D28" s="532"/>
      <c r="E28" s="549"/>
      <c r="F28" s="543"/>
      <c r="G28" s="544"/>
      <c r="H28" s="550"/>
      <c r="I28" s="546">
        <f t="shared" si="7"/>
        <v>0</v>
      </c>
      <c r="J28" s="546"/>
      <c r="K28" s="546">
        <f t="shared" si="2"/>
        <v>0</v>
      </c>
      <c r="L28" s="547"/>
      <c r="M28" s="546">
        <f t="shared" si="8"/>
        <v>0</v>
      </c>
      <c r="N28" s="547"/>
      <c r="O28" s="548">
        <f t="shared" si="9"/>
        <v>0</v>
      </c>
    </row>
    <row r="29" spans="1:15">
      <c r="A29" s="530"/>
      <c r="B29" s="531"/>
      <c r="C29" s="530"/>
      <c r="D29" s="532"/>
      <c r="E29" s="549"/>
      <c r="F29" s="543"/>
      <c r="G29" s="544"/>
      <c r="H29" s="550"/>
      <c r="I29" s="546">
        <f t="shared" si="7"/>
        <v>0</v>
      </c>
      <c r="J29" s="546"/>
      <c r="K29" s="546">
        <f t="shared" si="2"/>
        <v>0</v>
      </c>
      <c r="L29" s="547"/>
      <c r="M29" s="546">
        <f t="shared" si="8"/>
        <v>0</v>
      </c>
      <c r="N29" s="547"/>
      <c r="O29" s="548">
        <f t="shared" si="9"/>
        <v>0</v>
      </c>
    </row>
    <row r="30" spans="1:15">
      <c r="A30" s="530"/>
      <c r="B30" s="531"/>
      <c r="C30" s="530"/>
      <c r="D30" s="532"/>
      <c r="E30" s="549"/>
      <c r="F30" s="543"/>
      <c r="G30" s="544"/>
      <c r="H30" s="550"/>
      <c r="I30" s="546">
        <f t="shared" si="7"/>
        <v>0</v>
      </c>
      <c r="J30" s="546"/>
      <c r="K30" s="546">
        <f t="shared" si="2"/>
        <v>0</v>
      </c>
      <c r="L30" s="547"/>
      <c r="M30" s="546">
        <f t="shared" si="8"/>
        <v>0</v>
      </c>
      <c r="N30" s="547"/>
      <c r="O30" s="548">
        <f t="shared" si="9"/>
        <v>0</v>
      </c>
    </row>
    <row r="31" spans="1:15">
      <c r="A31" s="530"/>
      <c r="B31" s="531"/>
      <c r="C31" s="551"/>
      <c r="D31" s="532"/>
      <c r="E31" s="549"/>
      <c r="F31" s="543"/>
      <c r="G31" s="544"/>
      <c r="H31" s="550"/>
      <c r="I31" s="546">
        <f t="shared" si="7"/>
        <v>0</v>
      </c>
      <c r="J31" s="546"/>
      <c r="K31" s="546">
        <f t="shared" si="2"/>
        <v>0</v>
      </c>
      <c r="L31" s="547"/>
      <c r="M31" s="546">
        <f t="shared" si="8"/>
        <v>0</v>
      </c>
      <c r="N31" s="547"/>
      <c r="O31" s="548">
        <f t="shared" si="9"/>
        <v>0</v>
      </c>
    </row>
    <row r="32" spans="1:15">
      <c r="A32" s="530"/>
      <c r="B32" s="531"/>
      <c r="C32" s="551"/>
      <c r="D32" s="532"/>
      <c r="E32" s="549"/>
      <c r="F32" s="543"/>
      <c r="G32" s="544"/>
      <c r="H32" s="550"/>
      <c r="I32" s="546">
        <f t="shared" si="7"/>
        <v>0</v>
      </c>
      <c r="J32" s="546"/>
      <c r="K32" s="546">
        <f t="shared" si="2"/>
        <v>0</v>
      </c>
      <c r="L32" s="547"/>
      <c r="M32" s="546">
        <f t="shared" si="8"/>
        <v>0</v>
      </c>
      <c r="N32" s="547"/>
      <c r="O32" s="548">
        <f t="shared" si="9"/>
        <v>0</v>
      </c>
    </row>
    <row r="33" spans="1:15">
      <c r="A33" s="553">
        <f>+A29</f>
        <v>0</v>
      </c>
      <c r="B33" s="554"/>
      <c r="C33" s="555"/>
      <c r="D33" s="556"/>
      <c r="E33" s="542"/>
      <c r="F33" s="543">
        <f>SUM(F5:F32)</f>
        <v>241850</v>
      </c>
      <c r="G33" s="544"/>
      <c r="H33" s="557"/>
      <c r="I33" s="558">
        <f>L33</f>
        <v>0</v>
      </c>
      <c r="J33" s="546"/>
      <c r="K33" s="546">
        <f t="shared" si="2"/>
        <v>0</v>
      </c>
      <c r="L33" s="546"/>
      <c r="M33" s="546">
        <f t="shared" si="8"/>
        <v>0</v>
      </c>
      <c r="N33" s="546"/>
      <c r="O33" s="548">
        <f t="shared" si="9"/>
        <v>0</v>
      </c>
    </row>
    <row r="34" spans="1:15">
      <c r="A34" s="765"/>
      <c r="B34" s="765"/>
      <c r="C34" s="765"/>
      <c r="D34" s="765"/>
      <c r="E34" s="765"/>
      <c r="F34" s="765"/>
      <c r="G34" s="765"/>
      <c r="H34" s="765"/>
      <c r="I34" s="766"/>
      <c r="J34" s="559">
        <f>SUM(J5:J33)</f>
        <v>345500</v>
      </c>
      <c r="K34" s="560">
        <f t="shared" ref="K34:O34" si="10">SUM(K5:K33)</f>
        <v>0</v>
      </c>
      <c r="L34" s="560">
        <f t="shared" si="10"/>
        <v>383800</v>
      </c>
      <c r="M34" s="560">
        <f t="shared" si="10"/>
        <v>0</v>
      </c>
      <c r="N34" s="560">
        <f t="shared" si="10"/>
        <v>491100</v>
      </c>
      <c r="O34" s="561">
        <f t="shared" si="10"/>
        <v>0</v>
      </c>
    </row>
    <row r="35" spans="1:15">
      <c r="A35" s="767"/>
      <c r="B35" s="767"/>
      <c r="C35" s="767"/>
      <c r="D35" s="767"/>
      <c r="E35" s="767"/>
      <c r="F35" s="767"/>
      <c r="G35" s="767"/>
      <c r="H35" s="767"/>
      <c r="I35" s="768"/>
      <c r="J35" s="562" t="s">
        <v>400</v>
      </c>
      <c r="K35" s="438" t="s">
        <v>401</v>
      </c>
      <c r="L35" s="438" t="s">
        <v>402</v>
      </c>
      <c r="M35" s="438" t="s">
        <v>403</v>
      </c>
      <c r="N35" s="438" t="s">
        <v>404</v>
      </c>
      <c r="O35" s="439" t="s">
        <v>405</v>
      </c>
    </row>
  </sheetData>
  <mergeCells count="9">
    <mergeCell ref="F3:F4"/>
    <mergeCell ref="H3:I3"/>
    <mergeCell ref="A34:I35"/>
    <mergeCell ref="A1:A2"/>
    <mergeCell ref="C1:C2"/>
    <mergeCell ref="A3:A4"/>
    <mergeCell ref="C3:C4"/>
    <mergeCell ref="D3:D4"/>
    <mergeCell ref="E3:E4"/>
  </mergeCells>
  <phoneticPr fontId="48"/>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9C678-3DD2-42DF-93F8-87FE2FB1A2CE}">
  <sheetPr>
    <tabColor theme="8" tint="-0.249977111117893"/>
  </sheetPr>
  <dimension ref="A1:P59"/>
  <sheetViews>
    <sheetView workbookViewId="0">
      <selection activeCell="R33" sqref="R33"/>
    </sheetView>
  </sheetViews>
  <sheetFormatPr defaultRowHeight="13.2"/>
  <cols>
    <col min="1" max="1" width="2.77734375" customWidth="1"/>
    <col min="2" max="2" width="20.109375" customWidth="1"/>
    <col min="3" max="3" width="19.6640625" customWidth="1"/>
    <col min="4" max="4" width="4.77734375" customWidth="1"/>
    <col min="5" max="5" width="9.109375" customWidth="1"/>
    <col min="6" max="6" width="4.77734375" customWidth="1"/>
    <col min="7" max="7" width="9.109375" customWidth="1"/>
    <col min="8" max="8" width="4.77734375" customWidth="1"/>
    <col min="9" max="9" width="9.109375" customWidth="1"/>
    <col min="10" max="10" width="4.77734375" customWidth="1"/>
    <col min="11" max="11" width="9.109375" customWidth="1"/>
    <col min="12" max="12" width="4.77734375" customWidth="1"/>
    <col min="13" max="13" width="9.109375" customWidth="1"/>
    <col min="14" max="14" width="3.6640625" customWidth="1"/>
    <col min="15" max="16" width="9.109375" customWidth="1"/>
  </cols>
  <sheetData>
    <row r="1" spans="1:14" ht="19.2">
      <c r="A1" s="790" t="s">
        <v>769</v>
      </c>
      <c r="B1" s="790"/>
      <c r="C1" s="790"/>
      <c r="D1" s="790"/>
      <c r="E1" s="790"/>
      <c r="F1" s="790"/>
      <c r="G1" s="790"/>
      <c r="H1" s="790"/>
      <c r="I1" s="790"/>
      <c r="J1" s="790"/>
      <c r="K1" s="790"/>
      <c r="L1" s="790"/>
      <c r="M1" s="790"/>
    </row>
    <row r="2" spans="1:14">
      <c r="A2" s="791" t="s">
        <v>770</v>
      </c>
      <c r="B2" s="792" t="s">
        <v>771</v>
      </c>
      <c r="C2" s="791" t="s">
        <v>772</v>
      </c>
      <c r="D2" s="791" t="s">
        <v>773</v>
      </c>
      <c r="E2" s="794" t="s">
        <v>774</v>
      </c>
      <c r="F2" s="794"/>
      <c r="G2" s="794" t="s">
        <v>775</v>
      </c>
      <c r="H2" s="794"/>
      <c r="I2" s="794" t="s">
        <v>776</v>
      </c>
      <c r="J2" s="794"/>
      <c r="K2" s="794" t="s">
        <v>777</v>
      </c>
      <c r="L2" s="794"/>
      <c r="M2" s="794" t="s">
        <v>778</v>
      </c>
    </row>
    <row r="3" spans="1:14">
      <c r="A3" s="791"/>
      <c r="B3" s="793"/>
      <c r="C3" s="791"/>
      <c r="D3" s="791"/>
      <c r="E3" s="651" t="s">
        <v>779</v>
      </c>
      <c r="F3" s="652" t="s">
        <v>780</v>
      </c>
      <c r="G3" s="652" t="s">
        <v>779</v>
      </c>
      <c r="H3" s="652" t="s">
        <v>781</v>
      </c>
      <c r="I3" s="650" t="s">
        <v>779</v>
      </c>
      <c r="J3" s="653" t="s">
        <v>781</v>
      </c>
      <c r="K3" s="650" t="s">
        <v>779</v>
      </c>
      <c r="L3" s="654" t="s">
        <v>781</v>
      </c>
      <c r="M3" s="794"/>
    </row>
    <row r="4" spans="1:14">
      <c r="A4" s="654"/>
      <c r="B4" s="654" t="s">
        <v>600</v>
      </c>
      <c r="C4" s="654" t="s">
        <v>782</v>
      </c>
      <c r="D4" s="655" t="s">
        <v>783</v>
      </c>
      <c r="E4" s="656"/>
      <c r="F4" s="654"/>
      <c r="G4" s="656"/>
      <c r="H4" s="654"/>
      <c r="I4" s="656">
        <v>230</v>
      </c>
      <c r="J4" s="649">
        <v>112</v>
      </c>
      <c r="K4" s="656">
        <v>240</v>
      </c>
      <c r="L4" s="649">
        <v>111</v>
      </c>
      <c r="M4" s="657">
        <f>MIN(E4,G4,I4,K4)</f>
        <v>230</v>
      </c>
      <c r="N4" s="658"/>
    </row>
    <row r="5" spans="1:14">
      <c r="A5" s="654"/>
      <c r="B5" s="654" t="s">
        <v>784</v>
      </c>
      <c r="C5" s="654" t="s">
        <v>785</v>
      </c>
      <c r="D5" s="655" t="s">
        <v>783</v>
      </c>
      <c r="E5" s="656"/>
      <c r="F5" s="654"/>
      <c r="G5" s="656"/>
      <c r="H5" s="654"/>
      <c r="I5" s="656">
        <v>450</v>
      </c>
      <c r="J5" s="649">
        <v>112</v>
      </c>
      <c r="K5" s="659">
        <f>190+270</f>
        <v>460</v>
      </c>
      <c r="L5" s="649">
        <v>111</v>
      </c>
      <c r="M5" s="657">
        <f t="shared" ref="M5:M58" si="0">MIN(E5,G5,I5,K5)</f>
        <v>450</v>
      </c>
    </row>
    <row r="6" spans="1:14">
      <c r="A6" s="654"/>
      <c r="B6" s="654" t="s">
        <v>786</v>
      </c>
      <c r="C6" s="654" t="s">
        <v>782</v>
      </c>
      <c r="D6" s="655" t="s">
        <v>783</v>
      </c>
      <c r="E6" s="656"/>
      <c r="F6" s="654"/>
      <c r="G6" s="656"/>
      <c r="H6" s="654"/>
      <c r="I6" s="656">
        <v>150</v>
      </c>
      <c r="J6" s="649">
        <v>112</v>
      </c>
      <c r="K6" s="659"/>
      <c r="L6" s="649"/>
      <c r="M6" s="657">
        <f t="shared" si="0"/>
        <v>150</v>
      </c>
    </row>
    <row r="7" spans="1:14">
      <c r="A7" s="654"/>
      <c r="B7" s="654" t="s">
        <v>787</v>
      </c>
      <c r="C7" s="654" t="s">
        <v>785</v>
      </c>
      <c r="D7" s="655" t="s">
        <v>783</v>
      </c>
      <c r="E7" s="656"/>
      <c r="F7" s="654"/>
      <c r="G7" s="656"/>
      <c r="H7" s="654"/>
      <c r="I7" s="656">
        <v>380</v>
      </c>
      <c r="J7" s="649">
        <v>114</v>
      </c>
      <c r="K7" s="659">
        <f>110+200</f>
        <v>310</v>
      </c>
      <c r="L7" s="649">
        <v>113</v>
      </c>
      <c r="M7" s="657">
        <f t="shared" si="0"/>
        <v>310</v>
      </c>
    </row>
    <row r="8" spans="1:14">
      <c r="A8" s="654"/>
      <c r="B8" s="654" t="s">
        <v>788</v>
      </c>
      <c r="C8" s="654" t="s">
        <v>782</v>
      </c>
      <c r="D8" s="655" t="s">
        <v>628</v>
      </c>
      <c r="E8" s="656"/>
      <c r="F8" s="654"/>
      <c r="G8" s="656"/>
      <c r="H8" s="654"/>
      <c r="I8" s="656">
        <v>210</v>
      </c>
      <c r="J8" s="649">
        <v>114</v>
      </c>
      <c r="K8" s="659">
        <v>200</v>
      </c>
      <c r="L8" s="649">
        <v>113</v>
      </c>
      <c r="M8" s="657">
        <f t="shared" si="0"/>
        <v>200</v>
      </c>
    </row>
    <row r="9" spans="1:14">
      <c r="A9" s="654"/>
      <c r="B9" s="654" t="s">
        <v>789</v>
      </c>
      <c r="C9" s="654" t="s">
        <v>782</v>
      </c>
      <c r="D9" s="655" t="s">
        <v>783</v>
      </c>
      <c r="E9" s="656"/>
      <c r="F9" s="654"/>
      <c r="G9" s="656"/>
      <c r="H9" s="654"/>
      <c r="I9" s="656">
        <v>780</v>
      </c>
      <c r="J9" s="649">
        <v>114</v>
      </c>
      <c r="K9" s="656">
        <v>1110</v>
      </c>
      <c r="L9" s="649">
        <v>113</v>
      </c>
      <c r="M9" s="657">
        <f t="shared" si="0"/>
        <v>780</v>
      </c>
    </row>
    <row r="10" spans="1:14">
      <c r="A10" s="654"/>
      <c r="B10" s="654" t="s">
        <v>790</v>
      </c>
      <c r="C10" s="654" t="s">
        <v>782</v>
      </c>
      <c r="D10" s="655" t="s">
        <v>783</v>
      </c>
      <c r="E10" s="656"/>
      <c r="F10" s="654"/>
      <c r="G10" s="656"/>
      <c r="H10" s="654"/>
      <c r="I10" s="656">
        <v>770</v>
      </c>
      <c r="J10" s="649">
        <v>114</v>
      </c>
      <c r="K10" s="656">
        <v>440</v>
      </c>
      <c r="L10" s="649">
        <v>113</v>
      </c>
      <c r="M10" s="657">
        <f t="shared" si="0"/>
        <v>440</v>
      </c>
    </row>
    <row r="11" spans="1:14">
      <c r="A11" s="654"/>
      <c r="B11" s="654" t="s">
        <v>791</v>
      </c>
      <c r="C11" s="654" t="s">
        <v>792</v>
      </c>
      <c r="D11" s="655" t="s">
        <v>783</v>
      </c>
      <c r="E11" s="656"/>
      <c r="F11" s="654"/>
      <c r="G11" s="656"/>
      <c r="H11" s="654"/>
      <c r="I11" s="656">
        <v>1850</v>
      </c>
      <c r="J11" s="649">
        <v>116</v>
      </c>
      <c r="K11" s="656">
        <v>1780</v>
      </c>
      <c r="L11" s="649">
        <v>119</v>
      </c>
      <c r="M11" s="657">
        <f t="shared" si="0"/>
        <v>1780</v>
      </c>
    </row>
    <row r="12" spans="1:14">
      <c r="A12" s="654"/>
      <c r="B12" s="654" t="s">
        <v>793</v>
      </c>
      <c r="C12" s="654"/>
      <c r="D12" s="655" t="s">
        <v>783</v>
      </c>
      <c r="E12" s="656"/>
      <c r="F12" s="654"/>
      <c r="G12" s="656"/>
      <c r="H12" s="654"/>
      <c r="I12" s="656">
        <v>540</v>
      </c>
      <c r="J12" s="649">
        <v>126</v>
      </c>
      <c r="K12" s="656">
        <v>600</v>
      </c>
      <c r="L12" s="649">
        <v>123</v>
      </c>
      <c r="M12" s="657">
        <f t="shared" si="0"/>
        <v>540</v>
      </c>
    </row>
    <row r="13" spans="1:14">
      <c r="A13" s="654"/>
      <c r="B13" s="654" t="s">
        <v>794</v>
      </c>
      <c r="C13" s="654" t="s">
        <v>795</v>
      </c>
      <c r="D13" s="655" t="s">
        <v>783</v>
      </c>
      <c r="E13" s="656"/>
      <c r="F13" s="654"/>
      <c r="G13" s="656"/>
      <c r="H13" s="654"/>
      <c r="I13" s="656">
        <v>510</v>
      </c>
      <c r="J13" s="649">
        <v>126</v>
      </c>
      <c r="K13" s="656">
        <v>460</v>
      </c>
      <c r="L13" s="649">
        <v>121</v>
      </c>
      <c r="M13" s="657">
        <f t="shared" si="0"/>
        <v>460</v>
      </c>
    </row>
    <row r="14" spans="1:14">
      <c r="A14" s="654"/>
      <c r="B14" s="654" t="s">
        <v>796</v>
      </c>
      <c r="C14" s="654"/>
      <c r="D14" s="655" t="s">
        <v>797</v>
      </c>
      <c r="E14" s="656"/>
      <c r="F14" s="654"/>
      <c r="G14" s="656"/>
      <c r="H14" s="654"/>
      <c r="I14" s="656">
        <v>8070</v>
      </c>
      <c r="J14" s="649">
        <v>106</v>
      </c>
      <c r="K14" s="656">
        <v>8000</v>
      </c>
      <c r="L14" s="649">
        <v>107</v>
      </c>
      <c r="M14" s="657">
        <f t="shared" si="0"/>
        <v>8000</v>
      </c>
    </row>
    <row r="15" spans="1:14">
      <c r="A15" s="654"/>
      <c r="B15" s="654" t="s">
        <v>798</v>
      </c>
      <c r="C15" s="654"/>
      <c r="D15" s="655" t="s">
        <v>799</v>
      </c>
      <c r="E15" s="656"/>
      <c r="F15" s="654"/>
      <c r="G15" s="656"/>
      <c r="H15" s="654"/>
      <c r="I15" s="656">
        <v>53100</v>
      </c>
      <c r="J15" s="649">
        <v>106</v>
      </c>
      <c r="K15" s="656"/>
      <c r="L15" s="649"/>
      <c r="M15" s="657">
        <f t="shared" si="0"/>
        <v>53100</v>
      </c>
    </row>
    <row r="16" spans="1:14">
      <c r="A16" s="654"/>
      <c r="B16" s="654" t="s">
        <v>800</v>
      </c>
      <c r="C16" s="654" t="s">
        <v>801</v>
      </c>
      <c r="D16" s="655" t="s">
        <v>622</v>
      </c>
      <c r="E16" s="656"/>
      <c r="F16" s="654"/>
      <c r="G16" s="656"/>
      <c r="H16" s="654"/>
      <c r="I16" s="656">
        <v>590</v>
      </c>
      <c r="J16" s="649" t="s">
        <v>802</v>
      </c>
      <c r="K16" s="656">
        <v>640</v>
      </c>
      <c r="L16" s="649" t="s">
        <v>803</v>
      </c>
      <c r="M16" s="657">
        <f t="shared" si="0"/>
        <v>590</v>
      </c>
    </row>
    <row r="17" spans="1:13">
      <c r="A17" s="654"/>
      <c r="B17" s="654" t="s">
        <v>804</v>
      </c>
      <c r="C17" s="654" t="s">
        <v>805</v>
      </c>
      <c r="D17" s="655" t="s">
        <v>622</v>
      </c>
      <c r="E17" s="656"/>
      <c r="F17" s="654"/>
      <c r="G17" s="656"/>
      <c r="H17" s="654"/>
      <c r="I17" s="656">
        <v>1010</v>
      </c>
      <c r="J17" s="649" t="s">
        <v>802</v>
      </c>
      <c r="K17" s="656">
        <v>1090</v>
      </c>
      <c r="L17" s="649" t="s">
        <v>803</v>
      </c>
      <c r="M17" s="657">
        <f t="shared" si="0"/>
        <v>1010</v>
      </c>
    </row>
    <row r="18" spans="1:13">
      <c r="A18" s="654"/>
      <c r="B18" s="654" t="s">
        <v>804</v>
      </c>
      <c r="C18" s="654" t="s">
        <v>806</v>
      </c>
      <c r="D18" s="655" t="s">
        <v>622</v>
      </c>
      <c r="E18" s="656"/>
      <c r="F18" s="654"/>
      <c r="G18" s="656"/>
      <c r="H18" s="654"/>
      <c r="I18" s="659">
        <v>3760</v>
      </c>
      <c r="J18" s="649">
        <v>130</v>
      </c>
      <c r="K18" s="656">
        <v>3930</v>
      </c>
      <c r="L18" s="649">
        <v>155</v>
      </c>
      <c r="M18" s="657">
        <f t="shared" si="0"/>
        <v>3760</v>
      </c>
    </row>
    <row r="19" spans="1:13">
      <c r="A19" s="654"/>
      <c r="B19" s="654" t="s">
        <v>807</v>
      </c>
      <c r="C19" s="654" t="s">
        <v>808</v>
      </c>
      <c r="D19" s="655" t="s">
        <v>622</v>
      </c>
      <c r="E19" s="656"/>
      <c r="F19" s="654"/>
      <c r="G19" s="656"/>
      <c r="H19" s="654"/>
      <c r="I19" s="659">
        <v>7290</v>
      </c>
      <c r="J19" s="649">
        <v>160</v>
      </c>
      <c r="K19" s="656">
        <v>7480</v>
      </c>
      <c r="L19" s="649">
        <v>185</v>
      </c>
      <c r="M19" s="657">
        <f t="shared" si="0"/>
        <v>7290</v>
      </c>
    </row>
    <row r="20" spans="1:13">
      <c r="A20" s="654"/>
      <c r="B20" s="654" t="s">
        <v>809</v>
      </c>
      <c r="C20" s="654" t="s">
        <v>651</v>
      </c>
      <c r="D20" s="655" t="s">
        <v>810</v>
      </c>
      <c r="E20" s="656"/>
      <c r="F20" s="654"/>
      <c r="G20" s="656"/>
      <c r="H20" s="654"/>
      <c r="I20" s="659">
        <v>82000</v>
      </c>
      <c r="J20" s="649" t="s">
        <v>802</v>
      </c>
      <c r="K20" s="656">
        <v>88500</v>
      </c>
      <c r="L20" s="649" t="s">
        <v>803</v>
      </c>
      <c r="M20" s="657">
        <f t="shared" si="0"/>
        <v>82000</v>
      </c>
    </row>
    <row r="21" spans="1:13">
      <c r="A21" s="654"/>
      <c r="B21" s="654" t="s">
        <v>811</v>
      </c>
      <c r="C21" s="654" t="s">
        <v>812</v>
      </c>
      <c r="D21" s="655" t="s">
        <v>813</v>
      </c>
      <c r="E21" s="656">
        <v>22000</v>
      </c>
      <c r="F21" s="654">
        <v>96</v>
      </c>
      <c r="G21" s="656">
        <v>22000</v>
      </c>
      <c r="H21" s="654">
        <v>108</v>
      </c>
      <c r="I21" s="659"/>
      <c r="J21" s="649"/>
      <c r="K21" s="656"/>
      <c r="L21" s="649"/>
      <c r="M21" s="657">
        <f t="shared" si="0"/>
        <v>22000</v>
      </c>
    </row>
    <row r="22" spans="1:13">
      <c r="A22" s="654"/>
      <c r="B22" s="654" t="s">
        <v>814</v>
      </c>
      <c r="C22" s="654" t="s">
        <v>815</v>
      </c>
      <c r="D22" s="655" t="s">
        <v>813</v>
      </c>
      <c r="E22" s="656"/>
      <c r="F22" s="654"/>
      <c r="G22" s="656"/>
      <c r="H22" s="654"/>
      <c r="I22" s="659">
        <v>2310</v>
      </c>
      <c r="J22" s="649" t="s">
        <v>816</v>
      </c>
      <c r="K22" s="656">
        <v>2210</v>
      </c>
      <c r="L22" s="649" t="s">
        <v>817</v>
      </c>
      <c r="M22" s="657">
        <f t="shared" si="0"/>
        <v>2210</v>
      </c>
    </row>
    <row r="23" spans="1:13">
      <c r="A23" s="654"/>
      <c r="B23" s="654" t="s">
        <v>818</v>
      </c>
      <c r="C23" s="660" t="s">
        <v>819</v>
      </c>
      <c r="D23" s="655" t="s">
        <v>813</v>
      </c>
      <c r="E23" s="656">
        <v>23200</v>
      </c>
      <c r="F23" s="654">
        <v>96</v>
      </c>
      <c r="G23" s="656">
        <v>23200</v>
      </c>
      <c r="H23" s="654">
        <v>108</v>
      </c>
      <c r="I23" s="659"/>
      <c r="J23" s="649"/>
      <c r="K23" s="656"/>
      <c r="L23" s="649"/>
      <c r="M23" s="657">
        <f t="shared" si="0"/>
        <v>23200</v>
      </c>
    </row>
    <row r="24" spans="1:13">
      <c r="A24" s="654"/>
      <c r="B24" s="654" t="s">
        <v>814</v>
      </c>
      <c r="C24" s="660" t="s">
        <v>815</v>
      </c>
      <c r="D24" s="655" t="s">
        <v>813</v>
      </c>
      <c r="E24" s="656"/>
      <c r="F24" s="654"/>
      <c r="G24" s="656"/>
      <c r="H24" s="654"/>
      <c r="I24" s="659">
        <v>980</v>
      </c>
      <c r="J24" s="649" t="s">
        <v>816</v>
      </c>
      <c r="K24" s="656">
        <v>1100</v>
      </c>
      <c r="L24" s="649" t="s">
        <v>817</v>
      </c>
      <c r="M24" s="657">
        <f t="shared" si="0"/>
        <v>980</v>
      </c>
    </row>
    <row r="25" spans="1:13">
      <c r="A25" s="654"/>
      <c r="B25" s="654" t="s">
        <v>820</v>
      </c>
      <c r="C25" s="660" t="s">
        <v>821</v>
      </c>
      <c r="D25" s="655" t="s">
        <v>622</v>
      </c>
      <c r="E25" s="656">
        <v>23200</v>
      </c>
      <c r="F25" s="654">
        <v>96</v>
      </c>
      <c r="G25" s="656">
        <v>23200</v>
      </c>
      <c r="H25" s="654">
        <v>108</v>
      </c>
      <c r="I25" s="659"/>
      <c r="J25" s="649"/>
      <c r="K25" s="656"/>
      <c r="L25" s="649"/>
      <c r="M25" s="657">
        <f t="shared" si="0"/>
        <v>23200</v>
      </c>
    </row>
    <row r="26" spans="1:13">
      <c r="A26" s="654"/>
      <c r="B26" s="654" t="s">
        <v>814</v>
      </c>
      <c r="C26" s="660" t="s">
        <v>815</v>
      </c>
      <c r="D26" s="655" t="s">
        <v>622</v>
      </c>
      <c r="E26" s="656"/>
      <c r="F26" s="654"/>
      <c r="G26" s="656"/>
      <c r="H26" s="654"/>
      <c r="I26" s="659">
        <v>850</v>
      </c>
      <c r="J26" s="649" t="s">
        <v>816</v>
      </c>
      <c r="K26" s="656">
        <v>880</v>
      </c>
      <c r="L26" s="649" t="s">
        <v>817</v>
      </c>
      <c r="M26" s="657">
        <f t="shared" si="0"/>
        <v>850</v>
      </c>
    </row>
    <row r="27" spans="1:13">
      <c r="A27" s="654"/>
      <c r="B27" s="654" t="s">
        <v>822</v>
      </c>
      <c r="C27" s="660"/>
      <c r="D27" s="655" t="s">
        <v>823</v>
      </c>
      <c r="E27" s="656"/>
      <c r="F27" s="654"/>
      <c r="G27" s="656"/>
      <c r="H27" s="654"/>
      <c r="I27" s="659">
        <v>120000</v>
      </c>
      <c r="J27" s="649" t="s">
        <v>817</v>
      </c>
      <c r="K27" s="656">
        <v>115000</v>
      </c>
      <c r="L27" s="649" t="s">
        <v>824</v>
      </c>
      <c r="M27" s="657">
        <f t="shared" si="0"/>
        <v>115000</v>
      </c>
    </row>
    <row r="28" spans="1:13">
      <c r="A28" s="654"/>
      <c r="B28" s="654" t="s">
        <v>825</v>
      </c>
      <c r="C28" s="654" t="s">
        <v>826</v>
      </c>
      <c r="D28" s="655" t="s">
        <v>827</v>
      </c>
      <c r="E28" s="656">
        <v>119000</v>
      </c>
      <c r="F28" s="654">
        <v>18</v>
      </c>
      <c r="G28" s="656">
        <v>116500</v>
      </c>
      <c r="H28" s="654">
        <v>21</v>
      </c>
      <c r="I28" s="659"/>
      <c r="J28" s="649"/>
      <c r="K28" s="656"/>
      <c r="L28" s="649"/>
      <c r="M28" s="657">
        <f t="shared" si="0"/>
        <v>116500</v>
      </c>
    </row>
    <row r="29" spans="1:13">
      <c r="A29" s="654"/>
      <c r="B29" s="654" t="s">
        <v>828</v>
      </c>
      <c r="C29" s="654" t="s">
        <v>829</v>
      </c>
      <c r="D29" s="655" t="s">
        <v>827</v>
      </c>
      <c r="E29" s="656"/>
      <c r="F29" s="654"/>
      <c r="G29" s="656"/>
      <c r="H29" s="654"/>
      <c r="I29" s="659">
        <v>14800</v>
      </c>
      <c r="J29" s="649" t="s">
        <v>830</v>
      </c>
      <c r="K29" s="656">
        <v>13900</v>
      </c>
      <c r="L29" s="654" t="s">
        <v>831</v>
      </c>
      <c r="M29" s="657">
        <f t="shared" si="0"/>
        <v>13900</v>
      </c>
    </row>
    <row r="30" spans="1:13">
      <c r="A30" s="654"/>
      <c r="B30" s="654" t="s">
        <v>832</v>
      </c>
      <c r="C30" s="654" t="s">
        <v>833</v>
      </c>
      <c r="D30" s="655" t="s">
        <v>827</v>
      </c>
      <c r="E30" s="656"/>
      <c r="F30" s="654"/>
      <c r="G30" s="656"/>
      <c r="H30" s="654"/>
      <c r="I30" s="659">
        <v>5000</v>
      </c>
      <c r="J30" s="649" t="s">
        <v>830</v>
      </c>
      <c r="K30" s="659">
        <v>5000</v>
      </c>
      <c r="L30" s="654" t="s">
        <v>831</v>
      </c>
      <c r="M30" s="657">
        <f t="shared" si="0"/>
        <v>5000</v>
      </c>
    </row>
    <row r="31" spans="1:13">
      <c r="A31" s="654"/>
      <c r="B31" s="654" t="s">
        <v>834</v>
      </c>
      <c r="C31" s="654" t="s">
        <v>835</v>
      </c>
      <c r="D31" s="655" t="s">
        <v>813</v>
      </c>
      <c r="E31" s="656"/>
      <c r="F31" s="654"/>
      <c r="G31" s="656"/>
      <c r="H31" s="654"/>
      <c r="I31" s="659">
        <v>8230</v>
      </c>
      <c r="J31" s="654" t="s">
        <v>836</v>
      </c>
      <c r="K31" s="656">
        <v>8820</v>
      </c>
      <c r="L31" s="654" t="s">
        <v>837</v>
      </c>
      <c r="M31" s="657">
        <f t="shared" si="0"/>
        <v>8230</v>
      </c>
    </row>
    <row r="32" spans="1:13">
      <c r="A32" s="654"/>
      <c r="B32" s="654" t="s">
        <v>838</v>
      </c>
      <c r="C32" s="654" t="s">
        <v>839</v>
      </c>
      <c r="D32" s="655" t="s">
        <v>813</v>
      </c>
      <c r="E32" s="656"/>
      <c r="F32" s="654"/>
      <c r="G32" s="656"/>
      <c r="H32" s="654"/>
      <c r="I32" s="659">
        <v>9380</v>
      </c>
      <c r="J32" s="654" t="s">
        <v>836</v>
      </c>
      <c r="K32" s="656">
        <v>9420</v>
      </c>
      <c r="L32" s="654" t="s">
        <v>837</v>
      </c>
      <c r="M32" s="657">
        <f t="shared" si="0"/>
        <v>9380</v>
      </c>
    </row>
    <row r="33" spans="1:16">
      <c r="A33" s="654"/>
      <c r="B33" s="654" t="s">
        <v>840</v>
      </c>
      <c r="C33" s="654" t="s">
        <v>841</v>
      </c>
      <c r="D33" s="655" t="s">
        <v>813</v>
      </c>
      <c r="E33" s="656"/>
      <c r="F33" s="653"/>
      <c r="G33" s="656"/>
      <c r="H33" s="653"/>
      <c r="I33" s="659">
        <v>330</v>
      </c>
      <c r="J33" s="654" t="s">
        <v>836</v>
      </c>
      <c r="K33" s="656">
        <v>320</v>
      </c>
      <c r="L33" s="654" t="s">
        <v>837</v>
      </c>
      <c r="M33" s="657">
        <f t="shared" si="0"/>
        <v>320</v>
      </c>
    </row>
    <row r="34" spans="1:16">
      <c r="A34" s="654"/>
      <c r="B34" s="654" t="s">
        <v>842</v>
      </c>
      <c r="C34" s="654" t="s">
        <v>843</v>
      </c>
      <c r="D34" s="655" t="s">
        <v>844</v>
      </c>
      <c r="E34" s="656"/>
      <c r="F34" s="653"/>
      <c r="G34" s="656"/>
      <c r="H34" s="653"/>
      <c r="I34" s="659">
        <v>760</v>
      </c>
      <c r="J34" s="654">
        <v>293</v>
      </c>
      <c r="K34" s="656">
        <v>770</v>
      </c>
      <c r="L34" s="654">
        <v>327</v>
      </c>
      <c r="M34" s="657">
        <f t="shared" si="0"/>
        <v>760</v>
      </c>
    </row>
    <row r="35" spans="1:16">
      <c r="A35" s="654"/>
      <c r="B35" s="654" t="s">
        <v>845</v>
      </c>
      <c r="C35" s="654" t="s">
        <v>846</v>
      </c>
      <c r="D35" s="655" t="s">
        <v>847</v>
      </c>
      <c r="E35" s="656"/>
      <c r="F35" s="654"/>
      <c r="G35" s="656"/>
      <c r="H35" s="654"/>
      <c r="I35" s="659">
        <v>340</v>
      </c>
      <c r="J35" s="654">
        <v>293</v>
      </c>
      <c r="K35" s="656">
        <v>410</v>
      </c>
      <c r="L35" s="654">
        <v>327</v>
      </c>
      <c r="M35" s="657">
        <f t="shared" si="0"/>
        <v>340</v>
      </c>
    </row>
    <row r="36" spans="1:16">
      <c r="A36" s="654"/>
      <c r="B36" s="654" t="s">
        <v>848</v>
      </c>
      <c r="C36" s="653" t="s">
        <v>849</v>
      </c>
      <c r="D36" s="655" t="s">
        <v>850</v>
      </c>
      <c r="E36" s="656"/>
      <c r="F36" s="654"/>
      <c r="G36" s="656"/>
      <c r="H36" s="654"/>
      <c r="I36" s="659">
        <v>12600</v>
      </c>
      <c r="J36" s="654">
        <v>401</v>
      </c>
      <c r="K36" s="656"/>
      <c r="L36" s="654"/>
      <c r="M36" s="657">
        <f t="shared" si="0"/>
        <v>12600</v>
      </c>
    </row>
    <row r="37" spans="1:16">
      <c r="A37" s="654"/>
      <c r="B37" s="654" t="s">
        <v>851</v>
      </c>
      <c r="C37" s="654" t="s">
        <v>852</v>
      </c>
      <c r="D37" s="655" t="s">
        <v>850</v>
      </c>
      <c r="E37" s="656">
        <v>2710</v>
      </c>
      <c r="F37" s="654">
        <v>253</v>
      </c>
      <c r="G37" s="656">
        <v>2910</v>
      </c>
      <c r="H37" s="654">
        <v>363</v>
      </c>
      <c r="I37" s="659"/>
      <c r="J37" s="654"/>
      <c r="K37" s="656"/>
      <c r="L37" s="654"/>
      <c r="M37" s="657">
        <f t="shared" si="0"/>
        <v>2710</v>
      </c>
    </row>
    <row r="38" spans="1:16">
      <c r="A38" s="654"/>
      <c r="B38" s="654" t="s">
        <v>853</v>
      </c>
      <c r="C38" s="654" t="s">
        <v>854</v>
      </c>
      <c r="D38" s="655" t="s">
        <v>855</v>
      </c>
      <c r="E38" s="656">
        <v>17500</v>
      </c>
      <c r="F38" s="654">
        <v>274</v>
      </c>
      <c r="G38" s="656">
        <v>17500</v>
      </c>
      <c r="H38" s="654">
        <v>391</v>
      </c>
      <c r="I38" s="659"/>
      <c r="J38" s="654"/>
      <c r="K38" s="656"/>
      <c r="L38" s="654"/>
      <c r="M38" s="657">
        <f t="shared" si="0"/>
        <v>17500</v>
      </c>
    </row>
    <row r="39" spans="1:16">
      <c r="A39" s="654"/>
      <c r="B39" s="654" t="s">
        <v>856</v>
      </c>
      <c r="C39" s="654" t="s">
        <v>857</v>
      </c>
      <c r="D39" s="655" t="s">
        <v>797</v>
      </c>
      <c r="E39" s="656"/>
      <c r="F39" s="654"/>
      <c r="G39" s="656"/>
      <c r="H39" s="654"/>
      <c r="I39" s="659">
        <v>26310</v>
      </c>
      <c r="J39" s="654">
        <v>392</v>
      </c>
      <c r="K39" s="656">
        <v>26310</v>
      </c>
      <c r="L39" s="654">
        <v>448</v>
      </c>
      <c r="M39" s="657">
        <f t="shared" si="0"/>
        <v>26310</v>
      </c>
      <c r="P39" s="661"/>
    </row>
    <row r="40" spans="1:16">
      <c r="A40" s="654"/>
      <c r="B40" s="654" t="s">
        <v>858</v>
      </c>
      <c r="C40" s="654" t="s">
        <v>859</v>
      </c>
      <c r="D40" s="655" t="s">
        <v>847</v>
      </c>
      <c r="E40" s="656"/>
      <c r="F40" s="654"/>
      <c r="G40" s="656"/>
      <c r="H40" s="654"/>
      <c r="I40" s="659">
        <v>2150</v>
      </c>
      <c r="J40" s="654" t="s">
        <v>860</v>
      </c>
      <c r="K40" s="656">
        <v>1790</v>
      </c>
      <c r="L40" s="654" t="s">
        <v>861</v>
      </c>
      <c r="M40" s="657">
        <f t="shared" si="0"/>
        <v>1790</v>
      </c>
    </row>
    <row r="41" spans="1:16">
      <c r="A41" s="654"/>
      <c r="B41" s="654" t="s">
        <v>858</v>
      </c>
      <c r="C41" s="654" t="s">
        <v>862</v>
      </c>
      <c r="D41" s="655" t="s">
        <v>797</v>
      </c>
      <c r="E41" s="656"/>
      <c r="F41" s="654"/>
      <c r="G41" s="656"/>
      <c r="H41" s="654"/>
      <c r="I41" s="659">
        <v>2990</v>
      </c>
      <c r="J41" s="654" t="s">
        <v>860</v>
      </c>
      <c r="K41" s="656">
        <v>2340</v>
      </c>
      <c r="L41" s="654" t="s">
        <v>861</v>
      </c>
      <c r="M41" s="657">
        <f t="shared" si="0"/>
        <v>2340</v>
      </c>
    </row>
    <row r="42" spans="1:16">
      <c r="A42" s="654"/>
      <c r="B42" s="654" t="s">
        <v>863</v>
      </c>
      <c r="C42" s="654" t="s">
        <v>864</v>
      </c>
      <c r="D42" s="655" t="s">
        <v>799</v>
      </c>
      <c r="E42" s="656"/>
      <c r="F42" s="654"/>
      <c r="G42" s="656"/>
      <c r="H42" s="654"/>
      <c r="I42" s="659">
        <v>2370</v>
      </c>
      <c r="J42" s="654" t="s">
        <v>860</v>
      </c>
      <c r="K42" s="656">
        <v>2220</v>
      </c>
      <c r="L42" s="654" t="s">
        <v>861</v>
      </c>
      <c r="M42" s="657">
        <f t="shared" si="0"/>
        <v>2220</v>
      </c>
    </row>
    <row r="43" spans="1:16">
      <c r="A43" s="654"/>
      <c r="B43" s="654" t="s">
        <v>865</v>
      </c>
      <c r="C43" s="654"/>
      <c r="D43" s="655" t="s">
        <v>847</v>
      </c>
      <c r="E43" s="656"/>
      <c r="F43" s="654"/>
      <c r="G43" s="656"/>
      <c r="H43" s="654"/>
      <c r="I43" s="659">
        <v>3550</v>
      </c>
      <c r="J43" s="654">
        <v>370</v>
      </c>
      <c r="K43" s="656">
        <v>3520</v>
      </c>
      <c r="L43" s="654">
        <v>425</v>
      </c>
      <c r="M43" s="657">
        <f t="shared" si="0"/>
        <v>3520</v>
      </c>
    </row>
    <row r="44" spans="1:16">
      <c r="A44" s="654"/>
      <c r="B44" s="654" t="s">
        <v>866</v>
      </c>
      <c r="C44" s="654" t="s">
        <v>867</v>
      </c>
      <c r="D44" s="655" t="s">
        <v>797</v>
      </c>
      <c r="E44" s="656"/>
      <c r="F44" s="654"/>
      <c r="G44" s="656"/>
      <c r="H44" s="654"/>
      <c r="I44" s="659">
        <v>500</v>
      </c>
      <c r="J44" s="654">
        <v>372</v>
      </c>
      <c r="K44" s="656">
        <v>500</v>
      </c>
      <c r="L44" s="654">
        <v>425</v>
      </c>
      <c r="M44" s="657">
        <f t="shared" si="0"/>
        <v>500</v>
      </c>
    </row>
    <row r="45" spans="1:16">
      <c r="A45" s="654"/>
      <c r="B45" s="654" t="s">
        <v>866</v>
      </c>
      <c r="C45" s="654" t="s">
        <v>868</v>
      </c>
      <c r="D45" s="655" t="s">
        <v>797</v>
      </c>
      <c r="E45" s="656"/>
      <c r="F45" s="654"/>
      <c r="G45" s="656"/>
      <c r="H45" s="654"/>
      <c r="I45" s="659">
        <v>900</v>
      </c>
      <c r="J45" s="654">
        <v>372</v>
      </c>
      <c r="K45" s="656"/>
      <c r="L45" s="654"/>
      <c r="M45" s="657">
        <f t="shared" si="0"/>
        <v>900</v>
      </c>
    </row>
    <row r="46" spans="1:16">
      <c r="A46" s="654"/>
      <c r="B46" s="654" t="s">
        <v>869</v>
      </c>
      <c r="C46" s="654" t="s">
        <v>870</v>
      </c>
      <c r="D46" s="655" t="s">
        <v>799</v>
      </c>
      <c r="E46" s="656"/>
      <c r="F46" s="654"/>
      <c r="G46" s="656"/>
      <c r="H46" s="654"/>
      <c r="I46" s="659">
        <v>9990</v>
      </c>
      <c r="J46" s="654">
        <v>284</v>
      </c>
      <c r="K46" s="656">
        <v>7830</v>
      </c>
      <c r="L46" s="654">
        <v>319</v>
      </c>
      <c r="M46" s="657">
        <f t="shared" si="0"/>
        <v>7830</v>
      </c>
    </row>
    <row r="47" spans="1:16">
      <c r="A47" s="654"/>
      <c r="B47" s="654" t="s">
        <v>871</v>
      </c>
      <c r="C47" s="654" t="s">
        <v>872</v>
      </c>
      <c r="D47" s="655" t="s">
        <v>847</v>
      </c>
      <c r="E47" s="656"/>
      <c r="F47" s="654"/>
      <c r="G47" s="656"/>
      <c r="H47" s="654"/>
      <c r="I47" s="659">
        <v>1810</v>
      </c>
      <c r="J47" s="654">
        <v>342</v>
      </c>
      <c r="K47" s="656">
        <v>1610</v>
      </c>
      <c r="L47" s="654">
        <v>389</v>
      </c>
      <c r="M47" s="657">
        <f t="shared" si="0"/>
        <v>1610</v>
      </c>
      <c r="O47" t="s">
        <v>873</v>
      </c>
      <c r="P47" s="661" t="s">
        <v>874</v>
      </c>
    </row>
    <row r="48" spans="1:16">
      <c r="A48" s="654"/>
      <c r="B48" s="654" t="s">
        <v>875</v>
      </c>
      <c r="C48" s="654" t="s">
        <v>754</v>
      </c>
      <c r="D48" s="655" t="s">
        <v>847</v>
      </c>
      <c r="E48" s="656">
        <v>1150</v>
      </c>
      <c r="F48" s="654">
        <v>772</v>
      </c>
      <c r="G48" s="656"/>
      <c r="H48" s="654"/>
      <c r="I48" s="659"/>
      <c r="J48" s="654"/>
      <c r="K48" s="656"/>
      <c r="L48" s="654"/>
      <c r="M48" s="657">
        <f t="shared" si="0"/>
        <v>1150</v>
      </c>
      <c r="P48" s="661"/>
    </row>
    <row r="49" spans="1:16">
      <c r="A49" s="654"/>
      <c r="B49" s="654" t="s">
        <v>876</v>
      </c>
      <c r="C49" s="654" t="s">
        <v>877</v>
      </c>
      <c r="D49" s="655" t="s">
        <v>847</v>
      </c>
      <c r="E49" s="656"/>
      <c r="F49" s="654"/>
      <c r="G49" s="656"/>
      <c r="H49" s="654"/>
      <c r="I49" s="659">
        <v>1850</v>
      </c>
      <c r="J49" s="654">
        <v>416</v>
      </c>
      <c r="K49" s="656">
        <f>O49+P49</f>
        <v>1380</v>
      </c>
      <c r="L49" s="654">
        <v>479</v>
      </c>
      <c r="M49" s="657">
        <f t="shared" si="0"/>
        <v>1380</v>
      </c>
      <c r="O49">
        <v>560</v>
      </c>
      <c r="P49">
        <v>820</v>
      </c>
    </row>
    <row r="50" spans="1:16">
      <c r="A50" s="654"/>
      <c r="B50" s="654"/>
      <c r="C50" s="654" t="s">
        <v>878</v>
      </c>
      <c r="D50" s="655"/>
      <c r="E50" s="656"/>
      <c r="F50" s="654"/>
      <c r="G50" s="656"/>
      <c r="H50" s="654"/>
      <c r="I50" s="659"/>
      <c r="J50" s="654"/>
      <c r="K50" s="656">
        <v>210</v>
      </c>
      <c r="L50" s="654">
        <v>479</v>
      </c>
      <c r="M50" s="657">
        <f t="shared" si="0"/>
        <v>210</v>
      </c>
    </row>
    <row r="51" spans="1:16">
      <c r="A51" s="654"/>
      <c r="B51" s="654" t="s">
        <v>879</v>
      </c>
      <c r="C51" s="654" t="s">
        <v>880</v>
      </c>
      <c r="D51" s="655" t="s">
        <v>881</v>
      </c>
      <c r="E51" s="656">
        <v>12700</v>
      </c>
      <c r="F51" s="654">
        <v>917</v>
      </c>
      <c r="G51" s="656">
        <v>12700</v>
      </c>
      <c r="H51" s="654">
        <v>960</v>
      </c>
      <c r="I51" s="659"/>
      <c r="J51" s="654"/>
      <c r="K51" s="656"/>
      <c r="L51" s="654"/>
      <c r="M51" s="657">
        <f t="shared" si="0"/>
        <v>12700</v>
      </c>
    </row>
    <row r="52" spans="1:16">
      <c r="A52" s="654"/>
      <c r="B52" s="654"/>
      <c r="C52" s="654" t="s">
        <v>882</v>
      </c>
      <c r="D52" s="655" t="s">
        <v>881</v>
      </c>
      <c r="E52" s="656">
        <v>14900</v>
      </c>
      <c r="F52" s="654">
        <v>917</v>
      </c>
      <c r="G52" s="656">
        <v>14900</v>
      </c>
      <c r="H52" s="654">
        <v>960</v>
      </c>
      <c r="I52" s="659"/>
      <c r="J52" s="654"/>
      <c r="K52" s="656"/>
      <c r="L52" s="654"/>
      <c r="M52" s="657">
        <f t="shared" si="0"/>
        <v>14900</v>
      </c>
    </row>
    <row r="53" spans="1:16">
      <c r="A53" s="654"/>
      <c r="B53" s="654" t="s">
        <v>883</v>
      </c>
      <c r="C53" s="654" t="s">
        <v>884</v>
      </c>
      <c r="D53" s="655" t="s">
        <v>813</v>
      </c>
      <c r="E53" s="656"/>
      <c r="F53" s="654"/>
      <c r="G53" s="656"/>
      <c r="H53" s="654"/>
      <c r="I53" s="659"/>
      <c r="J53" s="654"/>
      <c r="K53" s="656">
        <v>7360</v>
      </c>
      <c r="L53" s="654">
        <v>458</v>
      </c>
      <c r="M53" s="657">
        <f t="shared" si="0"/>
        <v>7360</v>
      </c>
    </row>
    <row r="54" spans="1:16">
      <c r="A54" s="654"/>
      <c r="B54" s="654"/>
      <c r="C54" s="654"/>
      <c r="D54" s="655"/>
      <c r="E54" s="656"/>
      <c r="F54" s="654"/>
      <c r="G54" s="656"/>
      <c r="H54" s="654"/>
      <c r="I54" s="659"/>
      <c r="J54" s="654"/>
      <c r="K54" s="656"/>
      <c r="L54" s="654"/>
      <c r="M54" s="657"/>
    </row>
    <row r="55" spans="1:16">
      <c r="A55" s="654"/>
      <c r="B55" s="654" t="s">
        <v>885</v>
      </c>
      <c r="C55" s="654" t="s">
        <v>886</v>
      </c>
      <c r="D55" s="655" t="s">
        <v>887</v>
      </c>
      <c r="E55" s="656">
        <v>25400</v>
      </c>
      <c r="F55" s="654">
        <v>877</v>
      </c>
      <c r="G55" s="656">
        <v>25400</v>
      </c>
      <c r="H55" s="654">
        <v>932</v>
      </c>
      <c r="I55" s="659"/>
      <c r="J55" s="654"/>
      <c r="K55" s="656"/>
      <c r="L55" s="654"/>
      <c r="M55" s="657">
        <f t="shared" si="0"/>
        <v>25400</v>
      </c>
    </row>
    <row r="56" spans="1:16">
      <c r="A56" s="654"/>
      <c r="B56" s="654"/>
      <c r="C56" s="654" t="s">
        <v>888</v>
      </c>
      <c r="D56" s="655" t="s">
        <v>887</v>
      </c>
      <c r="E56" s="656">
        <v>28800</v>
      </c>
      <c r="F56" s="654">
        <v>877</v>
      </c>
      <c r="G56" s="656">
        <v>28800</v>
      </c>
      <c r="H56" s="654">
        <v>932</v>
      </c>
      <c r="I56" s="659"/>
      <c r="J56" s="654"/>
      <c r="K56" s="656"/>
      <c r="L56" s="654"/>
      <c r="M56" s="657">
        <f t="shared" si="0"/>
        <v>28800</v>
      </c>
    </row>
    <row r="57" spans="1:16">
      <c r="A57" s="654"/>
      <c r="B57" s="654"/>
      <c r="C57" s="654" t="s">
        <v>889</v>
      </c>
      <c r="D57" s="655" t="s">
        <v>887</v>
      </c>
      <c r="E57" s="656">
        <v>26500</v>
      </c>
      <c r="F57" s="654">
        <v>877</v>
      </c>
      <c r="G57" s="656">
        <v>26500</v>
      </c>
      <c r="H57" s="654">
        <v>932</v>
      </c>
      <c r="I57" s="659"/>
      <c r="J57" s="654"/>
      <c r="K57" s="656"/>
      <c r="L57" s="654"/>
      <c r="M57" s="657">
        <f t="shared" si="0"/>
        <v>26500</v>
      </c>
    </row>
    <row r="58" spans="1:16">
      <c r="A58" s="654"/>
      <c r="B58" s="654"/>
      <c r="C58" s="654" t="s">
        <v>387</v>
      </c>
      <c r="D58" s="655" t="s">
        <v>887</v>
      </c>
      <c r="E58" s="656">
        <v>31700</v>
      </c>
      <c r="F58" s="654">
        <v>877</v>
      </c>
      <c r="G58" s="656">
        <v>31700</v>
      </c>
      <c r="H58" s="654">
        <v>932</v>
      </c>
      <c r="I58" s="659"/>
      <c r="J58" s="654"/>
      <c r="K58" s="656"/>
      <c r="L58" s="654"/>
      <c r="M58" s="657">
        <f t="shared" si="0"/>
        <v>31700</v>
      </c>
    </row>
    <row r="59" spans="1:16">
      <c r="A59" s="654"/>
      <c r="B59" s="654"/>
      <c r="C59" s="654"/>
      <c r="D59" s="655"/>
      <c r="E59" s="656"/>
      <c r="F59" s="654"/>
      <c r="G59" s="656"/>
      <c r="H59" s="654"/>
      <c r="I59" s="659"/>
      <c r="J59" s="654"/>
      <c r="K59" s="656"/>
      <c r="L59" s="654"/>
      <c r="M59" s="657"/>
    </row>
  </sheetData>
  <mergeCells count="10">
    <mergeCell ref="A1:M1"/>
    <mergeCell ref="A2:A3"/>
    <mergeCell ref="B2:B3"/>
    <mergeCell ref="C2:C3"/>
    <mergeCell ref="D2:D3"/>
    <mergeCell ref="E2:F2"/>
    <mergeCell ref="G2:H2"/>
    <mergeCell ref="I2:J2"/>
    <mergeCell ref="K2:L2"/>
    <mergeCell ref="M2:M3"/>
  </mergeCells>
  <phoneticPr fontId="48"/>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CFCD9-9CA8-4A07-897B-E0788F3CC890}">
  <sheetPr>
    <tabColor theme="8" tint="-0.249977111117893"/>
  </sheetPr>
  <dimension ref="A1:O35"/>
  <sheetViews>
    <sheetView workbookViewId="0">
      <selection activeCell="S40" sqref="S40"/>
    </sheetView>
  </sheetViews>
  <sheetFormatPr defaultRowHeight="13.2"/>
  <cols>
    <col min="1" max="1" width="18.109375" customWidth="1"/>
    <col min="2" max="2" width="0.88671875" customWidth="1"/>
    <col min="3" max="3" width="17.6640625" customWidth="1"/>
    <col min="4" max="5" width="4.77734375" bestFit="1" customWidth="1"/>
    <col min="6" max="6" width="10.33203125" bestFit="1" customWidth="1"/>
    <col min="7" max="7" width="7" customWidth="1"/>
    <col min="8" max="8" width="4.33203125" customWidth="1"/>
    <col min="9" max="15" width="9.6640625" customWidth="1"/>
  </cols>
  <sheetData>
    <row r="1" spans="1:15">
      <c r="A1" s="766" t="s">
        <v>895</v>
      </c>
      <c r="B1" s="513"/>
      <c r="C1" s="766" t="s">
        <v>758</v>
      </c>
      <c r="D1" s="514"/>
      <c r="E1" s="421"/>
      <c r="F1" s="421"/>
      <c r="G1" s="421"/>
      <c r="H1" s="421"/>
      <c r="I1" s="514"/>
      <c r="J1" s="421"/>
      <c r="K1" s="421"/>
      <c r="L1" s="421"/>
      <c r="M1" s="421"/>
      <c r="N1" s="421"/>
      <c r="O1" s="421"/>
    </row>
    <row r="2" spans="1:15">
      <c r="A2" s="769"/>
      <c r="B2" s="517"/>
      <c r="C2" s="768"/>
      <c r="D2" s="518"/>
      <c r="E2" s="440"/>
      <c r="F2" s="518"/>
      <c r="G2" s="518"/>
      <c r="H2" s="518"/>
      <c r="I2" s="518"/>
      <c r="J2" s="519"/>
      <c r="K2" s="519"/>
      <c r="L2" s="519"/>
      <c r="M2" s="519"/>
      <c r="N2" s="519"/>
      <c r="O2" s="519"/>
    </row>
    <row r="3" spans="1:15">
      <c r="A3" s="764" t="s">
        <v>391</v>
      </c>
      <c r="B3" s="499"/>
      <c r="C3" s="764" t="s">
        <v>392</v>
      </c>
      <c r="D3" s="758" t="s">
        <v>70</v>
      </c>
      <c r="E3" s="758" t="s">
        <v>5</v>
      </c>
      <c r="F3" s="758" t="s">
        <v>77</v>
      </c>
      <c r="G3" s="425" t="s">
        <v>71</v>
      </c>
      <c r="H3" s="752" t="s">
        <v>393</v>
      </c>
      <c r="I3" s="764"/>
      <c r="J3" s="521">
        <v>1</v>
      </c>
      <c r="K3" s="522" t="s">
        <v>890</v>
      </c>
      <c r="L3" s="425">
        <v>2</v>
      </c>
      <c r="M3" s="523" t="s">
        <v>891</v>
      </c>
      <c r="N3" s="521">
        <v>3</v>
      </c>
      <c r="O3" s="633" t="s">
        <v>892</v>
      </c>
    </row>
    <row r="4" spans="1:15">
      <c r="A4" s="770"/>
      <c r="B4" s="440"/>
      <c r="C4" s="770"/>
      <c r="D4" s="763"/>
      <c r="E4" s="763"/>
      <c r="F4" s="763"/>
      <c r="G4" s="524">
        <v>1</v>
      </c>
      <c r="H4" s="525">
        <v>1</v>
      </c>
      <c r="I4" s="526" t="s">
        <v>395</v>
      </c>
      <c r="J4" s="527" t="s">
        <v>320</v>
      </c>
      <c r="K4" s="437" t="s">
        <v>396</v>
      </c>
      <c r="L4" s="437" t="s">
        <v>320</v>
      </c>
      <c r="M4" s="437" t="s">
        <v>396</v>
      </c>
      <c r="N4" s="437" t="s">
        <v>320</v>
      </c>
      <c r="O4" s="528" t="s">
        <v>396</v>
      </c>
    </row>
    <row r="5" spans="1:15">
      <c r="A5" s="530" t="s">
        <v>692</v>
      </c>
      <c r="B5" s="531"/>
      <c r="C5" s="530" t="s">
        <v>693</v>
      </c>
      <c r="D5" s="532" t="s">
        <v>606</v>
      </c>
      <c r="E5" s="533"/>
      <c r="F5" s="534">
        <f>ROUNDDOWN(G5*I5,-2)</f>
        <v>2400</v>
      </c>
      <c r="G5" s="535">
        <f>G4</f>
        <v>1</v>
      </c>
      <c r="H5" s="536"/>
      <c r="I5" s="537">
        <f>MIN(J5,L5,N5)</f>
        <v>2400</v>
      </c>
      <c r="J5" s="538">
        <v>3300</v>
      </c>
      <c r="K5" s="538">
        <f>E5*J5</f>
        <v>0</v>
      </c>
      <c r="L5" s="539">
        <v>2400</v>
      </c>
      <c r="M5" s="538">
        <f>E5*L5</f>
        <v>0</v>
      </c>
      <c r="N5" s="539">
        <v>225000</v>
      </c>
      <c r="O5" s="540">
        <f>E5*N5</f>
        <v>0</v>
      </c>
    </row>
    <row r="6" spans="1:15">
      <c r="A6" s="530" t="s">
        <v>893</v>
      </c>
      <c r="B6" s="531"/>
      <c r="C6" s="530" t="s">
        <v>896</v>
      </c>
      <c r="D6" s="532" t="s">
        <v>897</v>
      </c>
      <c r="E6" s="542"/>
      <c r="F6" s="543">
        <f>ROUNDDOWN(G6*I6,-1)</f>
        <v>1300</v>
      </c>
      <c r="G6" s="544">
        <f t="shared" ref="G6:G13" si="0">G5</f>
        <v>1</v>
      </c>
      <c r="H6" s="545"/>
      <c r="I6" s="546">
        <f t="shared" ref="I6:I10" si="1">MIN(J6,L6,N6)</f>
        <v>1300</v>
      </c>
      <c r="J6" s="546">
        <v>1300</v>
      </c>
      <c r="K6" s="546">
        <f t="shared" ref="K6:K33" si="2">E6*J6</f>
        <v>0</v>
      </c>
      <c r="L6" s="547">
        <v>1300</v>
      </c>
      <c r="M6" s="546">
        <f t="shared" ref="M6:M16" si="3">E6*L6</f>
        <v>0</v>
      </c>
      <c r="N6" s="547">
        <v>2100</v>
      </c>
      <c r="O6" s="548">
        <f t="shared" ref="O6:O16" si="4">E6*N6</f>
        <v>0</v>
      </c>
    </row>
    <row r="7" spans="1:15">
      <c r="A7" s="530" t="s">
        <v>894</v>
      </c>
      <c r="B7" s="531"/>
      <c r="C7" s="530"/>
      <c r="D7" s="532" t="s">
        <v>897</v>
      </c>
      <c r="E7" s="542"/>
      <c r="F7" s="543">
        <f t="shared" ref="F7:F10" si="5">ROUNDDOWN(G7*I7,-2)</f>
        <v>800</v>
      </c>
      <c r="G7" s="544">
        <f t="shared" si="0"/>
        <v>1</v>
      </c>
      <c r="H7" s="545"/>
      <c r="I7" s="546">
        <f t="shared" si="1"/>
        <v>800</v>
      </c>
      <c r="J7" s="546">
        <v>800</v>
      </c>
      <c r="K7" s="546"/>
      <c r="L7" s="547">
        <v>900</v>
      </c>
      <c r="M7" s="546"/>
      <c r="N7" s="547">
        <v>62700</v>
      </c>
      <c r="O7" s="548">
        <f t="shared" si="4"/>
        <v>0</v>
      </c>
    </row>
    <row r="8" spans="1:15">
      <c r="A8" s="530"/>
      <c r="B8" s="531"/>
      <c r="C8" s="530"/>
      <c r="D8" s="532"/>
      <c r="E8" s="542"/>
      <c r="F8" s="543">
        <f>ROUNDDOWN(G8*I8,-1)</f>
        <v>0</v>
      </c>
      <c r="G8" s="544"/>
      <c r="H8" s="545"/>
      <c r="I8" s="546">
        <f t="shared" si="1"/>
        <v>0</v>
      </c>
      <c r="J8" s="546"/>
      <c r="K8" s="546"/>
      <c r="L8" s="547"/>
      <c r="M8" s="546"/>
      <c r="N8" s="547"/>
      <c r="O8" s="548">
        <f t="shared" si="4"/>
        <v>0</v>
      </c>
    </row>
    <row r="9" spans="1:15">
      <c r="A9" s="530"/>
      <c r="B9" s="531"/>
      <c r="C9" s="530"/>
      <c r="D9" s="532"/>
      <c r="E9" s="542"/>
      <c r="F9" s="543">
        <f t="shared" si="5"/>
        <v>0</v>
      </c>
      <c r="G9" s="544"/>
      <c r="H9" s="545"/>
      <c r="I9" s="546">
        <f t="shared" si="1"/>
        <v>0</v>
      </c>
      <c r="J9" s="546"/>
      <c r="K9" s="546"/>
      <c r="L9" s="547"/>
      <c r="M9" s="546"/>
      <c r="N9" s="547"/>
      <c r="O9" s="548">
        <f t="shared" si="4"/>
        <v>0</v>
      </c>
    </row>
    <row r="10" spans="1:15">
      <c r="A10" s="530"/>
      <c r="B10" s="531"/>
      <c r="C10" s="530"/>
      <c r="D10" s="532"/>
      <c r="E10" s="542"/>
      <c r="F10" s="543">
        <f t="shared" si="5"/>
        <v>0</v>
      </c>
      <c r="G10" s="544"/>
      <c r="H10" s="545"/>
      <c r="I10" s="546">
        <f t="shared" si="1"/>
        <v>0</v>
      </c>
      <c r="J10" s="546"/>
      <c r="K10" s="546"/>
      <c r="L10" s="547"/>
      <c r="M10" s="546"/>
      <c r="N10" s="547"/>
      <c r="O10" s="548">
        <f t="shared" si="4"/>
        <v>0</v>
      </c>
    </row>
    <row r="11" spans="1:15">
      <c r="A11" s="530"/>
      <c r="B11" s="531"/>
      <c r="C11" s="530"/>
      <c r="D11" s="532"/>
      <c r="E11" s="542"/>
      <c r="F11" s="543"/>
      <c r="G11" s="544"/>
      <c r="H11" s="545"/>
      <c r="I11" s="546"/>
      <c r="J11" s="546"/>
      <c r="K11" s="546"/>
      <c r="L11" s="547"/>
      <c r="M11" s="546">
        <f t="shared" si="3"/>
        <v>0</v>
      </c>
      <c r="N11" s="547"/>
      <c r="O11" s="548">
        <f t="shared" si="4"/>
        <v>0</v>
      </c>
    </row>
    <row r="12" spans="1:15">
      <c r="A12" s="530"/>
      <c r="B12" s="531"/>
      <c r="C12" s="530"/>
      <c r="D12" s="532"/>
      <c r="E12" s="542"/>
      <c r="F12" s="543">
        <f t="shared" ref="F12:F25" si="6">ROUNDDOWN(G12*I12,-2)</f>
        <v>0</v>
      </c>
      <c r="G12" s="544"/>
      <c r="H12" s="545"/>
      <c r="I12" s="546">
        <f t="shared" ref="I12:I32" si="7">J12</f>
        <v>0</v>
      </c>
      <c r="J12" s="546"/>
      <c r="K12" s="546"/>
      <c r="L12" s="547"/>
      <c r="M12" s="546">
        <f t="shared" si="3"/>
        <v>0</v>
      </c>
      <c r="N12" s="547"/>
      <c r="O12" s="548">
        <f t="shared" si="4"/>
        <v>0</v>
      </c>
    </row>
    <row r="13" spans="1:15">
      <c r="A13" s="530" t="s">
        <v>898</v>
      </c>
      <c r="B13" s="531"/>
      <c r="C13" s="530"/>
      <c r="D13" s="532"/>
      <c r="E13" s="542"/>
      <c r="F13" s="543"/>
      <c r="G13" s="544">
        <f t="shared" si="0"/>
        <v>0</v>
      </c>
      <c r="H13" s="545"/>
      <c r="I13" s="546"/>
      <c r="J13" s="795" t="s">
        <v>899</v>
      </c>
      <c r="K13" s="796"/>
      <c r="L13" s="797" t="s">
        <v>900</v>
      </c>
      <c r="M13" s="798"/>
      <c r="N13" s="799" t="s">
        <v>901</v>
      </c>
      <c r="O13" s="800"/>
    </row>
    <row r="14" spans="1:15">
      <c r="A14" s="530"/>
      <c r="B14" s="531"/>
      <c r="C14" s="530" t="s">
        <v>902</v>
      </c>
      <c r="D14" s="532"/>
      <c r="E14" s="542"/>
      <c r="F14" s="543">
        <f t="shared" si="6"/>
        <v>35000</v>
      </c>
      <c r="G14" s="544">
        <f>G4</f>
        <v>1</v>
      </c>
      <c r="H14" s="545"/>
      <c r="I14" s="546">
        <f t="shared" ref="I14" si="8">MIN(J14,L14,N14)</f>
        <v>35000</v>
      </c>
      <c r="J14" s="546">
        <v>85970</v>
      </c>
      <c r="K14" s="546">
        <f t="shared" si="2"/>
        <v>0</v>
      </c>
      <c r="L14" s="547">
        <v>35000</v>
      </c>
      <c r="M14" s="546">
        <f t="shared" si="3"/>
        <v>0</v>
      </c>
      <c r="N14" s="547">
        <v>87113</v>
      </c>
      <c r="O14" s="548">
        <f t="shared" si="4"/>
        <v>0</v>
      </c>
    </row>
    <row r="15" spans="1:15">
      <c r="A15" s="530"/>
      <c r="B15" s="531"/>
      <c r="C15" s="530"/>
      <c r="D15" s="532"/>
      <c r="E15" s="542"/>
      <c r="F15" s="543">
        <f t="shared" si="6"/>
        <v>0</v>
      </c>
      <c r="G15" s="544"/>
      <c r="H15" s="545"/>
      <c r="I15" s="546">
        <f t="shared" si="7"/>
        <v>0</v>
      </c>
      <c r="J15" s="546"/>
      <c r="K15" s="546">
        <f t="shared" si="2"/>
        <v>0</v>
      </c>
      <c r="L15" s="547"/>
      <c r="M15" s="546">
        <f t="shared" si="3"/>
        <v>0</v>
      </c>
      <c r="N15" s="547"/>
      <c r="O15" s="548">
        <f t="shared" si="4"/>
        <v>0</v>
      </c>
    </row>
    <row r="16" spans="1:15">
      <c r="A16" s="530"/>
      <c r="B16" s="531"/>
      <c r="C16" s="530"/>
      <c r="D16" s="532"/>
      <c r="E16" s="542"/>
      <c r="F16" s="543">
        <f t="shared" si="6"/>
        <v>0</v>
      </c>
      <c r="G16" s="544"/>
      <c r="H16" s="545"/>
      <c r="I16" s="546">
        <f t="shared" si="7"/>
        <v>0</v>
      </c>
      <c r="J16" s="546"/>
      <c r="K16" s="546">
        <f t="shared" si="2"/>
        <v>0</v>
      </c>
      <c r="L16" s="547"/>
      <c r="M16" s="546">
        <f t="shared" si="3"/>
        <v>0</v>
      </c>
      <c r="N16" s="547"/>
      <c r="O16" s="548">
        <f t="shared" si="4"/>
        <v>0</v>
      </c>
    </row>
    <row r="17" spans="1:15">
      <c r="A17" s="530"/>
      <c r="B17" s="531"/>
      <c r="C17" s="530"/>
      <c r="D17" s="532"/>
      <c r="E17" s="542"/>
      <c r="F17" s="543">
        <f t="shared" si="6"/>
        <v>0</v>
      </c>
      <c r="G17" s="544"/>
      <c r="H17" s="545"/>
      <c r="I17" s="546">
        <f t="shared" si="7"/>
        <v>0</v>
      </c>
      <c r="J17" s="546"/>
      <c r="K17" s="546">
        <f t="shared" si="2"/>
        <v>0</v>
      </c>
      <c r="L17" s="547"/>
      <c r="M17" s="546">
        <f t="shared" ref="M17:M33" si="9">L17*E17</f>
        <v>0</v>
      </c>
      <c r="N17" s="547"/>
      <c r="O17" s="548">
        <f t="shared" ref="O17:O33" si="10">N17*E17</f>
        <v>0</v>
      </c>
    </row>
    <row r="18" spans="1:15">
      <c r="A18" s="530"/>
      <c r="B18" s="531"/>
      <c r="C18" s="530"/>
      <c r="D18" s="532"/>
      <c r="E18" s="542"/>
      <c r="F18" s="543">
        <f t="shared" si="6"/>
        <v>0</v>
      </c>
      <c r="G18" s="544"/>
      <c r="H18" s="545"/>
      <c r="I18" s="546">
        <f t="shared" si="7"/>
        <v>0</v>
      </c>
      <c r="J18" s="546"/>
      <c r="K18" s="546">
        <f t="shared" si="2"/>
        <v>0</v>
      </c>
      <c r="L18" s="547"/>
      <c r="M18" s="546">
        <f t="shared" si="9"/>
        <v>0</v>
      </c>
      <c r="N18" s="547"/>
      <c r="O18" s="548">
        <f t="shared" si="10"/>
        <v>0</v>
      </c>
    </row>
    <row r="19" spans="1:15">
      <c r="A19" s="530"/>
      <c r="B19" s="531"/>
      <c r="C19" s="530"/>
      <c r="D19" s="532"/>
      <c r="E19" s="542"/>
      <c r="F19" s="543">
        <f t="shared" si="6"/>
        <v>0</v>
      </c>
      <c r="G19" s="544"/>
      <c r="H19" s="545"/>
      <c r="I19" s="546">
        <f t="shared" si="7"/>
        <v>0</v>
      </c>
      <c r="J19" s="546"/>
      <c r="K19" s="546">
        <f t="shared" si="2"/>
        <v>0</v>
      </c>
      <c r="L19" s="547"/>
      <c r="M19" s="546">
        <f t="shared" si="9"/>
        <v>0</v>
      </c>
      <c r="N19" s="547"/>
      <c r="O19" s="548">
        <f t="shared" si="10"/>
        <v>0</v>
      </c>
    </row>
    <row r="20" spans="1:15">
      <c r="A20" s="530"/>
      <c r="B20" s="531"/>
      <c r="C20" s="530"/>
      <c r="D20" s="532"/>
      <c r="E20" s="549"/>
      <c r="F20" s="543">
        <f t="shared" si="6"/>
        <v>0</v>
      </c>
      <c r="G20" s="544"/>
      <c r="H20" s="545"/>
      <c r="I20" s="546">
        <f t="shared" si="7"/>
        <v>0</v>
      </c>
      <c r="J20" s="546"/>
      <c r="K20" s="546">
        <f t="shared" si="2"/>
        <v>0</v>
      </c>
      <c r="L20" s="547"/>
      <c r="M20" s="546">
        <f t="shared" si="9"/>
        <v>0</v>
      </c>
      <c r="N20" s="547"/>
      <c r="O20" s="548">
        <f t="shared" si="10"/>
        <v>0</v>
      </c>
    </row>
    <row r="21" spans="1:15">
      <c r="A21" s="530"/>
      <c r="B21" s="531"/>
      <c r="C21" s="530"/>
      <c r="D21" s="532"/>
      <c r="E21" s="549"/>
      <c r="F21" s="543">
        <f t="shared" si="6"/>
        <v>0</v>
      </c>
      <c r="G21" s="544"/>
      <c r="H21" s="545"/>
      <c r="I21" s="546">
        <f t="shared" si="7"/>
        <v>0</v>
      </c>
      <c r="J21" s="546"/>
      <c r="K21" s="546">
        <f t="shared" si="2"/>
        <v>0</v>
      </c>
      <c r="L21" s="547"/>
      <c r="M21" s="546">
        <f t="shared" si="9"/>
        <v>0</v>
      </c>
      <c r="N21" s="547"/>
      <c r="O21" s="548">
        <f t="shared" si="10"/>
        <v>0</v>
      </c>
    </row>
    <row r="22" spans="1:15">
      <c r="A22" s="530"/>
      <c r="B22" s="531"/>
      <c r="C22" s="530"/>
      <c r="D22" s="532"/>
      <c r="E22" s="549"/>
      <c r="F22" s="543">
        <f t="shared" si="6"/>
        <v>0</v>
      </c>
      <c r="G22" s="544"/>
      <c r="H22" s="545"/>
      <c r="I22" s="546">
        <f t="shared" si="7"/>
        <v>0</v>
      </c>
      <c r="J22" s="546"/>
      <c r="K22" s="546">
        <f t="shared" si="2"/>
        <v>0</v>
      </c>
      <c r="L22" s="547"/>
      <c r="M22" s="546">
        <f t="shared" si="9"/>
        <v>0</v>
      </c>
      <c r="N22" s="547"/>
      <c r="O22" s="548">
        <f t="shared" si="10"/>
        <v>0</v>
      </c>
    </row>
    <row r="23" spans="1:15">
      <c r="A23" s="530"/>
      <c r="B23" s="531"/>
      <c r="C23" s="530"/>
      <c r="D23" s="532"/>
      <c r="E23" s="549"/>
      <c r="F23" s="543">
        <f t="shared" si="6"/>
        <v>0</v>
      </c>
      <c r="G23" s="544"/>
      <c r="H23" s="550"/>
      <c r="I23" s="546">
        <f t="shared" si="7"/>
        <v>0</v>
      </c>
      <c r="J23" s="546"/>
      <c r="K23" s="546">
        <f t="shared" si="2"/>
        <v>0</v>
      </c>
      <c r="L23" s="547"/>
      <c r="M23" s="546">
        <f t="shared" si="9"/>
        <v>0</v>
      </c>
      <c r="N23" s="547"/>
      <c r="O23" s="548">
        <f t="shared" si="10"/>
        <v>0</v>
      </c>
    </row>
    <row r="24" spans="1:15">
      <c r="A24" s="530"/>
      <c r="B24" s="531"/>
      <c r="C24" s="530"/>
      <c r="D24" s="532"/>
      <c r="E24" s="549"/>
      <c r="F24" s="543">
        <f t="shared" si="6"/>
        <v>0</v>
      </c>
      <c r="G24" s="544"/>
      <c r="H24" s="550"/>
      <c r="I24" s="546">
        <f t="shared" si="7"/>
        <v>0</v>
      </c>
      <c r="J24" s="546"/>
      <c r="K24" s="546">
        <f t="shared" si="2"/>
        <v>0</v>
      </c>
      <c r="L24" s="547"/>
      <c r="M24" s="546">
        <f t="shared" si="9"/>
        <v>0</v>
      </c>
      <c r="N24" s="547"/>
      <c r="O24" s="548">
        <f t="shared" si="10"/>
        <v>0</v>
      </c>
    </row>
    <row r="25" spans="1:15">
      <c r="A25" s="530"/>
      <c r="B25" s="531"/>
      <c r="C25" s="530"/>
      <c r="D25" s="532"/>
      <c r="E25" s="549"/>
      <c r="F25" s="543">
        <f t="shared" si="6"/>
        <v>0</v>
      </c>
      <c r="G25" s="544"/>
      <c r="H25" s="550"/>
      <c r="I25" s="546">
        <f t="shared" si="7"/>
        <v>0</v>
      </c>
      <c r="J25" s="546"/>
      <c r="K25" s="546">
        <f t="shared" si="2"/>
        <v>0</v>
      </c>
      <c r="L25" s="547"/>
      <c r="M25" s="546">
        <f t="shared" si="9"/>
        <v>0</v>
      </c>
      <c r="N25" s="547"/>
      <c r="O25" s="548">
        <f t="shared" si="10"/>
        <v>0</v>
      </c>
    </row>
    <row r="26" spans="1:15">
      <c r="A26" s="530"/>
      <c r="B26" s="531"/>
      <c r="C26" s="530"/>
      <c r="D26" s="532"/>
      <c r="E26" s="549"/>
      <c r="F26" s="543"/>
      <c r="G26" s="544"/>
      <c r="H26" s="550"/>
      <c r="I26" s="546">
        <f t="shared" si="7"/>
        <v>0</v>
      </c>
      <c r="J26" s="546"/>
      <c r="K26" s="546">
        <f t="shared" si="2"/>
        <v>0</v>
      </c>
      <c r="L26" s="547"/>
      <c r="M26" s="546">
        <f t="shared" si="9"/>
        <v>0</v>
      </c>
      <c r="N26" s="547"/>
      <c r="O26" s="548">
        <f t="shared" si="10"/>
        <v>0</v>
      </c>
    </row>
    <row r="27" spans="1:15">
      <c r="A27" s="530"/>
      <c r="B27" s="531"/>
      <c r="C27" s="530"/>
      <c r="D27" s="532"/>
      <c r="E27" s="549"/>
      <c r="F27" s="543"/>
      <c r="G27" s="544"/>
      <c r="H27" s="550"/>
      <c r="I27" s="546">
        <f t="shared" si="7"/>
        <v>0</v>
      </c>
      <c r="J27" s="546"/>
      <c r="K27" s="546">
        <f t="shared" si="2"/>
        <v>0</v>
      </c>
      <c r="L27" s="547"/>
      <c r="M27" s="546">
        <f t="shared" si="9"/>
        <v>0</v>
      </c>
      <c r="N27" s="547"/>
      <c r="O27" s="548">
        <f t="shared" si="10"/>
        <v>0</v>
      </c>
    </row>
    <row r="28" spans="1:15">
      <c r="A28" s="530"/>
      <c r="B28" s="531"/>
      <c r="C28" s="530"/>
      <c r="D28" s="532"/>
      <c r="E28" s="549"/>
      <c r="F28" s="543"/>
      <c r="G28" s="544"/>
      <c r="H28" s="550"/>
      <c r="I28" s="546">
        <f t="shared" si="7"/>
        <v>0</v>
      </c>
      <c r="J28" s="546"/>
      <c r="K28" s="546">
        <f t="shared" si="2"/>
        <v>0</v>
      </c>
      <c r="L28" s="547"/>
      <c r="M28" s="546">
        <f t="shared" si="9"/>
        <v>0</v>
      </c>
      <c r="N28" s="547"/>
      <c r="O28" s="548">
        <f t="shared" si="10"/>
        <v>0</v>
      </c>
    </row>
    <row r="29" spans="1:15">
      <c r="A29" s="530"/>
      <c r="B29" s="531"/>
      <c r="C29" s="530"/>
      <c r="D29" s="532"/>
      <c r="E29" s="549"/>
      <c r="F29" s="543"/>
      <c r="G29" s="544"/>
      <c r="H29" s="550"/>
      <c r="I29" s="546">
        <f t="shared" si="7"/>
        <v>0</v>
      </c>
      <c r="J29" s="546"/>
      <c r="K29" s="546">
        <f t="shared" si="2"/>
        <v>0</v>
      </c>
      <c r="L29" s="547"/>
      <c r="M29" s="546">
        <f t="shared" si="9"/>
        <v>0</v>
      </c>
      <c r="N29" s="547"/>
      <c r="O29" s="548">
        <f t="shared" si="10"/>
        <v>0</v>
      </c>
    </row>
    <row r="30" spans="1:15">
      <c r="A30" s="530"/>
      <c r="B30" s="531"/>
      <c r="C30" s="530"/>
      <c r="D30" s="532"/>
      <c r="E30" s="549"/>
      <c r="F30" s="543"/>
      <c r="G30" s="544"/>
      <c r="H30" s="550"/>
      <c r="I30" s="546">
        <f t="shared" si="7"/>
        <v>0</v>
      </c>
      <c r="J30" s="546"/>
      <c r="K30" s="546">
        <f t="shared" si="2"/>
        <v>0</v>
      </c>
      <c r="L30" s="547"/>
      <c r="M30" s="546">
        <f t="shared" si="9"/>
        <v>0</v>
      </c>
      <c r="N30" s="547"/>
      <c r="O30" s="548">
        <f t="shared" si="10"/>
        <v>0</v>
      </c>
    </row>
    <row r="31" spans="1:15">
      <c r="A31" s="530"/>
      <c r="B31" s="531"/>
      <c r="C31" s="551"/>
      <c r="D31" s="532"/>
      <c r="E31" s="549"/>
      <c r="F31" s="543"/>
      <c r="G31" s="544"/>
      <c r="H31" s="550"/>
      <c r="I31" s="546">
        <f t="shared" si="7"/>
        <v>0</v>
      </c>
      <c r="J31" s="546"/>
      <c r="K31" s="546">
        <f t="shared" si="2"/>
        <v>0</v>
      </c>
      <c r="L31" s="547"/>
      <c r="M31" s="546">
        <f t="shared" si="9"/>
        <v>0</v>
      </c>
      <c r="N31" s="547"/>
      <c r="O31" s="548">
        <f t="shared" si="10"/>
        <v>0</v>
      </c>
    </row>
    <row r="32" spans="1:15">
      <c r="A32" s="530"/>
      <c r="B32" s="531"/>
      <c r="C32" s="551"/>
      <c r="D32" s="532"/>
      <c r="E32" s="549"/>
      <c r="F32" s="543"/>
      <c r="G32" s="544"/>
      <c r="H32" s="550"/>
      <c r="I32" s="546">
        <f t="shared" si="7"/>
        <v>0</v>
      </c>
      <c r="J32" s="546"/>
      <c r="K32" s="546">
        <f t="shared" si="2"/>
        <v>0</v>
      </c>
      <c r="L32" s="547"/>
      <c r="M32" s="546">
        <f t="shared" si="9"/>
        <v>0</v>
      </c>
      <c r="N32" s="547"/>
      <c r="O32" s="548">
        <f t="shared" si="10"/>
        <v>0</v>
      </c>
    </row>
    <row r="33" spans="1:15">
      <c r="A33" s="553">
        <f>+A29</f>
        <v>0</v>
      </c>
      <c r="B33" s="554"/>
      <c r="C33" s="555"/>
      <c r="D33" s="556"/>
      <c r="E33" s="542"/>
      <c r="F33" s="543"/>
      <c r="G33" s="544"/>
      <c r="H33" s="557"/>
      <c r="I33" s="558">
        <f>L33</f>
        <v>0</v>
      </c>
      <c r="J33" s="546"/>
      <c r="K33" s="546">
        <f t="shared" si="2"/>
        <v>0</v>
      </c>
      <c r="L33" s="546"/>
      <c r="M33" s="546">
        <f t="shared" si="9"/>
        <v>0</v>
      </c>
      <c r="N33" s="546"/>
      <c r="O33" s="548">
        <f t="shared" si="10"/>
        <v>0</v>
      </c>
    </row>
    <row r="34" spans="1:15">
      <c r="A34" s="765"/>
      <c r="B34" s="765"/>
      <c r="C34" s="765"/>
      <c r="D34" s="765"/>
      <c r="E34" s="765"/>
      <c r="F34" s="765"/>
      <c r="G34" s="765"/>
      <c r="H34" s="765"/>
      <c r="I34" s="766"/>
      <c r="J34" s="559"/>
      <c r="K34" s="560">
        <f t="shared" ref="K34:O34" si="11">SUM(K5:K33)</f>
        <v>0</v>
      </c>
      <c r="L34" s="560"/>
      <c r="M34" s="560">
        <f t="shared" si="11"/>
        <v>0</v>
      </c>
      <c r="N34" s="560"/>
      <c r="O34" s="561">
        <f t="shared" si="11"/>
        <v>0</v>
      </c>
    </row>
    <row r="35" spans="1:15">
      <c r="A35" s="767"/>
      <c r="B35" s="767"/>
      <c r="C35" s="767"/>
      <c r="D35" s="767"/>
      <c r="E35" s="767"/>
      <c r="F35" s="767"/>
      <c r="G35" s="767"/>
      <c r="H35" s="767"/>
      <c r="I35" s="768"/>
      <c r="J35" s="562" t="s">
        <v>400</v>
      </c>
      <c r="K35" s="438" t="s">
        <v>401</v>
      </c>
      <c r="L35" s="438" t="s">
        <v>402</v>
      </c>
      <c r="M35" s="438" t="s">
        <v>403</v>
      </c>
      <c r="N35" s="438" t="s">
        <v>404</v>
      </c>
      <c r="O35" s="439" t="s">
        <v>405</v>
      </c>
    </row>
  </sheetData>
  <mergeCells count="12">
    <mergeCell ref="J13:K13"/>
    <mergeCell ref="L13:M13"/>
    <mergeCell ref="N13:O13"/>
    <mergeCell ref="A34:I35"/>
    <mergeCell ref="A1:A2"/>
    <mergeCell ref="C1:C2"/>
    <mergeCell ref="A3:A4"/>
    <mergeCell ref="C3:C4"/>
    <mergeCell ref="D3:D4"/>
    <mergeCell ref="E3:E4"/>
    <mergeCell ref="F3:F4"/>
    <mergeCell ref="H3:I3"/>
  </mergeCells>
  <phoneticPr fontId="48"/>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25</vt:i4>
      </vt:variant>
      <vt:variant>
        <vt:lpstr>名前付き一覧</vt:lpstr>
      </vt:variant>
      <vt:variant>
        <vt:i4>20</vt:i4>
      </vt:variant>
    </vt:vector>
  </HeadingPairs>
  <TitlesOfParts>
    <vt:vector size="45" baseType="lpstr">
      <vt:lpstr>表紙</vt:lpstr>
      <vt:lpstr>総括</vt:lpstr>
      <vt:lpstr>A+B+C</vt:lpstr>
      <vt:lpstr>A空調－計 </vt:lpstr>
      <vt:lpstr>空調(明細)</vt:lpstr>
      <vt:lpstr>Ｂ電気－計</vt:lpstr>
      <vt:lpstr>電気（明細）</vt:lpstr>
      <vt:lpstr>Ｃ付帯－計</vt:lpstr>
      <vt:lpstr>付帯（明細）</vt:lpstr>
      <vt:lpstr>GHP空調機-複単</vt:lpstr>
      <vt:lpstr>バルクタンク</vt:lpstr>
      <vt:lpstr>ガス工事　大垣ガス</vt:lpstr>
      <vt:lpstr>（計装工事） </vt:lpstr>
      <vt:lpstr>架台比較</vt:lpstr>
      <vt:lpstr>代価-1 </vt:lpstr>
      <vt:lpstr>代価-2</vt:lpstr>
      <vt:lpstr>代価-3 </vt:lpstr>
      <vt:lpstr>E複合単価</vt:lpstr>
      <vt:lpstr>E見積比較(1)</vt:lpstr>
      <vt:lpstr>E見積比較 (2)</vt:lpstr>
      <vt:lpstr>分電盤歩掛り</vt:lpstr>
      <vt:lpstr>付帯建築代価</vt:lpstr>
      <vt:lpstr>付帯建築見積比較</vt:lpstr>
      <vt:lpstr>付帯建築物価版比較</vt:lpstr>
      <vt:lpstr>付帯建築単価比較</vt:lpstr>
      <vt:lpstr>'A+B+C'!Print_Area</vt:lpstr>
      <vt:lpstr>'A空調－計 '!Print_Area</vt:lpstr>
      <vt:lpstr>'Ｂ電気－計'!Print_Area</vt:lpstr>
      <vt:lpstr>'Ｃ付帯－計'!Print_Area</vt:lpstr>
      <vt:lpstr>'E見積比較 (2)'!Print_Area</vt:lpstr>
      <vt:lpstr>'E見積比較(1)'!Print_Area</vt:lpstr>
      <vt:lpstr>E複合単価!Print_Area</vt:lpstr>
      <vt:lpstr>'空調(明細)'!Print_Area</vt:lpstr>
      <vt:lpstr>総括!Print_Area</vt:lpstr>
      <vt:lpstr>'代価-1 '!Print_Area</vt:lpstr>
      <vt:lpstr>'代価-2'!Print_Area</vt:lpstr>
      <vt:lpstr>'代価-3 '!Print_Area</vt:lpstr>
      <vt:lpstr>'電気（明細）'!Print_Area</vt:lpstr>
      <vt:lpstr>表紙!Print_Area</vt:lpstr>
      <vt:lpstr>'付帯（明細）'!Print_Area</vt:lpstr>
      <vt:lpstr>分電盤歩掛り!Print_Area</vt:lpstr>
      <vt:lpstr>E複合単価!Print_Titles</vt:lpstr>
      <vt:lpstr>'代価-2'!Print_Titles</vt:lpstr>
      <vt:lpstr>E複合単価!人工費</vt:lpstr>
      <vt:lpstr>E複合単価!単価根拠</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Miyoshi Hattori</dc:creator>
  <cp:lastModifiedBy>河口克行</cp:lastModifiedBy>
  <cp:lastPrinted>2025-10-15T23:42:49Z</cp:lastPrinted>
  <dcterms:created xsi:type="dcterms:W3CDTF">2012-03-26T01:58:43Z</dcterms:created>
  <dcterms:modified xsi:type="dcterms:W3CDTF">2026-10-15T11:07:26Z</dcterms:modified>
</cp:coreProperties>
</file>